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al\Downloads\fraud-detection-project\"/>
    </mc:Choice>
  </mc:AlternateContent>
  <xr:revisionPtr revIDLastSave="0" documentId="13_ncr:1_{9313EA4D-8C9C-448A-ACC2-7FCA7845DA08}" xr6:coauthVersionLast="47" xr6:coauthVersionMax="47" xr10:uidLastSave="{00000000-0000-0000-0000-000000000000}"/>
  <bookViews>
    <workbookView xWindow="2964" yWindow="2964" windowWidth="17280" windowHeight="8880" xr2:uid="{D4D4ECF8-CE34-411C-A7F7-E213DAD8AAF0}"/>
  </bookViews>
  <sheets>
    <sheet name="DashBoard" sheetId="6" r:id="rId1"/>
    <sheet name="Sheet3" sheetId="4" r:id="rId2"/>
    <sheet name="fraud_data_cleaned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" l="1"/>
  <c r="AC3" i="1"/>
  <c r="AC4" i="1" s="1"/>
  <c r="AC2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" i="1"/>
</calcChain>
</file>

<file path=xl/sharedStrings.xml><?xml version="1.0" encoding="utf-8"?>
<sst xmlns="http://schemas.openxmlformats.org/spreadsheetml/2006/main" count="25162" uniqueCount="4469">
  <si>
    <t>TransactionID</t>
  </si>
  <si>
    <t>AccountID</t>
  </si>
  <si>
    <t>TransactionAmount</t>
  </si>
  <si>
    <t>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</si>
  <si>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</si>
  <si>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</si>
  <si>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</si>
  <si>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</si>
  <si>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</si>
  <si>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</si>
  <si>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</si>
  <si>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</si>
  <si>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</si>
  <si>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</si>
  <si>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</si>
  <si>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PreviousTransactionDate</t>
  </si>
  <si>
    <t>TransactionHour</t>
  </si>
  <si>
    <t>TransactionDayOfWeek</t>
  </si>
  <si>
    <t>Amount_ZScore</t>
  </si>
  <si>
    <t>Is_Amount_Outlier_IQR</t>
  </si>
  <si>
    <t>Is_Login_Outlier_IQR</t>
  </si>
  <si>
    <t>Is_Duration_Outlier_IQR</t>
  </si>
  <si>
    <t>Fraud_Risk_Score</t>
  </si>
  <si>
    <t>TX000001</t>
  </si>
  <si>
    <t>AC00128</t>
  </si>
  <si>
    <t>Debit</t>
  </si>
  <si>
    <t>San Diego</t>
  </si>
  <si>
    <t>D000380</t>
  </si>
  <si>
    <t>162.198.218.92</t>
  </si>
  <si>
    <t>M015</t>
  </si>
  <si>
    <t>ATM</t>
  </si>
  <si>
    <t>Doctor</t>
  </si>
  <si>
    <t>Tuesday</t>
  </si>
  <si>
    <t>TX000002</t>
  </si>
  <si>
    <t>AC00455</t>
  </si>
  <si>
    <t>Houston</t>
  </si>
  <si>
    <t>D000051</t>
  </si>
  <si>
    <t>13.149.61.4</t>
  </si>
  <si>
    <t>M052</t>
  </si>
  <si>
    <t>TX000003</t>
  </si>
  <si>
    <t>AC00019</t>
  </si>
  <si>
    <t>Mesa</t>
  </si>
  <si>
    <t>D000235</t>
  </si>
  <si>
    <t>215.97.143.157</t>
  </si>
  <si>
    <t>M009</t>
  </si>
  <si>
    <t>Online</t>
  </si>
  <si>
    <t>Student</t>
  </si>
  <si>
    <t>Monday</t>
  </si>
  <si>
    <t>TX000004</t>
  </si>
  <si>
    <t>AC00070</t>
  </si>
  <si>
    <t>Raleigh</t>
  </si>
  <si>
    <t>D000187</t>
  </si>
  <si>
    <t>200.13.225.150</t>
  </si>
  <si>
    <t>M002</t>
  </si>
  <si>
    <t>Friday</t>
  </si>
  <si>
    <t>TX000005</t>
  </si>
  <si>
    <t>AC00411</t>
  </si>
  <si>
    <t>Credit</t>
  </si>
  <si>
    <t>Atlanta</t>
  </si>
  <si>
    <t>D000308</t>
  </si>
  <si>
    <t>65.164.3.100</t>
  </si>
  <si>
    <t>M091</t>
  </si>
  <si>
    <t>TX000006</t>
  </si>
  <si>
    <t>AC00393</t>
  </si>
  <si>
    <t>Oklahoma City</t>
  </si>
  <si>
    <t>D000579</t>
  </si>
  <si>
    <t>117.67.192.211</t>
  </si>
  <si>
    <t>M054</t>
  </si>
  <si>
    <t>TX000007</t>
  </si>
  <si>
    <t>AC00199</t>
  </si>
  <si>
    <t>Seattle</t>
  </si>
  <si>
    <t>D000241</t>
  </si>
  <si>
    <t>140.212.253.222</t>
  </si>
  <si>
    <t>M019</t>
  </si>
  <si>
    <t>Wednesday</t>
  </si>
  <si>
    <t>TX000008</t>
  </si>
  <si>
    <t>AC00069</t>
  </si>
  <si>
    <t>Indianapolis</t>
  </si>
  <si>
    <t>D000500</t>
  </si>
  <si>
    <t>92.214.76.157</t>
  </si>
  <si>
    <t>M020</t>
  </si>
  <si>
    <t>Branch</t>
  </si>
  <si>
    <t>Retired</t>
  </si>
  <si>
    <t>TX000009</t>
  </si>
  <si>
    <t>AC00135</t>
  </si>
  <si>
    <t>Detroit</t>
  </si>
  <si>
    <t>D000690</t>
  </si>
  <si>
    <t>24.148.92.177</t>
  </si>
  <si>
    <t>M035</t>
  </si>
  <si>
    <t>Engineer</t>
  </si>
  <si>
    <t>TX000010</t>
  </si>
  <si>
    <t>AC00385</t>
  </si>
  <si>
    <t>Nashville</t>
  </si>
  <si>
    <t>D000199</t>
  </si>
  <si>
    <t>32.169.88.41</t>
  </si>
  <si>
    <t>M007</t>
  </si>
  <si>
    <t>TX000011</t>
  </si>
  <si>
    <t>AC00150</t>
  </si>
  <si>
    <t>Albuquerque</t>
  </si>
  <si>
    <t>D000205</t>
  </si>
  <si>
    <t>213.15.9.253</t>
  </si>
  <si>
    <t>M073</t>
  </si>
  <si>
    <t>TX000012</t>
  </si>
  <si>
    <t>AC00459</t>
  </si>
  <si>
    <t>Memphis</t>
  </si>
  <si>
    <t>D000589</t>
  </si>
  <si>
    <t>116.175.11.222</t>
  </si>
  <si>
    <t>M030</t>
  </si>
  <si>
    <t>TX000013</t>
  </si>
  <si>
    <t>AC00392</t>
  </si>
  <si>
    <t>D000032</t>
  </si>
  <si>
    <t>210.98.198.143</t>
  </si>
  <si>
    <t>M057</t>
  </si>
  <si>
    <t>TX000014</t>
  </si>
  <si>
    <t>AC00264</t>
  </si>
  <si>
    <t>D000054</t>
  </si>
  <si>
    <t>193.83.0.183</t>
  </si>
  <si>
    <t>M025</t>
  </si>
  <si>
    <t>TX000015</t>
  </si>
  <si>
    <t>AC00085</t>
  </si>
  <si>
    <t>Louisville</t>
  </si>
  <si>
    <t>D000309</t>
  </si>
  <si>
    <t>188.124.181.12</t>
  </si>
  <si>
    <t>M017</t>
  </si>
  <si>
    <t>TX000016</t>
  </si>
  <si>
    <t>AC00270</t>
  </si>
  <si>
    <t>Denver</t>
  </si>
  <si>
    <t>D000466</t>
  </si>
  <si>
    <t>221.169.49.152</t>
  </si>
  <si>
    <t>TX000017</t>
  </si>
  <si>
    <t>AC00317</t>
  </si>
  <si>
    <t>Austin</t>
  </si>
  <si>
    <t>D000671</t>
  </si>
  <si>
    <t>53.218.177.171</t>
  </si>
  <si>
    <t>M048</t>
  </si>
  <si>
    <t>TX000018</t>
  </si>
  <si>
    <t>AC00359</t>
  </si>
  <si>
    <t>Columbus</t>
  </si>
  <si>
    <t>D000432</t>
  </si>
  <si>
    <t>114.223.129.47</t>
  </si>
  <si>
    <t>M059</t>
  </si>
  <si>
    <t>Thursday</t>
  </si>
  <si>
    <t>TX000019</t>
  </si>
  <si>
    <t>AC00242</t>
  </si>
  <si>
    <t>D000530</t>
  </si>
  <si>
    <t>93.218.115.132</t>
  </si>
  <si>
    <t>TX000020</t>
  </si>
  <si>
    <t>AC00285</t>
  </si>
  <si>
    <t>D000039</t>
  </si>
  <si>
    <t>120.170.93.69</t>
  </si>
  <si>
    <t>M039</t>
  </si>
  <si>
    <t>TX000021</t>
  </si>
  <si>
    <t>AC00002</t>
  </si>
  <si>
    <t>Los Angeles</t>
  </si>
  <si>
    <t>D000152</t>
  </si>
  <si>
    <t>116.44.12.250</t>
  </si>
  <si>
    <t>M040</t>
  </si>
  <si>
    <t>TX000022</t>
  </si>
  <si>
    <t>AC00014</t>
  </si>
  <si>
    <t>Las Vegas</t>
  </si>
  <si>
    <t>D000268</t>
  </si>
  <si>
    <t>59.132.247.252</t>
  </si>
  <si>
    <t>M065</t>
  </si>
  <si>
    <t>TX000023</t>
  </si>
  <si>
    <t>AC00095</t>
  </si>
  <si>
    <t>D000142</t>
  </si>
  <si>
    <t>133.63.96.21</t>
  </si>
  <si>
    <t>M022</t>
  </si>
  <si>
    <t>TX000024</t>
  </si>
  <si>
    <t>AC00453</t>
  </si>
  <si>
    <t>Fort Worth</t>
  </si>
  <si>
    <t>D000162</t>
  </si>
  <si>
    <t>191.82.103.198</t>
  </si>
  <si>
    <t>M083</t>
  </si>
  <si>
    <t>TX000025</t>
  </si>
  <si>
    <t>AC00241</t>
  </si>
  <si>
    <t>D000036</t>
  </si>
  <si>
    <t>119.186.154.104</t>
  </si>
  <si>
    <t>M028</t>
  </si>
  <si>
    <t>TX000026</t>
  </si>
  <si>
    <t>AC00041</t>
  </si>
  <si>
    <t>81.248.235.147</t>
  </si>
  <si>
    <t>M043</t>
  </si>
  <si>
    <t>TX000027</t>
  </si>
  <si>
    <t>AC00441</t>
  </si>
  <si>
    <t>Miami</t>
  </si>
  <si>
    <t>D000046</t>
  </si>
  <si>
    <t>55.154.161.250</t>
  </si>
  <si>
    <t>M029</t>
  </si>
  <si>
    <t>TX000028</t>
  </si>
  <si>
    <t>AC00057</t>
  </si>
  <si>
    <t>Milwaukee</t>
  </si>
  <si>
    <t>D000310</t>
  </si>
  <si>
    <t>21.28.32.1</t>
  </si>
  <si>
    <t>M008</t>
  </si>
  <si>
    <t>TX000029</t>
  </si>
  <si>
    <t>AC00390</t>
  </si>
  <si>
    <t>D000232</t>
  </si>
  <si>
    <t>152.234.65.155</t>
  </si>
  <si>
    <t>M092</t>
  </si>
  <si>
    <t>TX000030</t>
  </si>
  <si>
    <t>AC00313</t>
  </si>
  <si>
    <t>D000297</t>
  </si>
  <si>
    <t>33.28.138.82</t>
  </si>
  <si>
    <t>TX000031</t>
  </si>
  <si>
    <t>AC00367</t>
  </si>
  <si>
    <t>D000587</t>
  </si>
  <si>
    <t>35.67.21.23</t>
  </si>
  <si>
    <t>TX000032</t>
  </si>
  <si>
    <t>AC00291</t>
  </si>
  <si>
    <t>Baltimore</t>
  </si>
  <si>
    <t>D000282</t>
  </si>
  <si>
    <t>187.199.178.27</t>
  </si>
  <si>
    <t>M053</t>
  </si>
  <si>
    <t>TX000033</t>
  </si>
  <si>
    <t>AC00060</t>
  </si>
  <si>
    <t>New York</t>
  </si>
  <si>
    <t>D000621</t>
  </si>
  <si>
    <t>133.67.250.163</t>
  </si>
  <si>
    <t>TX000034</t>
  </si>
  <si>
    <t>D000111</t>
  </si>
  <si>
    <t>134.140.85.231</t>
  </si>
  <si>
    <t>M094</t>
  </si>
  <si>
    <t>TX000035</t>
  </si>
  <si>
    <t>AC00365</t>
  </si>
  <si>
    <t>San Francisco</t>
  </si>
  <si>
    <t>D000357</t>
  </si>
  <si>
    <t>TX000036</t>
  </si>
  <si>
    <t>AC00267</t>
  </si>
  <si>
    <t>D000042</t>
  </si>
  <si>
    <t>59.145.242.13</t>
  </si>
  <si>
    <t>TX000037</t>
  </si>
  <si>
    <t>AC00404</t>
  </si>
  <si>
    <t>D000250</t>
  </si>
  <si>
    <t>TX000038</t>
  </si>
  <si>
    <t>AC00202</t>
  </si>
  <si>
    <t>San Jose</t>
  </si>
  <si>
    <t>D000448</t>
  </si>
  <si>
    <t>73.108.76.238</t>
  </si>
  <si>
    <t>M074</t>
  </si>
  <si>
    <t>TX000039</t>
  </si>
  <si>
    <t>AC00478</t>
  </si>
  <si>
    <t>D000077</t>
  </si>
  <si>
    <t>49.29.37.185</t>
  </si>
  <si>
    <t>TX000040</t>
  </si>
  <si>
    <t>AC00405</t>
  </si>
  <si>
    <t>D000038</t>
  </si>
  <si>
    <t>49.20.211.229</t>
  </si>
  <si>
    <t>TX000041</t>
  </si>
  <si>
    <t>AC00421</t>
  </si>
  <si>
    <t>San Antonio</t>
  </si>
  <si>
    <t>D000557</t>
  </si>
  <si>
    <t>6.234.101.35</t>
  </si>
  <si>
    <t>M014</t>
  </si>
  <si>
    <t>TX000042</t>
  </si>
  <si>
    <t>AC00480</t>
  </si>
  <si>
    <t>Philadelphia</t>
  </si>
  <si>
    <t>D000627</t>
  </si>
  <si>
    <t>109.105.179.186</t>
  </si>
  <si>
    <t>M046</t>
  </si>
  <si>
    <t>TX000043</t>
  </si>
  <si>
    <t>AC00120</t>
  </si>
  <si>
    <t>Charlotte</t>
  </si>
  <si>
    <t>D000198</t>
  </si>
  <si>
    <t>60.89.202.192</t>
  </si>
  <si>
    <t>M044</t>
  </si>
  <si>
    <t>TX000044</t>
  </si>
  <si>
    <t>AC00117</t>
  </si>
  <si>
    <t>Tucson</t>
  </si>
  <si>
    <t>D000197</t>
  </si>
  <si>
    <t>173.135.78.201</t>
  </si>
  <si>
    <t>TX000045</t>
  </si>
  <si>
    <t>AC00011</t>
  </si>
  <si>
    <t>D000685</t>
  </si>
  <si>
    <t>77.208.193.198</t>
  </si>
  <si>
    <t>M005</t>
  </si>
  <si>
    <t>TX000046</t>
  </si>
  <si>
    <t>AC00401</t>
  </si>
  <si>
    <t>Chicago</t>
  </si>
  <si>
    <t>197.162.55.147</t>
  </si>
  <si>
    <t>M051</t>
  </si>
  <si>
    <t>TX000047</t>
  </si>
  <si>
    <t>AC00282</t>
  </si>
  <si>
    <t>D000103</t>
  </si>
  <si>
    <t>113.115.81.178</t>
  </si>
  <si>
    <t>M070</t>
  </si>
  <si>
    <t>TX000048</t>
  </si>
  <si>
    <t>AC00439</t>
  </si>
  <si>
    <t>D000397</t>
  </si>
  <si>
    <t>186.135.2.148</t>
  </si>
  <si>
    <t>M090</t>
  </si>
  <si>
    <t>TX000049</t>
  </si>
  <si>
    <t>AC00296</t>
  </si>
  <si>
    <t>D000284</t>
  </si>
  <si>
    <t>93.146.251.20</t>
  </si>
  <si>
    <t>M023</t>
  </si>
  <si>
    <t>TX000050</t>
  </si>
  <si>
    <t>AC00471</t>
  </si>
  <si>
    <t>Sacramento</t>
  </si>
  <si>
    <t>D000304</t>
  </si>
  <si>
    <t>124.6.134.78</t>
  </si>
  <si>
    <t>M055</t>
  </si>
  <si>
    <t>TX000051</t>
  </si>
  <si>
    <t>AC00159</t>
  </si>
  <si>
    <t>Kansas City</t>
  </si>
  <si>
    <t>D000661</t>
  </si>
  <si>
    <t>139.23.212.102</t>
  </si>
  <si>
    <t>TX000052</t>
  </si>
  <si>
    <t>AC00482</t>
  </si>
  <si>
    <t>Omaha</t>
  </si>
  <si>
    <t>D000598</t>
  </si>
  <si>
    <t>179.43.245.131</t>
  </si>
  <si>
    <t>TX000053</t>
  </si>
  <si>
    <t>AC00115</t>
  </si>
  <si>
    <t>Virginia Beach</t>
  </si>
  <si>
    <t>194.174.252.1</t>
  </si>
  <si>
    <t>M078</t>
  </si>
  <si>
    <t>TX000054</t>
  </si>
  <si>
    <t>AC00055</t>
  </si>
  <si>
    <t>D000442</t>
  </si>
  <si>
    <t>42.219.228.159</t>
  </si>
  <si>
    <t>M036</t>
  </si>
  <si>
    <t>TX000055</t>
  </si>
  <si>
    <t>AC00419</t>
  </si>
  <si>
    <t>D000642</t>
  </si>
  <si>
    <t>M095</t>
  </si>
  <si>
    <t>TX000056</t>
  </si>
  <si>
    <t>AC00374</t>
  </si>
  <si>
    <t>D000013</t>
  </si>
  <si>
    <t>81.102.230.41</t>
  </si>
  <si>
    <t>TX000057</t>
  </si>
  <si>
    <t>AC00271</t>
  </si>
  <si>
    <t>D000462</t>
  </si>
  <si>
    <t>1.198.76.182</t>
  </si>
  <si>
    <t>TX000058</t>
  </si>
  <si>
    <t>AC00456</t>
  </si>
  <si>
    <t>Dallas</t>
  </si>
  <si>
    <t>D000311</t>
  </si>
  <si>
    <t>198.73.211.114</t>
  </si>
  <si>
    <t>M075</t>
  </si>
  <si>
    <t>TX000059</t>
  </si>
  <si>
    <t>AC00143</t>
  </si>
  <si>
    <t>D000145</t>
  </si>
  <si>
    <t>186.54.68.246</t>
  </si>
  <si>
    <t>M064</t>
  </si>
  <si>
    <t>TX000060</t>
  </si>
  <si>
    <t>AC00427</t>
  </si>
  <si>
    <t>D000089</t>
  </si>
  <si>
    <t>198.166.198.233</t>
  </si>
  <si>
    <t>TX000061</t>
  </si>
  <si>
    <t>AC00438</t>
  </si>
  <si>
    <t>D000233</t>
  </si>
  <si>
    <t>27.143.109.203</t>
  </si>
  <si>
    <t>TX000062</t>
  </si>
  <si>
    <t>D000285</t>
  </si>
  <si>
    <t>7.146.35.122</t>
  </si>
  <si>
    <t>M087</t>
  </si>
  <si>
    <t>TX000063</t>
  </si>
  <si>
    <t>AC00425</t>
  </si>
  <si>
    <t>D000516</t>
  </si>
  <si>
    <t>9.230.41.239</t>
  </si>
  <si>
    <t>M097</t>
  </si>
  <si>
    <t>TX000064</t>
  </si>
  <si>
    <t>AC00325</t>
  </si>
  <si>
    <t>D000548</t>
  </si>
  <si>
    <t>125.225.212.244</t>
  </si>
  <si>
    <t>M001</t>
  </si>
  <si>
    <t>TX000065</t>
  </si>
  <si>
    <t>AC00434</t>
  </si>
  <si>
    <t>D000461</t>
  </si>
  <si>
    <t>155.164.18.235</t>
  </si>
  <si>
    <t>M071</t>
  </si>
  <si>
    <t>TX000066</t>
  </si>
  <si>
    <t>D000098</t>
  </si>
  <si>
    <t>145.246.171.225</t>
  </si>
  <si>
    <t>M003</t>
  </si>
  <si>
    <t>TX000067</t>
  </si>
  <si>
    <t>AC00319</t>
  </si>
  <si>
    <t>D000435</t>
  </si>
  <si>
    <t>TX000068</t>
  </si>
  <si>
    <t>AC00460</t>
  </si>
  <si>
    <t>D000305</t>
  </si>
  <si>
    <t>131.41.45.13</t>
  </si>
  <si>
    <t>M063</t>
  </si>
  <si>
    <t>TX000069</t>
  </si>
  <si>
    <t>AC00461</t>
  </si>
  <si>
    <t>D000128</t>
  </si>
  <si>
    <t>46.150.175.171</t>
  </si>
  <si>
    <t>TX000070</t>
  </si>
  <si>
    <t>AC00395</t>
  </si>
  <si>
    <t>D000684</t>
  </si>
  <si>
    <t>125.89.163.224</t>
  </si>
  <si>
    <t>TX000071</t>
  </si>
  <si>
    <t>AC00217</t>
  </si>
  <si>
    <t>D000201</t>
  </si>
  <si>
    <t>40.226.196.34</t>
  </si>
  <si>
    <t>TX000072</t>
  </si>
  <si>
    <t>AC00053</t>
  </si>
  <si>
    <t>D000410</t>
  </si>
  <si>
    <t>M066</t>
  </si>
  <si>
    <t>TX000073</t>
  </si>
  <si>
    <t>Boston</t>
  </si>
  <si>
    <t>D000180</t>
  </si>
  <si>
    <t>TX000074</t>
  </si>
  <si>
    <t>AC00110</t>
  </si>
  <si>
    <t>Jacksonville</t>
  </si>
  <si>
    <t>D000295</t>
  </si>
  <si>
    <t>152.140.239.181</t>
  </si>
  <si>
    <t>TX000075</t>
  </si>
  <si>
    <t>AC00265</t>
  </si>
  <si>
    <t>D000231</t>
  </si>
  <si>
    <t>TX000076</t>
  </si>
  <si>
    <t>AC00239</t>
  </si>
  <si>
    <t>D000073</t>
  </si>
  <si>
    <t>156.173.170.140</t>
  </si>
  <si>
    <t>TX000077</t>
  </si>
  <si>
    <t>AC00007</t>
  </si>
  <si>
    <t>D000070</t>
  </si>
  <si>
    <t>60.153.124.80</t>
  </si>
  <si>
    <t>M060</t>
  </si>
  <si>
    <t>TX000078</t>
  </si>
  <si>
    <t>AC00022</t>
  </si>
  <si>
    <t>D000363</t>
  </si>
  <si>
    <t>94.37.250.128</t>
  </si>
  <si>
    <t>TX000079</t>
  </si>
  <si>
    <t>AC00464</t>
  </si>
  <si>
    <t>D000561</t>
  </si>
  <si>
    <t>M045</t>
  </si>
  <si>
    <t>TX000080</t>
  </si>
  <si>
    <t>D000375</t>
  </si>
  <si>
    <t>130.92.201.49</t>
  </si>
  <si>
    <t>M032</t>
  </si>
  <si>
    <t>TX000081</t>
  </si>
  <si>
    <t>AC00406</t>
  </si>
  <si>
    <t>D000488</t>
  </si>
  <si>
    <t>86.103.2.29</t>
  </si>
  <si>
    <t>TX000082</t>
  </si>
  <si>
    <t>AC00445</t>
  </si>
  <si>
    <t>Phoenix</t>
  </si>
  <si>
    <t>D000097</t>
  </si>
  <si>
    <t>M081</t>
  </si>
  <si>
    <t>TX000083</t>
  </si>
  <si>
    <t>AC00236</t>
  </si>
  <si>
    <t>D000206</t>
  </si>
  <si>
    <t>21.97.154.92</t>
  </si>
  <si>
    <t>M004</t>
  </si>
  <si>
    <t>TX000084</t>
  </si>
  <si>
    <t>AC00220</t>
  </si>
  <si>
    <t>D000616</t>
  </si>
  <si>
    <t>36.13.239.172</t>
  </si>
  <si>
    <t>TX000085</t>
  </si>
  <si>
    <t>AC00140</t>
  </si>
  <si>
    <t>D000494</t>
  </si>
  <si>
    <t>167.104.180.235</t>
  </si>
  <si>
    <t>TX000086</t>
  </si>
  <si>
    <t>AC00098</t>
  </si>
  <si>
    <t>D000574</t>
  </si>
  <si>
    <t>165.114.224.47</t>
  </si>
  <si>
    <t>M012</t>
  </si>
  <si>
    <t>TX000087</t>
  </si>
  <si>
    <t>AC00303</t>
  </si>
  <si>
    <t>D000428</t>
  </si>
  <si>
    <t>16.131.3.140</t>
  </si>
  <si>
    <t>M033</t>
  </si>
  <si>
    <t>TX000088</t>
  </si>
  <si>
    <t>AC00373</t>
  </si>
  <si>
    <t>Washington</t>
  </si>
  <si>
    <t>D000018</t>
  </si>
  <si>
    <t>8.243.4.138</t>
  </si>
  <si>
    <t>TX000089</t>
  </si>
  <si>
    <t>D000453</t>
  </si>
  <si>
    <t>132.127.5.187</t>
  </si>
  <si>
    <t>TX000090</t>
  </si>
  <si>
    <t>AC00437</t>
  </si>
  <si>
    <t>D000141</t>
  </si>
  <si>
    <t>TX000091</t>
  </si>
  <si>
    <t>AC00106</t>
  </si>
  <si>
    <t>D000322</t>
  </si>
  <si>
    <t>101.223.82.253</t>
  </si>
  <si>
    <t>TX000092</t>
  </si>
  <si>
    <t>AC00310</t>
  </si>
  <si>
    <t>D000481</t>
  </si>
  <si>
    <t>133.223.159.151</t>
  </si>
  <si>
    <t>TX000093</t>
  </si>
  <si>
    <t>AC00149</t>
  </si>
  <si>
    <t>D000526</t>
  </si>
  <si>
    <t>60.43.160.195</t>
  </si>
  <si>
    <t>M049</t>
  </si>
  <si>
    <t>TX000094</t>
  </si>
  <si>
    <t>D000645</t>
  </si>
  <si>
    <t>168.36.49.167</t>
  </si>
  <si>
    <t>M047</t>
  </si>
  <si>
    <t>TX000095</t>
  </si>
  <si>
    <t>D000178</t>
  </si>
  <si>
    <t>165.38.56.205</t>
  </si>
  <si>
    <t>M093</t>
  </si>
  <si>
    <t>TX000096</t>
  </si>
  <si>
    <t>AC00010</t>
  </si>
  <si>
    <t>D000622</t>
  </si>
  <si>
    <t>193.108.17.115</t>
  </si>
  <si>
    <t>TX000097</t>
  </si>
  <si>
    <t>AC00348</t>
  </si>
  <si>
    <t>D000019</t>
  </si>
  <si>
    <t>175.230.206.232</t>
  </si>
  <si>
    <t>TX000098</t>
  </si>
  <si>
    <t>D000192</t>
  </si>
  <si>
    <t>62.152.134.92</t>
  </si>
  <si>
    <t>TX000099</t>
  </si>
  <si>
    <t>D000093</t>
  </si>
  <si>
    <t>149.84.108.18</t>
  </si>
  <si>
    <t>TX000100</t>
  </si>
  <si>
    <t>AC00178</t>
  </si>
  <si>
    <t>D000528</t>
  </si>
  <si>
    <t>134.222.122.238</t>
  </si>
  <si>
    <t>TX000101</t>
  </si>
  <si>
    <t>D000321</t>
  </si>
  <si>
    <t>18.72.115.111</t>
  </si>
  <si>
    <t>TX000102</t>
  </si>
  <si>
    <t>AC00018</t>
  </si>
  <si>
    <t>El Paso</t>
  </si>
  <si>
    <t>34.125.226.63</t>
  </si>
  <si>
    <t>TX000103</t>
  </si>
  <si>
    <t>AC00075</t>
  </si>
  <si>
    <t>D000607</t>
  </si>
  <si>
    <t>TX000104</t>
  </si>
  <si>
    <t>D000164</t>
  </si>
  <si>
    <t>204.34.243.93</t>
  </si>
  <si>
    <t>M099</t>
  </si>
  <si>
    <t>TX000105</t>
  </si>
  <si>
    <t>AC00170</t>
  </si>
  <si>
    <t>D000647</t>
  </si>
  <si>
    <t>111.226.226.202</t>
  </si>
  <si>
    <t>TX000106</t>
  </si>
  <si>
    <t>AC00235</t>
  </si>
  <si>
    <t>Colorado Springs</t>
  </si>
  <si>
    <t>D000078</t>
  </si>
  <si>
    <t>96.115.67.230</t>
  </si>
  <si>
    <t>TX000107</t>
  </si>
  <si>
    <t>AC00013</t>
  </si>
  <si>
    <t>D000182</t>
  </si>
  <si>
    <t>115.218.48.83</t>
  </si>
  <si>
    <t>TX000108</t>
  </si>
  <si>
    <t>AC00397</t>
  </si>
  <si>
    <t>D000028</t>
  </si>
  <si>
    <t>174.61.77.54</t>
  </si>
  <si>
    <t>TX000109</t>
  </si>
  <si>
    <t>AC00423</t>
  </si>
  <si>
    <t>D000518</t>
  </si>
  <si>
    <t>216.151.64.40</t>
  </si>
  <si>
    <t>TX000110</t>
  </si>
  <si>
    <t>AC00154</t>
  </si>
  <si>
    <t>D000469</t>
  </si>
  <si>
    <t>TX000111</t>
  </si>
  <si>
    <t>AC00068</t>
  </si>
  <si>
    <t>D000400</t>
  </si>
  <si>
    <t>77.7.223.184</t>
  </si>
  <si>
    <t>M077</t>
  </si>
  <si>
    <t>TX000112</t>
  </si>
  <si>
    <t>AC00318</t>
  </si>
  <si>
    <t>D000536</t>
  </si>
  <si>
    <t>44.197.126.59</t>
  </si>
  <si>
    <t>M089</t>
  </si>
  <si>
    <t>TX000113</t>
  </si>
  <si>
    <t>AC00396</t>
  </si>
  <si>
    <t>D000477</t>
  </si>
  <si>
    <t>143.212.47.226</t>
  </si>
  <si>
    <t>TX000114</t>
  </si>
  <si>
    <t>AC00121</t>
  </si>
  <si>
    <t>51.250.122.123</t>
  </si>
  <si>
    <t>TX000115</t>
  </si>
  <si>
    <t>AC00336</t>
  </si>
  <si>
    <t>Fresno</t>
  </si>
  <si>
    <t>D000655</t>
  </si>
  <si>
    <t>TX000116</t>
  </si>
  <si>
    <t>AC00468</t>
  </si>
  <si>
    <t>D000673</t>
  </si>
  <si>
    <t>44.73.3.217</t>
  </si>
  <si>
    <t>M042</t>
  </si>
  <si>
    <t>TX000117</t>
  </si>
  <si>
    <t>D000266</t>
  </si>
  <si>
    <t>85.240.254.83</t>
  </si>
  <si>
    <t>TX000118</t>
  </si>
  <si>
    <t>AC00498</t>
  </si>
  <si>
    <t>D000256</t>
  </si>
  <si>
    <t>101.90.40.193</t>
  </si>
  <si>
    <t>M086</t>
  </si>
  <si>
    <t>TX000119</t>
  </si>
  <si>
    <t>D000544</t>
  </si>
  <si>
    <t>98.255.160.110</t>
  </si>
  <si>
    <t>M041</t>
  </si>
  <si>
    <t>TX000120</t>
  </si>
  <si>
    <t>AC00092</t>
  </si>
  <si>
    <t>D000663</t>
  </si>
  <si>
    <t>TX000121</t>
  </si>
  <si>
    <t>AC00295</t>
  </si>
  <si>
    <t>D000489</t>
  </si>
  <si>
    <t>45.64.74.86</t>
  </si>
  <si>
    <t>TX000122</t>
  </si>
  <si>
    <t>AC00358</t>
  </si>
  <si>
    <t>D000434</t>
  </si>
  <si>
    <t>69.82.61.135</t>
  </si>
  <si>
    <t>TX000123</t>
  </si>
  <si>
    <t>AC00311</t>
  </si>
  <si>
    <t>D000314</t>
  </si>
  <si>
    <t>79.227.202.117</t>
  </si>
  <si>
    <t>M076</t>
  </si>
  <si>
    <t>TX000124</t>
  </si>
  <si>
    <t>AC00066</t>
  </si>
  <si>
    <t>Portland</t>
  </si>
  <si>
    <t>D000037</t>
  </si>
  <si>
    <t>26.240.219.199</t>
  </si>
  <si>
    <t>M006</t>
  </si>
  <si>
    <t>TX000125</t>
  </si>
  <si>
    <t>AC00340</t>
  </si>
  <si>
    <t>D000021</t>
  </si>
  <si>
    <t>63.67.150.226</t>
  </si>
  <si>
    <t>TX000126</t>
  </si>
  <si>
    <t>AC00284</t>
  </si>
  <si>
    <t>D000112</t>
  </si>
  <si>
    <t>195.226.203.234</t>
  </si>
  <si>
    <t>M026</t>
  </si>
  <si>
    <t>TX000127</t>
  </si>
  <si>
    <t>AC00208</t>
  </si>
  <si>
    <t>TX000128</t>
  </si>
  <si>
    <t>AC00176</t>
  </si>
  <si>
    <t>D000276</t>
  </si>
  <si>
    <t>TX000129</t>
  </si>
  <si>
    <t>D000687</t>
  </si>
  <si>
    <t>77.21.150.75</t>
  </si>
  <si>
    <t>TX000130</t>
  </si>
  <si>
    <t>AC00320</t>
  </si>
  <si>
    <t>D000015</t>
  </si>
  <si>
    <t>M062</t>
  </si>
  <si>
    <t>TX000131</t>
  </si>
  <si>
    <t>AC00382</t>
  </si>
  <si>
    <t>D000118</t>
  </si>
  <si>
    <t>147.234.20.46</t>
  </si>
  <si>
    <t>TX000132</t>
  </si>
  <si>
    <t>AC00384</t>
  </si>
  <si>
    <t>D000052</t>
  </si>
  <si>
    <t>203.99.96.114</t>
  </si>
  <si>
    <t>TX000133</t>
  </si>
  <si>
    <t>AC00203</t>
  </si>
  <si>
    <t>D000339</t>
  </si>
  <si>
    <t>65.27.212.129</t>
  </si>
  <si>
    <t>TX000134</t>
  </si>
  <si>
    <t>D000236</t>
  </si>
  <si>
    <t>M098</t>
  </si>
  <si>
    <t>TX000135</t>
  </si>
  <si>
    <t>AC00349</t>
  </si>
  <si>
    <t>D000635</t>
  </si>
  <si>
    <t>62.251.170.72</t>
  </si>
  <si>
    <t>M034</t>
  </si>
  <si>
    <t>TX000136</t>
  </si>
  <si>
    <t>AC00177</t>
  </si>
  <si>
    <t>D000465</t>
  </si>
  <si>
    <t>161.177.41.214</t>
  </si>
  <si>
    <t>TX000137</t>
  </si>
  <si>
    <t>D000170</t>
  </si>
  <si>
    <t>138.87.180.254</t>
  </si>
  <si>
    <t>TX000138</t>
  </si>
  <si>
    <t>AC00272</t>
  </si>
  <si>
    <t>D000426</t>
  </si>
  <si>
    <t>TX000139</t>
  </si>
  <si>
    <t>100.4.40.132</t>
  </si>
  <si>
    <t>M067</t>
  </si>
  <si>
    <t>TX000140</t>
  </si>
  <si>
    <t>D000553</t>
  </si>
  <si>
    <t>45.182.28.148</t>
  </si>
  <si>
    <t>TX000141</t>
  </si>
  <si>
    <t>AC00403</t>
  </si>
  <si>
    <t>D000556</t>
  </si>
  <si>
    <t>TX000142</t>
  </si>
  <si>
    <t>AC00114</t>
  </si>
  <si>
    <t>D000522</t>
  </si>
  <si>
    <t>121.67.144.20</t>
  </si>
  <si>
    <t>TX000143</t>
  </si>
  <si>
    <t>AC00163</t>
  </si>
  <si>
    <t>D000439</t>
  </si>
  <si>
    <t>TX000144</t>
  </si>
  <si>
    <t>AC00108</t>
  </si>
  <si>
    <t>D000600</t>
  </si>
  <si>
    <t>TX000145</t>
  </si>
  <si>
    <t>D000369</t>
  </si>
  <si>
    <t>33.212.169.157</t>
  </si>
  <si>
    <t>TX000146</t>
  </si>
  <si>
    <t>163.129.70.210</t>
  </si>
  <si>
    <t>M085</t>
  </si>
  <si>
    <t>TX000147</t>
  </si>
  <si>
    <t>D000292</t>
  </si>
  <si>
    <t>202.194.199.70</t>
  </si>
  <si>
    <t>TX000148</t>
  </si>
  <si>
    <t>AC00161</t>
  </si>
  <si>
    <t>D000109</t>
  </si>
  <si>
    <t>23.92.205.75</t>
  </si>
  <si>
    <t>M056</t>
  </si>
  <si>
    <t>TX000149</t>
  </si>
  <si>
    <t>AC00333</t>
  </si>
  <si>
    <t>D000330</t>
  </si>
  <si>
    <t>TX000150</t>
  </si>
  <si>
    <t>AC00279</t>
  </si>
  <si>
    <t>D000158</t>
  </si>
  <si>
    <t>3.157.63.220</t>
  </si>
  <si>
    <t>TX000151</t>
  </si>
  <si>
    <t>AC00072</t>
  </si>
  <si>
    <t>D000413</t>
  </si>
  <si>
    <t>TX000152</t>
  </si>
  <si>
    <t>TX000153</t>
  </si>
  <si>
    <t>D000605</t>
  </si>
  <si>
    <t>216.32.4.105</t>
  </si>
  <si>
    <t>TX000154</t>
  </si>
  <si>
    <t>AC00442</t>
  </si>
  <si>
    <t>210.160.90.52</t>
  </si>
  <si>
    <t>TX000155</t>
  </si>
  <si>
    <t>AC00087</t>
  </si>
  <si>
    <t>82.88.241.226</t>
  </si>
  <si>
    <t>TX000156</t>
  </si>
  <si>
    <t>AC00174</t>
  </si>
  <si>
    <t>D000226</t>
  </si>
  <si>
    <t>34.92.221.183</t>
  </si>
  <si>
    <t>M058</t>
  </si>
  <si>
    <t>TX000157</t>
  </si>
  <si>
    <t>D000436</t>
  </si>
  <si>
    <t>182.225.2.156</t>
  </si>
  <si>
    <t>TX000158</t>
  </si>
  <si>
    <t>AC00111</t>
  </si>
  <si>
    <t>D000108</t>
  </si>
  <si>
    <t>191.91.45.159</t>
  </si>
  <si>
    <t>TX000159</t>
  </si>
  <si>
    <t>AC00275</t>
  </si>
  <si>
    <t>D000678</t>
  </si>
  <si>
    <t>111.78.64.133</t>
  </si>
  <si>
    <t>TX000160</t>
  </si>
  <si>
    <t>AC00492</t>
  </si>
  <si>
    <t>TX000161</t>
  </si>
  <si>
    <t>AC00380</t>
  </si>
  <si>
    <t>D000491</t>
  </si>
  <si>
    <t>TX000162</t>
  </si>
  <si>
    <t>AC00227</t>
  </si>
  <si>
    <t>D000076</t>
  </si>
  <si>
    <t>128.16.32.183</t>
  </si>
  <si>
    <t>TX000163</t>
  </si>
  <si>
    <t>AC00257</t>
  </si>
  <si>
    <t>D000456</t>
  </si>
  <si>
    <t>10.144.131.89</t>
  </si>
  <si>
    <t>TX000164</t>
  </si>
  <si>
    <t>AC00062</t>
  </si>
  <si>
    <t>D000115</t>
  </si>
  <si>
    <t>161.168.126.136</t>
  </si>
  <si>
    <t>TX000165</t>
  </si>
  <si>
    <t>AC00383</t>
  </si>
  <si>
    <t>D000281</t>
  </si>
  <si>
    <t>198.39.35.23</t>
  </si>
  <si>
    <t>M100</t>
  </si>
  <si>
    <t>TX000166</t>
  </si>
  <si>
    <t>AC00182</t>
  </si>
  <si>
    <t>D000371</t>
  </si>
  <si>
    <t>161.71.2.223</t>
  </si>
  <si>
    <t>TX000167</t>
  </si>
  <si>
    <t>D000001</t>
  </si>
  <si>
    <t>141.121.30.32</t>
  </si>
  <si>
    <t>TX000168</t>
  </si>
  <si>
    <t>AC00332</t>
  </si>
  <si>
    <t>D000606</t>
  </si>
  <si>
    <t>110.150.1.201</t>
  </si>
  <si>
    <t>M010</t>
  </si>
  <si>
    <t>TX000169</t>
  </si>
  <si>
    <t>183.39.94.209</t>
  </si>
  <si>
    <t>TX000170</t>
  </si>
  <si>
    <t>AC00331</t>
  </si>
  <si>
    <t>D000148</t>
  </si>
  <si>
    <t>219.193.239.152</t>
  </si>
  <si>
    <t>M013</t>
  </si>
  <si>
    <t>TX000171</t>
  </si>
  <si>
    <t>AC00474</t>
  </si>
  <si>
    <t>M018</t>
  </si>
  <si>
    <t>TX000172</t>
  </si>
  <si>
    <t>AC00268</t>
  </si>
  <si>
    <t>7.105.184.86</t>
  </si>
  <si>
    <t>TX000173</t>
  </si>
  <si>
    <t>AC00247</t>
  </si>
  <si>
    <t>D000666</t>
  </si>
  <si>
    <t>M088</t>
  </si>
  <si>
    <t>TX000174</t>
  </si>
  <si>
    <t>AC00298</t>
  </si>
  <si>
    <t>D000327</t>
  </si>
  <si>
    <t>184.59.28.72</t>
  </si>
  <si>
    <t>TX000175</t>
  </si>
  <si>
    <t>D000061</t>
  </si>
  <si>
    <t>TX000176</t>
  </si>
  <si>
    <t>AC00035</t>
  </si>
  <si>
    <t>D000059</t>
  </si>
  <si>
    <t>155.37.19.43</t>
  </si>
  <si>
    <t>TX000177</t>
  </si>
  <si>
    <t>AC00363</t>
  </si>
  <si>
    <t>D000213</t>
  </si>
  <si>
    <t>93.52.44.101</t>
  </si>
  <si>
    <t>TX000178</t>
  </si>
  <si>
    <t>AC00273</t>
  </si>
  <si>
    <t>D000424</t>
  </si>
  <si>
    <t>110.235.207.187</t>
  </si>
  <si>
    <t>TX000179</t>
  </si>
  <si>
    <t>AC00156</t>
  </si>
  <si>
    <t>D000455</t>
  </si>
  <si>
    <t>61.95.76.233</t>
  </si>
  <si>
    <t>TX000180</t>
  </si>
  <si>
    <t>177.116.108.246</t>
  </si>
  <si>
    <t>TX000181</t>
  </si>
  <si>
    <t>AC00036</t>
  </si>
  <si>
    <t>D000030</t>
  </si>
  <si>
    <t>TX000182</t>
  </si>
  <si>
    <t>D000150</t>
  </si>
  <si>
    <t>223.32.70.156</t>
  </si>
  <si>
    <t>TX000183</t>
  </si>
  <si>
    <t>AC00225</t>
  </si>
  <si>
    <t>D000272</t>
  </si>
  <si>
    <t>TX000184</t>
  </si>
  <si>
    <t>AC00077</t>
  </si>
  <si>
    <t>TX000185</t>
  </si>
  <si>
    <t>AC00440</t>
  </si>
  <si>
    <t>D000626</t>
  </si>
  <si>
    <t>TX000186</t>
  </si>
  <si>
    <t>AC00321</t>
  </si>
  <si>
    <t>D000301</t>
  </si>
  <si>
    <t>30.229.179.194</t>
  </si>
  <si>
    <t>TX000187</t>
  </si>
  <si>
    <t>AC00099</t>
  </si>
  <si>
    <t>D000208</t>
  </si>
  <si>
    <t>32.240.176.64</t>
  </si>
  <si>
    <t>TX000188</t>
  </si>
  <si>
    <t>AC00258</t>
  </si>
  <si>
    <t>D000091</t>
  </si>
  <si>
    <t>200.22.195.243</t>
  </si>
  <si>
    <t>M084</t>
  </si>
  <si>
    <t>TX000189</t>
  </si>
  <si>
    <t>AC00132</t>
  </si>
  <si>
    <t>D000503</t>
  </si>
  <si>
    <t>10.191.172.154</t>
  </si>
  <si>
    <t>TX000190</t>
  </si>
  <si>
    <t>AC00113</t>
  </si>
  <si>
    <t>D000414</t>
  </si>
  <si>
    <t>147.119.62.178</t>
  </si>
  <si>
    <t>TX000191</t>
  </si>
  <si>
    <t>D000569</t>
  </si>
  <si>
    <t>M072</t>
  </si>
  <si>
    <t>TX000192</t>
  </si>
  <si>
    <t>D000631</t>
  </si>
  <si>
    <t>206.62.122.93</t>
  </si>
  <si>
    <t>TX000193</t>
  </si>
  <si>
    <t>D000173</t>
  </si>
  <si>
    <t>42.61.10.112</t>
  </si>
  <si>
    <t>TX000194</t>
  </si>
  <si>
    <t>AC00047</t>
  </si>
  <si>
    <t>D000538</t>
  </si>
  <si>
    <t>170.225.23.251</t>
  </si>
  <si>
    <t>TX000195</t>
  </si>
  <si>
    <t>AC00005</t>
  </si>
  <si>
    <t>198.24.183.157</t>
  </si>
  <si>
    <t>TX000196</t>
  </si>
  <si>
    <t>D000215</t>
  </si>
  <si>
    <t>TX000197</t>
  </si>
  <si>
    <t>AC00426</t>
  </si>
  <si>
    <t>194.88.79.54</t>
  </si>
  <si>
    <t>TX000198</t>
  </si>
  <si>
    <t>AC00107</t>
  </si>
  <si>
    <t>D000082</t>
  </si>
  <si>
    <t>M069</t>
  </si>
  <si>
    <t>TX000199</t>
  </si>
  <si>
    <t>AC00237</t>
  </si>
  <si>
    <t>D000022</t>
  </si>
  <si>
    <t>31.127.129.152</t>
  </si>
  <si>
    <t>M038</t>
  </si>
  <si>
    <t>TX000200</t>
  </si>
  <si>
    <t>35.220.238.127</t>
  </si>
  <si>
    <t>TX000201</t>
  </si>
  <si>
    <t>D000014</t>
  </si>
  <si>
    <t>1.7.29.72</t>
  </si>
  <si>
    <t>TX000202</t>
  </si>
  <si>
    <t>D000129</t>
  </si>
  <si>
    <t>16.51.235.240</t>
  </si>
  <si>
    <t>TX000203</t>
  </si>
  <si>
    <t>AC00499</t>
  </si>
  <si>
    <t>TX000204</t>
  </si>
  <si>
    <t>193.217.248.188</t>
  </si>
  <si>
    <t>TX000205</t>
  </si>
  <si>
    <t>AC00452</t>
  </si>
  <si>
    <t>D000374</t>
  </si>
  <si>
    <t>192.95.36.246</t>
  </si>
  <si>
    <t>TX000206</t>
  </si>
  <si>
    <t>AC00020</t>
  </si>
  <si>
    <t>D000582</t>
  </si>
  <si>
    <t>205.69.66.135</t>
  </si>
  <si>
    <t>TX000207</t>
  </si>
  <si>
    <t>AC00181</t>
  </si>
  <si>
    <t>D000657</t>
  </si>
  <si>
    <t>8.244.162.185</t>
  </si>
  <si>
    <t>TX000208</t>
  </si>
  <si>
    <t>AC00370</t>
  </si>
  <si>
    <t>M061</t>
  </si>
  <si>
    <t>TX000209</t>
  </si>
  <si>
    <t>166.7.230.111</t>
  </si>
  <si>
    <t>TX000210</t>
  </si>
  <si>
    <t>AC00339</t>
  </si>
  <si>
    <t>D000537</t>
  </si>
  <si>
    <t>TX000211</t>
  </si>
  <si>
    <t>AC00249</t>
  </si>
  <si>
    <t>D000700</t>
  </si>
  <si>
    <t>21.190.11.223</t>
  </si>
  <si>
    <t>TX000212</t>
  </si>
  <si>
    <t>AC00479</t>
  </si>
  <si>
    <t>40.192.99.27</t>
  </si>
  <si>
    <t>TX000213</t>
  </si>
  <si>
    <t>AC00301</t>
  </si>
  <si>
    <t>D000007</t>
  </si>
  <si>
    <t>TX000214</t>
  </si>
  <si>
    <t>D000531</t>
  </si>
  <si>
    <t>184.146.10.88</t>
  </si>
  <si>
    <t>TX000215</t>
  </si>
  <si>
    <t>AC00130</t>
  </si>
  <si>
    <t>D000248</t>
  </si>
  <si>
    <t>34.169.232.37</t>
  </si>
  <si>
    <t>TX000216</t>
  </si>
  <si>
    <t>AC00006</t>
  </si>
  <si>
    <t>D000139</t>
  </si>
  <si>
    <t>161.161.26.115</t>
  </si>
  <si>
    <t>TX000217</t>
  </si>
  <si>
    <t>AC00096</t>
  </si>
  <si>
    <t>D000517</t>
  </si>
  <si>
    <t>119.163.214.161</t>
  </si>
  <si>
    <t>TX000218</t>
  </si>
  <si>
    <t>D000637</t>
  </si>
  <si>
    <t>155.19.119.0</t>
  </si>
  <si>
    <t>TX000219</t>
  </si>
  <si>
    <t>D000223</t>
  </si>
  <si>
    <t>28.149.72.129</t>
  </si>
  <si>
    <t>TX000220</t>
  </si>
  <si>
    <t>AC00417</t>
  </si>
  <si>
    <t>D000676</t>
  </si>
  <si>
    <t>78.100.105.143</t>
  </si>
  <si>
    <t>TX000221</t>
  </si>
  <si>
    <t>AC00391</t>
  </si>
  <si>
    <t>D000203</t>
  </si>
  <si>
    <t>27.215.118.94</t>
  </si>
  <si>
    <t>TX000222</t>
  </si>
  <si>
    <t>AC00414</t>
  </si>
  <si>
    <t>D000460</t>
  </si>
  <si>
    <t>91.204.200.167</t>
  </si>
  <si>
    <t>TX000223</t>
  </si>
  <si>
    <t>AC00004</t>
  </si>
  <si>
    <t>D000183</t>
  </si>
  <si>
    <t>188.205.152.176</t>
  </si>
  <si>
    <t>TX000224</t>
  </si>
  <si>
    <t>D000214</t>
  </si>
  <si>
    <t>62.27.235.199</t>
  </si>
  <si>
    <t>TX000225</t>
  </si>
  <si>
    <t>AC00198</t>
  </si>
  <si>
    <t>D000315</t>
  </si>
  <si>
    <t>136.104.90.223</t>
  </si>
  <si>
    <t>TX000226</t>
  </si>
  <si>
    <t>AC00314</t>
  </si>
  <si>
    <t>D000029</t>
  </si>
  <si>
    <t>129.102.184.189</t>
  </si>
  <si>
    <t>TX000227</t>
  </si>
  <si>
    <t>AC00212</t>
  </si>
  <si>
    <t>D000440</t>
  </si>
  <si>
    <t>TX000228</t>
  </si>
  <si>
    <t>80.92.209.207</t>
  </si>
  <si>
    <t>TX000229</t>
  </si>
  <si>
    <t>D000652</t>
  </si>
  <si>
    <t>178.34.103.183</t>
  </si>
  <si>
    <t>TX000230</t>
  </si>
  <si>
    <t>12.246.170.239</t>
  </si>
  <si>
    <t>TX000231</t>
  </si>
  <si>
    <t>D000551</t>
  </si>
  <si>
    <t>TX000232</t>
  </si>
  <si>
    <t>AC00430</t>
  </si>
  <si>
    <t>205.45.234.42</t>
  </si>
  <si>
    <t>TX000233</t>
  </si>
  <si>
    <t>AC00299</t>
  </si>
  <si>
    <t>D000485</t>
  </si>
  <si>
    <t>TX000234</t>
  </si>
  <si>
    <t>AC00345</t>
  </si>
  <si>
    <t>160.74.183.38</t>
  </si>
  <si>
    <t>TX000235</t>
  </si>
  <si>
    <t>D000571</t>
  </si>
  <si>
    <t>93.170.203.44</t>
  </si>
  <si>
    <t>TX000236</t>
  </si>
  <si>
    <t>AC00175</t>
  </si>
  <si>
    <t>D000519</t>
  </si>
  <si>
    <t>161.25.82.11</t>
  </si>
  <si>
    <t>TX000237</t>
  </si>
  <si>
    <t>D000167</t>
  </si>
  <si>
    <t>107.247.202.71</t>
  </si>
  <si>
    <t>M037</t>
  </si>
  <si>
    <t>TX000238</t>
  </si>
  <si>
    <t>D000221</t>
  </si>
  <si>
    <t>218.238.171.184</t>
  </si>
  <si>
    <t>M082</t>
  </si>
  <si>
    <t>TX000239</t>
  </si>
  <si>
    <t>AC00394</t>
  </si>
  <si>
    <t>D000417</t>
  </si>
  <si>
    <t>TX000240</t>
  </si>
  <si>
    <t>AC00026</t>
  </si>
  <si>
    <t>D000419</t>
  </si>
  <si>
    <t>13.88.251.53</t>
  </si>
  <si>
    <t>TX000241</t>
  </si>
  <si>
    <t>AC00076</t>
  </si>
  <si>
    <t>D000450</t>
  </si>
  <si>
    <t>176.96.83.253</t>
  </si>
  <si>
    <t>TX000242</t>
  </si>
  <si>
    <t>AC00215</t>
  </si>
  <si>
    <t>D000609</t>
  </si>
  <si>
    <t>211.97.88.141</t>
  </si>
  <si>
    <t>M031</t>
  </si>
  <si>
    <t>TX000243</t>
  </si>
  <si>
    <t>32.13.122.242</t>
  </si>
  <si>
    <t>TX000244</t>
  </si>
  <si>
    <t>AC00400</t>
  </si>
  <si>
    <t>D000191</t>
  </si>
  <si>
    <t>TX000245</t>
  </si>
  <si>
    <t>148.25.159.90</t>
  </si>
  <si>
    <t>TX000246</t>
  </si>
  <si>
    <t>AC00260</t>
  </si>
  <si>
    <t>D000507</t>
  </si>
  <si>
    <t>TX000247</t>
  </si>
  <si>
    <t>AC00415</t>
  </si>
  <si>
    <t>29.168.185.63</t>
  </si>
  <si>
    <t>M080</t>
  </si>
  <si>
    <t>TX000248</t>
  </si>
  <si>
    <t>AC00337</t>
  </si>
  <si>
    <t>D000411</t>
  </si>
  <si>
    <t>60.166.231.236</t>
  </si>
  <si>
    <t>TX000249</t>
  </si>
  <si>
    <t>AC00253</t>
  </si>
  <si>
    <t>D000209</t>
  </si>
  <si>
    <t>TX000250</t>
  </si>
  <si>
    <t>AC00126</t>
  </si>
  <si>
    <t>D000210</t>
  </si>
  <si>
    <t>196.121.240.10</t>
  </si>
  <si>
    <t>TX000251</t>
  </si>
  <si>
    <t>AC00304</t>
  </si>
  <si>
    <t>D000651</t>
  </si>
  <si>
    <t>TX000252</t>
  </si>
  <si>
    <t>AC00470</t>
  </si>
  <si>
    <t>D000534</t>
  </si>
  <si>
    <t>150.231.20.169</t>
  </si>
  <si>
    <t>TX000253</t>
  </si>
  <si>
    <t>124.180.225.109</t>
  </si>
  <si>
    <t>TX000254</t>
  </si>
  <si>
    <t>52.196.112.199</t>
  </si>
  <si>
    <t>M021</t>
  </si>
  <si>
    <t>TX000255</t>
  </si>
  <si>
    <t>D000207</t>
  </si>
  <si>
    <t>TX000256</t>
  </si>
  <si>
    <t>D000563</t>
  </si>
  <si>
    <t>168.55.35.243</t>
  </si>
  <si>
    <t>TX000257</t>
  </si>
  <si>
    <t>AC00073</t>
  </si>
  <si>
    <t>D000149</t>
  </si>
  <si>
    <t>52.1.78.30</t>
  </si>
  <si>
    <t>TX000258</t>
  </si>
  <si>
    <t>6.44.165.160</t>
  </si>
  <si>
    <t>TX000259</t>
  </si>
  <si>
    <t>D000136</t>
  </si>
  <si>
    <t>TX000260</t>
  </si>
  <si>
    <t>AC00307</t>
  </si>
  <si>
    <t>201.114.165.141</t>
  </si>
  <si>
    <t>TX000261</t>
  </si>
  <si>
    <t>135.29.211.116</t>
  </si>
  <si>
    <t>TX000262</t>
  </si>
  <si>
    <t>AC00448</t>
  </si>
  <si>
    <t>D000385</t>
  </si>
  <si>
    <t>TX000263</t>
  </si>
  <si>
    <t>AC00194</t>
  </si>
  <si>
    <t>D000388</t>
  </si>
  <si>
    <t>TX000264</t>
  </si>
  <si>
    <t>D000611</t>
  </si>
  <si>
    <t>82.75.200.117</t>
  </si>
  <si>
    <t>TX000265</t>
  </si>
  <si>
    <t>AC00366</t>
  </si>
  <si>
    <t>D000257</t>
  </si>
  <si>
    <t>TX000266</t>
  </si>
  <si>
    <t>AC00338</t>
  </si>
  <si>
    <t>D000482</t>
  </si>
  <si>
    <t>TX000267</t>
  </si>
  <si>
    <t>138.210.196.19</t>
  </si>
  <si>
    <t>TX000268</t>
  </si>
  <si>
    <t>AC00424</t>
  </si>
  <si>
    <t>D000583</t>
  </si>
  <si>
    <t>104.80.232.55</t>
  </si>
  <si>
    <t>TX000269</t>
  </si>
  <si>
    <t>AC00147</t>
  </si>
  <si>
    <t>D000508</t>
  </si>
  <si>
    <t>TX000270</t>
  </si>
  <si>
    <t>AC00171</t>
  </si>
  <si>
    <t>D000470</t>
  </si>
  <si>
    <t>211.42.9.0</t>
  </si>
  <si>
    <t>TX000271</t>
  </si>
  <si>
    <t>AC00023</t>
  </si>
  <si>
    <t>D000623</t>
  </si>
  <si>
    <t>TX000272</t>
  </si>
  <si>
    <t>AC00263</t>
  </si>
  <si>
    <t>D000056</t>
  </si>
  <si>
    <t>TX000273</t>
  </si>
  <si>
    <t>D000618</t>
  </si>
  <si>
    <t>89.21.156.229</t>
  </si>
  <si>
    <t>TX000274</t>
  </si>
  <si>
    <t>134.247.5.188</t>
  </si>
  <si>
    <t>TX000275</t>
  </si>
  <si>
    <t>AC00454</t>
  </si>
  <si>
    <t>D000476</t>
  </si>
  <si>
    <t>50.202.8.53</t>
  </si>
  <si>
    <t>TX000276</t>
  </si>
  <si>
    <t>207.157.126.125</t>
  </si>
  <si>
    <t>TX000277</t>
  </si>
  <si>
    <t>TX000278</t>
  </si>
  <si>
    <t>D000217</t>
  </si>
  <si>
    <t>164.75.163.220</t>
  </si>
  <si>
    <t>TX000279</t>
  </si>
  <si>
    <t>AC00009</t>
  </si>
  <si>
    <t>TX000280</t>
  </si>
  <si>
    <t>D000641</t>
  </si>
  <si>
    <t>112.56.160.202</t>
  </si>
  <si>
    <t>TX000281</t>
  </si>
  <si>
    <t>AC00133</t>
  </si>
  <si>
    <t>98.39.212.221</t>
  </si>
  <si>
    <t>TX000282</t>
  </si>
  <si>
    <t>AC00362</t>
  </si>
  <si>
    <t>D000484</t>
  </si>
  <si>
    <t>85.239.236.80</t>
  </si>
  <si>
    <t>TX000283</t>
  </si>
  <si>
    <t>D000278</t>
  </si>
  <si>
    <t>146.69.70.214</t>
  </si>
  <si>
    <t>TX000284</t>
  </si>
  <si>
    <t>AC00387</t>
  </si>
  <si>
    <t>TX000285</t>
  </si>
  <si>
    <t>AC00451</t>
  </si>
  <si>
    <t>TX000286</t>
  </si>
  <si>
    <t>AC00033</t>
  </si>
  <si>
    <t>D000249</t>
  </si>
  <si>
    <t>41.0.10.107</t>
  </si>
  <si>
    <t>TX000287</t>
  </si>
  <si>
    <t>D000270</t>
  </si>
  <si>
    <t>162.207.77.170</t>
  </si>
  <si>
    <t>TX000288</t>
  </si>
  <si>
    <t>D000658</t>
  </si>
  <si>
    <t>217.233.219.196</t>
  </si>
  <si>
    <t>TX000289</t>
  </si>
  <si>
    <t>D000332</t>
  </si>
  <si>
    <t>TX000290</t>
  </si>
  <si>
    <t>AC00093</t>
  </si>
  <si>
    <t>D000567</t>
  </si>
  <si>
    <t>158.135.64.240</t>
  </si>
  <si>
    <t>TX000291</t>
  </si>
  <si>
    <t>D000263</t>
  </si>
  <si>
    <t>TX000292</t>
  </si>
  <si>
    <t>TX000293</t>
  </si>
  <si>
    <t>AC00189</t>
  </si>
  <si>
    <t>D000407</t>
  </si>
  <si>
    <t>TX000294</t>
  </si>
  <si>
    <t>AC00495</t>
  </si>
  <si>
    <t>D000640</t>
  </si>
  <si>
    <t>173.232.121.213</t>
  </si>
  <si>
    <t>TX000295</t>
  </si>
  <si>
    <t>AC00148</t>
  </si>
  <si>
    <t>D000383</t>
  </si>
  <si>
    <t>TX000296</t>
  </si>
  <si>
    <t>D000348</t>
  </si>
  <si>
    <t>171.101.134.74</t>
  </si>
  <si>
    <t>TX000297</t>
  </si>
  <si>
    <t>AC00381</t>
  </si>
  <si>
    <t>D000540</t>
  </si>
  <si>
    <t>TX000298</t>
  </si>
  <si>
    <t>D000320</t>
  </si>
  <si>
    <t>TX000299</t>
  </si>
  <si>
    <t>D000395</t>
  </si>
  <si>
    <t>89.6.100.149</t>
  </si>
  <si>
    <t>TX000300</t>
  </si>
  <si>
    <t>64.89.183.39</t>
  </si>
  <si>
    <t>TX000301</t>
  </si>
  <si>
    <t>AC00119</t>
  </si>
  <si>
    <t>TX000302</t>
  </si>
  <si>
    <t>AC00488</t>
  </si>
  <si>
    <t>24.181.236.233</t>
  </si>
  <si>
    <t>TX000303</t>
  </si>
  <si>
    <t>AC00466</t>
  </si>
  <si>
    <t>D000084</t>
  </si>
  <si>
    <t>14.200.197.126</t>
  </si>
  <si>
    <t>TX000304</t>
  </si>
  <si>
    <t>AC00489</t>
  </si>
  <si>
    <t>D000483</t>
  </si>
  <si>
    <t>TX000305</t>
  </si>
  <si>
    <t>AC00306</t>
  </si>
  <si>
    <t>D000169</t>
  </si>
  <si>
    <t>171.150.178.172</t>
  </si>
  <si>
    <t>TX000306</t>
  </si>
  <si>
    <t>AC00431</t>
  </si>
  <si>
    <t>D000043</t>
  </si>
  <si>
    <t>TX000307</t>
  </si>
  <si>
    <t>AC00233</t>
  </si>
  <si>
    <t>D000443</t>
  </si>
  <si>
    <t>195.164.171.146</t>
  </si>
  <si>
    <t>TX000308</t>
  </si>
  <si>
    <t>AC00389</t>
  </si>
  <si>
    <t>D000245</t>
  </si>
  <si>
    <t>TX000309</t>
  </si>
  <si>
    <t>AC00067</t>
  </si>
  <si>
    <t>D000585</t>
  </si>
  <si>
    <t>150.83.4.238</t>
  </si>
  <si>
    <t>TX000310</t>
  </si>
  <si>
    <t>AC00300</t>
  </si>
  <si>
    <t>D000146</t>
  </si>
  <si>
    <t>TX000311</t>
  </si>
  <si>
    <t>AC00386</t>
  </si>
  <si>
    <t>D000668</t>
  </si>
  <si>
    <t>155.140.33.42</t>
  </si>
  <si>
    <t>TX000312</t>
  </si>
  <si>
    <t>83.207.115.164</t>
  </si>
  <si>
    <t>TX000313</t>
  </si>
  <si>
    <t>AC00219</t>
  </si>
  <si>
    <t>D000511</t>
  </si>
  <si>
    <t>86.220.59.252</t>
  </si>
  <si>
    <t>M024</t>
  </si>
  <si>
    <t>TX000314</t>
  </si>
  <si>
    <t>D000343</t>
  </si>
  <si>
    <t>TX000315</t>
  </si>
  <si>
    <t>AC00371</t>
  </si>
  <si>
    <t>D000151</t>
  </si>
  <si>
    <t>200.164.13.160</t>
  </si>
  <si>
    <t>TX000316</t>
  </si>
  <si>
    <t>AC00164</t>
  </si>
  <si>
    <t>D000581</t>
  </si>
  <si>
    <t>109.42.41.157</t>
  </si>
  <si>
    <t>TX000317</t>
  </si>
  <si>
    <t>AC00200</t>
  </si>
  <si>
    <t>D000177</t>
  </si>
  <si>
    <t>TX000318</t>
  </si>
  <si>
    <t>D000154</t>
  </si>
  <si>
    <t>100.137.90.188</t>
  </si>
  <si>
    <t>TX000319</t>
  </si>
  <si>
    <t>D000433</t>
  </si>
  <si>
    <t>TX000320</t>
  </si>
  <si>
    <t>AC00444</t>
  </si>
  <si>
    <t>40.198.240.246</t>
  </si>
  <si>
    <t>TX000321</t>
  </si>
  <si>
    <t>26.105.49.129</t>
  </si>
  <si>
    <t>TX000322</t>
  </si>
  <si>
    <t>D000421</t>
  </si>
  <si>
    <t>189.198.67.252</t>
  </si>
  <si>
    <t>TX000323</t>
  </si>
  <si>
    <t>TX000324</t>
  </si>
  <si>
    <t>AC00248</t>
  </si>
  <si>
    <t>TX000325</t>
  </si>
  <si>
    <t>AC00286</t>
  </si>
  <si>
    <t>D000351</t>
  </si>
  <si>
    <t>45.241.13.208</t>
  </si>
  <si>
    <t>TX000326</t>
  </si>
  <si>
    <t>AC00049</t>
  </si>
  <si>
    <t>D000224</t>
  </si>
  <si>
    <t>201.113.165.203</t>
  </si>
  <si>
    <t>TX000327</t>
  </si>
  <si>
    <t>D000683</t>
  </si>
  <si>
    <t>38.210.156.148</t>
  </si>
  <si>
    <t>TX000328</t>
  </si>
  <si>
    <t>D000427</t>
  </si>
  <si>
    <t>TX000329</t>
  </si>
  <si>
    <t>D000416</t>
  </si>
  <si>
    <t>87.234.36.48</t>
  </si>
  <si>
    <t>TX000330</t>
  </si>
  <si>
    <t>AC00316</t>
  </si>
  <si>
    <t>TX000331</t>
  </si>
  <si>
    <t>D000101</t>
  </si>
  <si>
    <t>157.130.28.27</t>
  </si>
  <si>
    <t>TX000332</t>
  </si>
  <si>
    <t>D000693</t>
  </si>
  <si>
    <t>57.232.212.116</t>
  </si>
  <si>
    <t>TX000333</t>
  </si>
  <si>
    <t>AC00418</t>
  </si>
  <si>
    <t>D000399</t>
  </si>
  <si>
    <t>TX000334</t>
  </si>
  <si>
    <t>AC00187</t>
  </si>
  <si>
    <t>TX000335</t>
  </si>
  <si>
    <t>D000280</t>
  </si>
  <si>
    <t>138.181.222.38</t>
  </si>
  <si>
    <t>TX000336</t>
  </si>
  <si>
    <t>AC00141</t>
  </si>
  <si>
    <t>D000398</t>
  </si>
  <si>
    <t>TX000337</t>
  </si>
  <si>
    <t>TX000338</t>
  </si>
  <si>
    <t>D000675</t>
  </si>
  <si>
    <t>104.155.121.252</t>
  </si>
  <si>
    <t>TX000339</t>
  </si>
  <si>
    <t>D000588</t>
  </si>
  <si>
    <t>14.105.144.122</t>
  </si>
  <si>
    <t>M079</t>
  </si>
  <si>
    <t>TX000340</t>
  </si>
  <si>
    <t>2.61.10.58</t>
  </si>
  <si>
    <t>TX000341</t>
  </si>
  <si>
    <t>TX000342</t>
  </si>
  <si>
    <t>D000689</t>
  </si>
  <si>
    <t>M096</t>
  </si>
  <si>
    <t>TX000343</t>
  </si>
  <si>
    <t>AC00493</t>
  </si>
  <si>
    <t>D000597</t>
  </si>
  <si>
    <t>47.82.77.181</t>
  </si>
  <si>
    <t>TX000344</t>
  </si>
  <si>
    <t>AC00232</t>
  </si>
  <si>
    <t>D000473</t>
  </si>
  <si>
    <t>48.19.99.211</t>
  </si>
  <si>
    <t>TX000345</t>
  </si>
  <si>
    <t>D000312</t>
  </si>
  <si>
    <t>210.136.14.108</t>
  </si>
  <si>
    <t>TX000346</t>
  </si>
  <si>
    <t>TX000347</t>
  </si>
  <si>
    <t>AC00375</t>
  </si>
  <si>
    <t>D000283</t>
  </si>
  <si>
    <t>TX000348</t>
  </si>
  <si>
    <t>AC00034</t>
  </si>
  <si>
    <t>D000072</t>
  </si>
  <si>
    <t>59.208.79.116</t>
  </si>
  <si>
    <t>TX000349</t>
  </si>
  <si>
    <t>AC00376</t>
  </si>
  <si>
    <t>76.0.164.168</t>
  </si>
  <si>
    <t>TX000350</t>
  </si>
  <si>
    <t>AC00029</t>
  </si>
  <si>
    <t>TX000351</t>
  </si>
  <si>
    <t>AC00040</t>
  </si>
  <si>
    <t>D000504</t>
  </si>
  <si>
    <t>112.86.148.212</t>
  </si>
  <si>
    <t>TX000352</t>
  </si>
  <si>
    <t>D000230</t>
  </si>
  <si>
    <t>173.252.44.183</t>
  </si>
  <si>
    <t>TX000353</t>
  </si>
  <si>
    <t>TX000354</t>
  </si>
  <si>
    <t>116.237.223.50</t>
  </si>
  <si>
    <t>TX000355</t>
  </si>
  <si>
    <t>D000391</t>
  </si>
  <si>
    <t>TX000356</t>
  </si>
  <si>
    <t>197.187.216.106</t>
  </si>
  <si>
    <t>TX000357</t>
  </si>
  <si>
    <t>AC00261</t>
  </si>
  <si>
    <t>D000095</t>
  </si>
  <si>
    <t>TX000358</t>
  </si>
  <si>
    <t>D000045</t>
  </si>
  <si>
    <t>TX000359</t>
  </si>
  <si>
    <t>TX000360</t>
  </si>
  <si>
    <t>AC00165</t>
  </si>
  <si>
    <t>D000686</t>
  </si>
  <si>
    <t>59.12.96.11</t>
  </si>
  <si>
    <t>TX000361</t>
  </si>
  <si>
    <t>D000016</t>
  </si>
  <si>
    <t>TX000362</t>
  </si>
  <si>
    <t>AC00192</t>
  </si>
  <si>
    <t>D000402</t>
  </si>
  <si>
    <t>4.105.134.118</t>
  </si>
  <si>
    <t>TX000363</t>
  </si>
  <si>
    <t>AC00063</t>
  </si>
  <si>
    <t>214.247.164.80</t>
  </si>
  <si>
    <t>M050</t>
  </si>
  <si>
    <t>TX000364</t>
  </si>
  <si>
    <t>D000564</t>
  </si>
  <si>
    <t>70.130.169.235</t>
  </si>
  <si>
    <t>M011</t>
  </si>
  <si>
    <t>TX000365</t>
  </si>
  <si>
    <t>156.235.3.171</t>
  </si>
  <si>
    <t>TX000366</t>
  </si>
  <si>
    <t>TX000367</t>
  </si>
  <si>
    <t>TX000368</t>
  </si>
  <si>
    <t>D000092</t>
  </si>
  <si>
    <t>TX000369</t>
  </si>
  <si>
    <t>AC00327</t>
  </si>
  <si>
    <t>D000364</t>
  </si>
  <si>
    <t>64.57.44.102</t>
  </si>
  <si>
    <t>TX000370</t>
  </si>
  <si>
    <t>AC00269</t>
  </si>
  <si>
    <t>D000602</t>
  </si>
  <si>
    <t>157.164.245.130</t>
  </si>
  <si>
    <t>TX000371</t>
  </si>
  <si>
    <t>D000004</t>
  </si>
  <si>
    <t>72.192.101.196</t>
  </si>
  <si>
    <t>TX000372</t>
  </si>
  <si>
    <t>AC00322</t>
  </si>
  <si>
    <t>D000244</t>
  </si>
  <si>
    <t>147.114.91.132</t>
  </si>
  <si>
    <t>TX000373</t>
  </si>
  <si>
    <t>66.23.166.248</t>
  </si>
  <si>
    <t>TX000374</t>
  </si>
  <si>
    <t>D000194</t>
  </si>
  <si>
    <t>57.166.147.242</t>
  </si>
  <si>
    <t>TX000375</t>
  </si>
  <si>
    <t>175.166.115.182</t>
  </si>
  <si>
    <t>TX000376</t>
  </si>
  <si>
    <t>D000113</t>
  </si>
  <si>
    <t>TX000377</t>
  </si>
  <si>
    <t>AC00131</t>
  </si>
  <si>
    <t>TX000378</t>
  </si>
  <si>
    <t>D000446</t>
  </si>
  <si>
    <t>TX000379</t>
  </si>
  <si>
    <t>AC00410</t>
  </si>
  <si>
    <t>D000445</t>
  </si>
  <si>
    <t>137.135.250.168</t>
  </si>
  <si>
    <t>TX000380</t>
  </si>
  <si>
    <t>D000406</t>
  </si>
  <si>
    <t>TX000381</t>
  </si>
  <si>
    <t>AC00329</t>
  </si>
  <si>
    <t>D000156</t>
  </si>
  <si>
    <t>TX000382</t>
  </si>
  <si>
    <t>AC00021</t>
  </si>
  <si>
    <t>D000106</t>
  </si>
  <si>
    <t>169.67.220.37</t>
  </si>
  <si>
    <t>TX000383</t>
  </si>
  <si>
    <t>AC00188</t>
  </si>
  <si>
    <t>189.20.224.220</t>
  </si>
  <si>
    <t>TX000384</t>
  </si>
  <si>
    <t>AC00341</t>
  </si>
  <si>
    <t>D000387</t>
  </si>
  <si>
    <t>69.61.96.139</t>
  </si>
  <si>
    <t>TX000385</t>
  </si>
  <si>
    <t>AC00090</t>
  </si>
  <si>
    <t>D000277</t>
  </si>
  <si>
    <t>TX000386</t>
  </si>
  <si>
    <t>D000020</t>
  </si>
  <si>
    <t>TX000387</t>
  </si>
  <si>
    <t>D000273</t>
  </si>
  <si>
    <t>76.136.92.235</t>
  </si>
  <si>
    <t>TX000388</t>
  </si>
  <si>
    <t>D000680</t>
  </si>
  <si>
    <t>200.136.146.93</t>
  </si>
  <si>
    <t>TX000389</t>
  </si>
  <si>
    <t>93.151.52.152</t>
  </si>
  <si>
    <t>TX000390</t>
  </si>
  <si>
    <t>AC00210</t>
  </si>
  <si>
    <t>D000274</t>
  </si>
  <si>
    <t>105.136.156.29</t>
  </si>
  <si>
    <t>TX000391</t>
  </si>
  <si>
    <t>AC00251</t>
  </si>
  <si>
    <t>3.70.1.133</t>
  </si>
  <si>
    <t>TX000392</t>
  </si>
  <si>
    <t>AC00116</t>
  </si>
  <si>
    <t>D000664</t>
  </si>
  <si>
    <t>83.80.89.29</t>
  </si>
  <si>
    <t>TX000393</t>
  </si>
  <si>
    <t>D000008</t>
  </si>
  <si>
    <t>180.224.54.115</t>
  </si>
  <si>
    <t>TX000394</t>
  </si>
  <si>
    <t>TX000395</t>
  </si>
  <si>
    <t>AC00326</t>
  </si>
  <si>
    <t>D000539</t>
  </si>
  <si>
    <t>TX000396</t>
  </si>
  <si>
    <t>153.178.166.93</t>
  </si>
  <si>
    <t>TX000397</t>
  </si>
  <si>
    <t>AC00039</t>
  </si>
  <si>
    <t>TX000398</t>
  </si>
  <si>
    <t>AC00293</t>
  </si>
  <si>
    <t>D000287</t>
  </si>
  <si>
    <t>TX000399</t>
  </si>
  <si>
    <t>93.169.212.219</t>
  </si>
  <si>
    <t>TX000400</t>
  </si>
  <si>
    <t>TX000401</t>
  </si>
  <si>
    <t>AC00145</t>
  </si>
  <si>
    <t>D000601</t>
  </si>
  <si>
    <t>148.234.210.167</t>
  </si>
  <si>
    <t>TX000402</t>
  </si>
  <si>
    <t>37.213.85.222</t>
  </si>
  <si>
    <t>TX000403</t>
  </si>
  <si>
    <t>AC00292</t>
  </si>
  <si>
    <t>D000573</t>
  </si>
  <si>
    <t>TX000404</t>
  </si>
  <si>
    <t>72.128.135.172</t>
  </si>
  <si>
    <t>TX000405</t>
  </si>
  <si>
    <t>AC00229</t>
  </si>
  <si>
    <t>D000672</t>
  </si>
  <si>
    <t>112.196.12.19</t>
  </si>
  <si>
    <t>TX000406</t>
  </si>
  <si>
    <t>D000110</t>
  </si>
  <si>
    <t>220.179.173.114</t>
  </si>
  <si>
    <t>TX000407</t>
  </si>
  <si>
    <t>120.32.147.210</t>
  </si>
  <si>
    <t>TX000408</t>
  </si>
  <si>
    <t>D000603</t>
  </si>
  <si>
    <t>199.103.32.145</t>
  </si>
  <si>
    <t>TX000409</t>
  </si>
  <si>
    <t>D000083</t>
  </si>
  <si>
    <t>97.4.209.133</t>
  </si>
  <si>
    <t>TX000410</t>
  </si>
  <si>
    <t>AC00136</t>
  </si>
  <si>
    <t>D000576</t>
  </si>
  <si>
    <t>20.147.6.179</t>
  </si>
  <si>
    <t>TX000411</t>
  </si>
  <si>
    <t>TX000412</t>
  </si>
  <si>
    <t>219.98.242.240</t>
  </si>
  <si>
    <t>TX000413</t>
  </si>
  <si>
    <t>D000451</t>
  </si>
  <si>
    <t>TX000414</t>
  </si>
  <si>
    <t>74.58.165.67</t>
  </si>
  <si>
    <t>TX000415</t>
  </si>
  <si>
    <t>TX000416</t>
  </si>
  <si>
    <t>196.244.194.198</t>
  </si>
  <si>
    <t>TX000417</t>
  </si>
  <si>
    <t>D000137</t>
  </si>
  <si>
    <t>TX000418</t>
  </si>
  <si>
    <t>AC00274</t>
  </si>
  <si>
    <t>D000220</t>
  </si>
  <si>
    <t>112.222.0.29</t>
  </si>
  <si>
    <t>TX000419</t>
  </si>
  <si>
    <t>TX000420</t>
  </si>
  <si>
    <t>D000599</t>
  </si>
  <si>
    <t>162.58.247.55</t>
  </si>
  <si>
    <t>TX000421</t>
  </si>
  <si>
    <t>30.92.249.132</t>
  </si>
  <si>
    <t>TX000422</t>
  </si>
  <si>
    <t>D000660</t>
  </si>
  <si>
    <t>TX000423</t>
  </si>
  <si>
    <t>TX000424</t>
  </si>
  <si>
    <t>AC00262</t>
  </si>
  <si>
    <t>D000234</t>
  </si>
  <si>
    <t>167.164.55.0</t>
  </si>
  <si>
    <t>TX000425</t>
  </si>
  <si>
    <t>147.227.81.224</t>
  </si>
  <si>
    <t>TX000426</t>
  </si>
  <si>
    <t>AC00490</t>
  </si>
  <si>
    <t>D000271</t>
  </si>
  <si>
    <t>TX000427</t>
  </si>
  <si>
    <t>D000386</t>
  </si>
  <si>
    <t>TX000428</t>
  </si>
  <si>
    <t>AC00196</t>
  </si>
  <si>
    <t>D000694</t>
  </si>
  <si>
    <t>TX000429</t>
  </si>
  <si>
    <t>49.172.82.247</t>
  </si>
  <si>
    <t>TX000430</t>
  </si>
  <si>
    <t>AC00357</t>
  </si>
  <si>
    <t>32.71.250.58</t>
  </si>
  <si>
    <t>TX000431</t>
  </si>
  <si>
    <t>AC00443</t>
  </si>
  <si>
    <t>TX000432</t>
  </si>
  <si>
    <t>D000670</t>
  </si>
  <si>
    <t>59.127.135.25</t>
  </si>
  <si>
    <t>M068</t>
  </si>
  <si>
    <t>TX000433</t>
  </si>
  <si>
    <t>D000140</t>
  </si>
  <si>
    <t>TX000434</t>
  </si>
  <si>
    <t>AC00475</t>
  </si>
  <si>
    <t>D000514</t>
  </si>
  <si>
    <t>TX000435</t>
  </si>
  <si>
    <t>TX000436</t>
  </si>
  <si>
    <t>D000102</t>
  </si>
  <si>
    <t>TX000437</t>
  </si>
  <si>
    <t>203.197.235.35</t>
  </si>
  <si>
    <t>TX000438</t>
  </si>
  <si>
    <t>AC00080</t>
  </si>
  <si>
    <t>D000124</t>
  </si>
  <si>
    <t>TX000439</t>
  </si>
  <si>
    <t>D000317</t>
  </si>
  <si>
    <t>90.111.245.138</t>
  </si>
  <si>
    <t>TX000440</t>
  </si>
  <si>
    <t>AC00420</t>
  </si>
  <si>
    <t>D000160</t>
  </si>
  <si>
    <t>TX000441</t>
  </si>
  <si>
    <t>219.96.187.255</t>
  </si>
  <si>
    <t>TX000442</t>
  </si>
  <si>
    <t>AC00351</t>
  </si>
  <si>
    <t>D000264</t>
  </si>
  <si>
    <t>TX000443</t>
  </si>
  <si>
    <t>D000444</t>
  </si>
  <si>
    <t>56.89.80.133</t>
  </si>
  <si>
    <t>TX000444</t>
  </si>
  <si>
    <t>TX000445</t>
  </si>
  <si>
    <t>AC00280</t>
  </si>
  <si>
    <t>D000593</t>
  </si>
  <si>
    <t>195.237.152.198</t>
  </si>
  <si>
    <t>TX000446</t>
  </si>
  <si>
    <t>D000549</t>
  </si>
  <si>
    <t>25.188.196.47</t>
  </si>
  <si>
    <t>TX000447</t>
  </si>
  <si>
    <t>AC00122</t>
  </si>
  <si>
    <t>M027</t>
  </si>
  <si>
    <t>TX000448</t>
  </si>
  <si>
    <t>206.84.69.39</t>
  </si>
  <si>
    <t>TX000449</t>
  </si>
  <si>
    <t>D000293</t>
  </si>
  <si>
    <t>146.47.189.38</t>
  </si>
  <si>
    <t>TX000450</t>
  </si>
  <si>
    <t>AC00407</t>
  </si>
  <si>
    <t>D000286</t>
  </si>
  <si>
    <t>166.41.54.117</t>
  </si>
  <si>
    <t>TX000451</t>
  </si>
  <si>
    <t>D000031</t>
  </si>
  <si>
    <t>TX000452</t>
  </si>
  <si>
    <t>D000079</t>
  </si>
  <si>
    <t>39.163.103.27</t>
  </si>
  <si>
    <t>TX000453</t>
  </si>
  <si>
    <t>D000373</t>
  </si>
  <si>
    <t>TX000454</t>
  </si>
  <si>
    <t>TX000455</t>
  </si>
  <si>
    <t>141.201.46.191</t>
  </si>
  <si>
    <t>TX000456</t>
  </si>
  <si>
    <t>TX000457</t>
  </si>
  <si>
    <t>D000501</t>
  </si>
  <si>
    <t>55.139.104.163</t>
  </si>
  <si>
    <t>TX000458</t>
  </si>
  <si>
    <t>AC00290</t>
  </si>
  <si>
    <t>D000430</t>
  </si>
  <si>
    <t>190.251.45.32</t>
  </si>
  <si>
    <t>TX000459</t>
  </si>
  <si>
    <t>TX000460</t>
  </si>
  <si>
    <t>D000242</t>
  </si>
  <si>
    <t>TX000461</t>
  </si>
  <si>
    <t>D000229</t>
  </si>
  <si>
    <t>188.225.207.71</t>
  </si>
  <si>
    <t>TX000462</t>
  </si>
  <si>
    <t>163.58.140.206</t>
  </si>
  <si>
    <t>TX000463</t>
  </si>
  <si>
    <t>AC00074</t>
  </si>
  <si>
    <t>D000630</t>
  </si>
  <si>
    <t>TX000464</t>
  </si>
  <si>
    <t>D000123</t>
  </si>
  <si>
    <t>84.237.126.96</t>
  </si>
  <si>
    <t>TX000465</t>
  </si>
  <si>
    <t>141.241.241.128</t>
  </si>
  <si>
    <t>TX000466</t>
  </si>
  <si>
    <t>TX000467</t>
  </si>
  <si>
    <t>185.23.87.107</t>
  </si>
  <si>
    <t>TX000468</t>
  </si>
  <si>
    <t>D000116</t>
  </si>
  <si>
    <t>TX000469</t>
  </si>
  <si>
    <t>AC00218</t>
  </si>
  <si>
    <t>TX000470</t>
  </si>
  <si>
    <t>TX000471</t>
  </si>
  <si>
    <t>D000181</t>
  </si>
  <si>
    <t>TX000472</t>
  </si>
  <si>
    <t>AC00398</t>
  </si>
  <si>
    <t>D000620</t>
  </si>
  <si>
    <t>TX000473</t>
  </si>
  <si>
    <t>AC00213</t>
  </si>
  <si>
    <t>TX000474</t>
  </si>
  <si>
    <t>D000422</t>
  </si>
  <si>
    <t>35.73.67.98</t>
  </si>
  <si>
    <t>TX000475</t>
  </si>
  <si>
    <t>D000403</t>
  </si>
  <si>
    <t>170.54.231.239</t>
  </si>
  <si>
    <t>TX000476</t>
  </si>
  <si>
    <t>TX000477</t>
  </si>
  <si>
    <t>34.86.220.205</t>
  </si>
  <si>
    <t>TX000478</t>
  </si>
  <si>
    <t>AC00054</t>
  </si>
  <si>
    <t>TX000479</t>
  </si>
  <si>
    <t>D000697</t>
  </si>
  <si>
    <t>TX000480</t>
  </si>
  <si>
    <t>AC00350</t>
  </si>
  <si>
    <t>D000457</t>
  </si>
  <si>
    <t>214.67.148.245</t>
  </si>
  <si>
    <t>TX000481</t>
  </si>
  <si>
    <t>TX000482</t>
  </si>
  <si>
    <t>D000175</t>
  </si>
  <si>
    <t>142.184.68.230</t>
  </si>
  <si>
    <t>TX000483</t>
  </si>
  <si>
    <t>TX000484</t>
  </si>
  <si>
    <t>AC00305</t>
  </si>
  <si>
    <t>D000195</t>
  </si>
  <si>
    <t>TX000485</t>
  </si>
  <si>
    <t>TX000486</t>
  </si>
  <si>
    <t>TX000487</t>
  </si>
  <si>
    <t>D000418</t>
  </si>
  <si>
    <t>TX000488</t>
  </si>
  <si>
    <t>D000667</t>
  </si>
  <si>
    <t>TX000489</t>
  </si>
  <si>
    <t>AC00463</t>
  </si>
  <si>
    <t>TX000490</t>
  </si>
  <si>
    <t>AC00256</t>
  </si>
  <si>
    <t>D000130</t>
  </si>
  <si>
    <t>187.52.200.18</t>
  </si>
  <si>
    <t>TX000491</t>
  </si>
  <si>
    <t>AC00166</t>
  </si>
  <si>
    <t>TX000492</t>
  </si>
  <si>
    <t>TX000493</t>
  </si>
  <si>
    <t>TX000494</t>
  </si>
  <si>
    <t>TX000495</t>
  </si>
  <si>
    <t>D000665</t>
  </si>
  <si>
    <t>94.227.164.192</t>
  </si>
  <si>
    <t>TX000496</t>
  </si>
  <si>
    <t>122.94.26.104</t>
  </si>
  <si>
    <t>TX000497</t>
  </si>
  <si>
    <t>16.128.130.153</t>
  </si>
  <si>
    <t>TX000498</t>
  </si>
  <si>
    <t>D000275</t>
  </si>
  <si>
    <t>TX000499</t>
  </si>
  <si>
    <t>AC00450</t>
  </si>
  <si>
    <t>148.112.151.27</t>
  </si>
  <si>
    <t>TX000500</t>
  </si>
  <si>
    <t>89.237.88.251</t>
  </si>
  <si>
    <t>TX000501</t>
  </si>
  <si>
    <t>AC00433</t>
  </si>
  <si>
    <t>TX000502</t>
  </si>
  <si>
    <t>D000216</t>
  </si>
  <si>
    <t>TX000503</t>
  </si>
  <si>
    <t>AC00103</t>
  </si>
  <si>
    <t>54.252.249.33</t>
  </si>
  <si>
    <t>TX000504</t>
  </si>
  <si>
    <t>D000604</t>
  </si>
  <si>
    <t>3.77.114.6</t>
  </si>
  <si>
    <t>TX000505</t>
  </si>
  <si>
    <t>AC00052</t>
  </si>
  <si>
    <t>151.247.130.190</t>
  </si>
  <si>
    <t>TX000506</t>
  </si>
  <si>
    <t>TX000507</t>
  </si>
  <si>
    <t>D000474</t>
  </si>
  <si>
    <t>TX000508</t>
  </si>
  <si>
    <t>AC00491</t>
  </si>
  <si>
    <t>TX000509</t>
  </si>
  <si>
    <t>AC00353</t>
  </si>
  <si>
    <t>D000024</t>
  </si>
  <si>
    <t>154.138.163.229</t>
  </si>
  <si>
    <t>TX000510</t>
  </si>
  <si>
    <t>AC00266</t>
  </si>
  <si>
    <t>136.105.231.135</t>
  </si>
  <si>
    <t>TX000511</t>
  </si>
  <si>
    <t>AC00167</t>
  </si>
  <si>
    <t>D000452</t>
  </si>
  <si>
    <t>142.148.226.178</t>
  </si>
  <si>
    <t>TX000512</t>
  </si>
  <si>
    <t>AC00153</t>
  </si>
  <si>
    <t>D000633</t>
  </si>
  <si>
    <t>TX000513</t>
  </si>
  <si>
    <t>AC00012</t>
  </si>
  <si>
    <t>TX000514</t>
  </si>
  <si>
    <t>AC00469</t>
  </si>
  <si>
    <t>D000649</t>
  </si>
  <si>
    <t>TX000515</t>
  </si>
  <si>
    <t>AC00127</t>
  </si>
  <si>
    <t>D000632</t>
  </si>
  <si>
    <t>51.196.87.214</t>
  </si>
  <si>
    <t>TX000516</t>
  </si>
  <si>
    <t>D000131</t>
  </si>
  <si>
    <t>TX000517</t>
  </si>
  <si>
    <t>D000165</t>
  </si>
  <si>
    <t>45.246.89.225</t>
  </si>
  <si>
    <t>TX000518</t>
  </si>
  <si>
    <t>D000650</t>
  </si>
  <si>
    <t>100.198.165.4</t>
  </si>
  <si>
    <t>TX000519</t>
  </si>
  <si>
    <t>D000002</t>
  </si>
  <si>
    <t>56.67.227.142</t>
  </si>
  <si>
    <t>TX000520</t>
  </si>
  <si>
    <t>TX000521</t>
  </si>
  <si>
    <t>D000218</t>
  </si>
  <si>
    <t>40.10.25.102</t>
  </si>
  <si>
    <t>TX000522</t>
  </si>
  <si>
    <t>D000354</t>
  </si>
  <si>
    <t>TX000523</t>
  </si>
  <si>
    <t>AC00360</t>
  </si>
  <si>
    <t>D000533</t>
  </si>
  <si>
    <t>TX000524</t>
  </si>
  <si>
    <t>AC00043</t>
  </si>
  <si>
    <t>83.182.211.68</t>
  </si>
  <si>
    <t>TX000525</t>
  </si>
  <si>
    <t>23.255.214.209</t>
  </si>
  <si>
    <t>TX000526</t>
  </si>
  <si>
    <t>TX000527</t>
  </si>
  <si>
    <t>AC00173</t>
  </si>
  <si>
    <t>TX000528</t>
  </si>
  <si>
    <t>AC00364</t>
  </si>
  <si>
    <t>TX000529</t>
  </si>
  <si>
    <t>D000034</t>
  </si>
  <si>
    <t>TX000530</t>
  </si>
  <si>
    <t>87.50.72.69</t>
  </si>
  <si>
    <t>TX000531</t>
  </si>
  <si>
    <t>AC00369</t>
  </si>
  <si>
    <t>D000558</t>
  </si>
  <si>
    <t>TX000532</t>
  </si>
  <si>
    <t>TX000533</t>
  </si>
  <si>
    <t>D000570</t>
  </si>
  <si>
    <t>TX000534</t>
  </si>
  <si>
    <t>TX000535</t>
  </si>
  <si>
    <t>AC00152</t>
  </si>
  <si>
    <t>D000350</t>
  </si>
  <si>
    <t>TX000536</t>
  </si>
  <si>
    <t>96.24.89.146</t>
  </si>
  <si>
    <t>TX000537</t>
  </si>
  <si>
    <t>AC00125</t>
  </si>
  <si>
    <t>D000542</t>
  </si>
  <si>
    <t>TX000538</t>
  </si>
  <si>
    <t>17.87.7.140</t>
  </si>
  <si>
    <t>TX000539</t>
  </si>
  <si>
    <t>AC00183</t>
  </si>
  <si>
    <t>D000479</t>
  </si>
  <si>
    <t>64.15.0.66</t>
  </si>
  <si>
    <t>TX000540</t>
  </si>
  <si>
    <t>D000546</t>
  </si>
  <si>
    <t>162.151.179.167</t>
  </si>
  <si>
    <t>TX000541</t>
  </si>
  <si>
    <t>D000401</t>
  </si>
  <si>
    <t>TX000542</t>
  </si>
  <si>
    <t>144.91.150.133</t>
  </si>
  <si>
    <t>TX000543</t>
  </si>
  <si>
    <t>AC00467</t>
  </si>
  <si>
    <t>TX000544</t>
  </si>
  <si>
    <t>TX000545</t>
  </si>
  <si>
    <t>TX000546</t>
  </si>
  <si>
    <t>AC00045</t>
  </si>
  <si>
    <t>D000094</t>
  </si>
  <si>
    <t>TX000547</t>
  </si>
  <si>
    <t>D000677</t>
  </si>
  <si>
    <t>TX000548</t>
  </si>
  <si>
    <t>221.206.44.63</t>
  </si>
  <si>
    <t>TX000549</t>
  </si>
  <si>
    <t>TX000550</t>
  </si>
  <si>
    <t>TX000551</t>
  </si>
  <si>
    <t>AC00356</t>
  </si>
  <si>
    <t>TX000552</t>
  </si>
  <si>
    <t>AC00465</t>
  </si>
  <si>
    <t>48.89.167.189</t>
  </si>
  <si>
    <t>TX000553</t>
  </si>
  <si>
    <t>AC00158</t>
  </si>
  <si>
    <t>D000096</t>
  </si>
  <si>
    <t>TX000554</t>
  </si>
  <si>
    <t>AC00086</t>
  </si>
  <si>
    <t>TX000555</t>
  </si>
  <si>
    <t>TX000556</t>
  </si>
  <si>
    <t>TX000557</t>
  </si>
  <si>
    <t>AC00083</t>
  </si>
  <si>
    <t>TX000558</t>
  </si>
  <si>
    <t>AC00402</t>
  </si>
  <si>
    <t>D000119</t>
  </si>
  <si>
    <t>M016</t>
  </si>
  <si>
    <t>TX000559</t>
  </si>
  <si>
    <t>D000404</t>
  </si>
  <si>
    <t>TX000560</t>
  </si>
  <si>
    <t>AC00030</t>
  </si>
  <si>
    <t>D000441</t>
  </si>
  <si>
    <t>TX000561</t>
  </si>
  <si>
    <t>52.169.116.164</t>
  </si>
  <si>
    <t>TX000562</t>
  </si>
  <si>
    <t>166.79.195.157</t>
  </si>
  <si>
    <t>TX000563</t>
  </si>
  <si>
    <t>AC00216</t>
  </si>
  <si>
    <t>TX000564</t>
  </si>
  <si>
    <t>AC00223</t>
  </si>
  <si>
    <t>D000535</t>
  </si>
  <si>
    <t>TX000565</t>
  </si>
  <si>
    <t>AC00413</t>
  </si>
  <si>
    <t>TX000566</t>
  </si>
  <si>
    <t>D000053</t>
  </si>
  <si>
    <t>TX000567</t>
  </si>
  <si>
    <t>219.31.152.129</t>
  </si>
  <si>
    <t>TX000568</t>
  </si>
  <si>
    <t>AC00240</t>
  </si>
  <si>
    <t>TX000569</t>
  </si>
  <si>
    <t>D000352</t>
  </si>
  <si>
    <t>154.48.233.165</t>
  </si>
  <si>
    <t>TX000570</t>
  </si>
  <si>
    <t>TX000571</t>
  </si>
  <si>
    <t>D000006</t>
  </si>
  <si>
    <t>TX000572</t>
  </si>
  <si>
    <t>TX000573</t>
  </si>
  <si>
    <t>TX000574</t>
  </si>
  <si>
    <t>TX000575</t>
  </si>
  <si>
    <t>TX000576</t>
  </si>
  <si>
    <t>D000617</t>
  </si>
  <si>
    <t>189.248.139.91</t>
  </si>
  <si>
    <t>TX000577</t>
  </si>
  <si>
    <t>80.247.6.83</t>
  </si>
  <si>
    <t>TX000578</t>
  </si>
  <si>
    <t>TX000579</t>
  </si>
  <si>
    <t>68.254.244.208</t>
  </si>
  <si>
    <t>TX000580</t>
  </si>
  <si>
    <t>197.23.128.119</t>
  </si>
  <si>
    <t>TX000581</t>
  </si>
  <si>
    <t>AC00378</t>
  </si>
  <si>
    <t>D000023</t>
  </si>
  <si>
    <t>110.243.14.36</t>
  </si>
  <si>
    <t>TX000582</t>
  </si>
  <si>
    <t>AC00205</t>
  </si>
  <si>
    <t>D000560</t>
  </si>
  <si>
    <t>TX000583</t>
  </si>
  <si>
    <t>D000225</t>
  </si>
  <si>
    <t>TX000584</t>
  </si>
  <si>
    <t>D000478</t>
  </si>
  <si>
    <t>218.54.207.160</t>
  </si>
  <si>
    <t>TX000585</t>
  </si>
  <si>
    <t>TX000586</t>
  </si>
  <si>
    <t>TX000587</t>
  </si>
  <si>
    <t>157.47.114.20</t>
  </si>
  <si>
    <t>TX000588</t>
  </si>
  <si>
    <t>AC00429</t>
  </si>
  <si>
    <t>D000353</t>
  </si>
  <si>
    <t>TX000589</t>
  </si>
  <si>
    <t>TX000590</t>
  </si>
  <si>
    <t>AC00144</t>
  </si>
  <si>
    <t>D000100</t>
  </si>
  <si>
    <t>73.54.203.165</t>
  </si>
  <si>
    <t>TX000591</t>
  </si>
  <si>
    <t>AC00449</t>
  </si>
  <si>
    <t>38.166.40.246</t>
  </si>
  <si>
    <t>TX000592</t>
  </si>
  <si>
    <t>D000378</t>
  </si>
  <si>
    <t>TX000593</t>
  </si>
  <si>
    <t>D000628</t>
  </si>
  <si>
    <t>221.23.158.87</t>
  </si>
  <si>
    <t>TX000594</t>
  </si>
  <si>
    <t>D000222</t>
  </si>
  <si>
    <t>13.30.106.126</t>
  </si>
  <si>
    <t>TX000595</t>
  </si>
  <si>
    <t>AC00051</t>
  </si>
  <si>
    <t>TX000596</t>
  </si>
  <si>
    <t>D000362</t>
  </si>
  <si>
    <t>TX000597</t>
  </si>
  <si>
    <t>D000188</t>
  </si>
  <si>
    <t>113.21.93.28</t>
  </si>
  <si>
    <t>TX000598</t>
  </si>
  <si>
    <t>TX000599</t>
  </si>
  <si>
    <t>D000559</t>
  </si>
  <si>
    <t>5.252.94.135</t>
  </si>
  <si>
    <t>TX000600</t>
  </si>
  <si>
    <t>AC00211</t>
  </si>
  <si>
    <t>TX000601</t>
  </si>
  <si>
    <t>AC00184</t>
  </si>
  <si>
    <t>D000449</t>
  </si>
  <si>
    <t>TX000602</t>
  </si>
  <si>
    <t>AC00436</t>
  </si>
  <si>
    <t>D000692</t>
  </si>
  <si>
    <t>TX000603</t>
  </si>
  <si>
    <t>TX000604</t>
  </si>
  <si>
    <t>D000393</t>
  </si>
  <si>
    <t>24.129.74.189</t>
  </si>
  <si>
    <t>TX000605</t>
  </si>
  <si>
    <t>D000379</t>
  </si>
  <si>
    <t>147.125.143.41</t>
  </si>
  <si>
    <t>TX000606</t>
  </si>
  <si>
    <t>AC00312</t>
  </si>
  <si>
    <t>D000060</t>
  </si>
  <si>
    <t>160.160.113.117</t>
  </si>
  <si>
    <t>TX000607</t>
  </si>
  <si>
    <t>D000367</t>
  </si>
  <si>
    <t>TX000608</t>
  </si>
  <si>
    <t>4.101.189.38</t>
  </si>
  <si>
    <t>TX000609</t>
  </si>
  <si>
    <t>TX000610</t>
  </si>
  <si>
    <t>D000431</t>
  </si>
  <si>
    <t>11.167.243.171</t>
  </si>
  <si>
    <t>TX000611</t>
  </si>
  <si>
    <t>AC00078</t>
  </si>
  <si>
    <t>D000066</t>
  </si>
  <si>
    <t>56.116.189.0</t>
  </si>
  <si>
    <t>TX000612</t>
  </si>
  <si>
    <t>D000075</t>
  </si>
  <si>
    <t>TX000613</t>
  </si>
  <si>
    <t>TX000614</t>
  </si>
  <si>
    <t>AC00084</t>
  </si>
  <si>
    <t>D000389</t>
  </si>
  <si>
    <t>TX000615</t>
  </si>
  <si>
    <t>D000643</t>
  </si>
  <si>
    <t>TX000616</t>
  </si>
  <si>
    <t>D000359</t>
  </si>
  <si>
    <t>TX000617</t>
  </si>
  <si>
    <t>D000088</t>
  </si>
  <si>
    <t>TX000618</t>
  </si>
  <si>
    <t>190.164.160.79</t>
  </si>
  <si>
    <t>TX000619</t>
  </si>
  <si>
    <t>D000172</t>
  </si>
  <si>
    <t>TX000620</t>
  </si>
  <si>
    <t>D000467</t>
  </si>
  <si>
    <t>119.105.89.125</t>
  </si>
  <si>
    <t>TX000621</t>
  </si>
  <si>
    <t>D000329</t>
  </si>
  <si>
    <t>TX000622</t>
  </si>
  <si>
    <t>D000669</t>
  </si>
  <si>
    <t>201.95.180.152</t>
  </si>
  <si>
    <t>TX000623</t>
  </si>
  <si>
    <t>AC00354</t>
  </si>
  <si>
    <t>D000153</t>
  </si>
  <si>
    <t>TX000624</t>
  </si>
  <si>
    <t>D000532</t>
  </si>
  <si>
    <t>TX000625</t>
  </si>
  <si>
    <t>115.30.82.168</t>
  </si>
  <si>
    <t>TX000626</t>
  </si>
  <si>
    <t>19.111.192.175</t>
  </si>
  <si>
    <t>TX000627</t>
  </si>
  <si>
    <t>TX000628</t>
  </si>
  <si>
    <t>D000065</t>
  </si>
  <si>
    <t>TX000629</t>
  </si>
  <si>
    <t>D000058</t>
  </si>
  <si>
    <t>140.94.123.72</t>
  </si>
  <si>
    <t>TX000630</t>
  </si>
  <si>
    <t>TX000631</t>
  </si>
  <si>
    <t>D000099</t>
  </si>
  <si>
    <t>TX000632</t>
  </si>
  <si>
    <t>TX000633</t>
  </si>
  <si>
    <t>AC00487</t>
  </si>
  <si>
    <t>TX000634</t>
  </si>
  <si>
    <t>TX000635</t>
  </si>
  <si>
    <t>D000196</t>
  </si>
  <si>
    <t>TX000636</t>
  </si>
  <si>
    <t>TX000637</t>
  </si>
  <si>
    <t>TX000638</t>
  </si>
  <si>
    <t>TX000639</t>
  </si>
  <si>
    <t>AC00416</t>
  </si>
  <si>
    <t>TX000640</t>
  </si>
  <si>
    <t>AC00058</t>
  </si>
  <si>
    <t>199.6.127.153</t>
  </si>
  <si>
    <t>TX000641</t>
  </si>
  <si>
    <t>D000688</t>
  </si>
  <si>
    <t>TX000642</t>
  </si>
  <si>
    <t>D000420</t>
  </si>
  <si>
    <t>11.188.75.155</t>
  </si>
  <si>
    <t>TX000643</t>
  </si>
  <si>
    <t>AC00032</t>
  </si>
  <si>
    <t>D000025</t>
  </si>
  <si>
    <t>TX000644</t>
  </si>
  <si>
    <t>TX000645</t>
  </si>
  <si>
    <t>37.227.215.145</t>
  </si>
  <si>
    <t>TX000646</t>
  </si>
  <si>
    <t>AC00139</t>
  </si>
  <si>
    <t>TX000647</t>
  </si>
  <si>
    <t>AC00056</t>
  </si>
  <si>
    <t>D000120</t>
  </si>
  <si>
    <t>TX000648</t>
  </si>
  <si>
    <t>AC00276</t>
  </si>
  <si>
    <t>TX000649</t>
  </si>
  <si>
    <t>AC00447</t>
  </si>
  <si>
    <t>D000565</t>
  </si>
  <si>
    <t>TX000650</t>
  </si>
  <si>
    <t>D000405</t>
  </si>
  <si>
    <t>TX000651</t>
  </si>
  <si>
    <t>99.205.173.118</t>
  </si>
  <si>
    <t>TX000652</t>
  </si>
  <si>
    <t>D000105</t>
  </si>
  <si>
    <t>156.96.135.18</t>
  </si>
  <si>
    <t>TX000653</t>
  </si>
  <si>
    <t>D000646</t>
  </si>
  <si>
    <t>TX000654</t>
  </si>
  <si>
    <t>TX000655</t>
  </si>
  <si>
    <t>TX000656</t>
  </si>
  <si>
    <t>AC00458</t>
  </si>
  <si>
    <t>D000134</t>
  </si>
  <si>
    <t>TX000657</t>
  </si>
  <si>
    <t>D000629</t>
  </si>
  <si>
    <t>TX000658</t>
  </si>
  <si>
    <t>AC00071</t>
  </si>
  <si>
    <t>16.94.155.46</t>
  </si>
  <si>
    <t>TX000659</t>
  </si>
  <si>
    <t>78.69.172.205</t>
  </si>
  <si>
    <t>TX000660</t>
  </si>
  <si>
    <t>D000498</t>
  </si>
  <si>
    <t>165.35.58.173</t>
  </si>
  <si>
    <t>TX000661</t>
  </si>
  <si>
    <t>D000184</t>
  </si>
  <si>
    <t>TX000662</t>
  </si>
  <si>
    <t>D000027</t>
  </si>
  <si>
    <t>TX000663</t>
  </si>
  <si>
    <t>TX000664</t>
  </si>
  <si>
    <t>D000127</t>
  </si>
  <si>
    <t>191.25.177.160</t>
  </si>
  <si>
    <t>TX000665</t>
  </si>
  <si>
    <t>TX000666</t>
  </si>
  <si>
    <t>40.244.94.218</t>
  </si>
  <si>
    <t>TX000667</t>
  </si>
  <si>
    <t>AC00361</t>
  </si>
  <si>
    <t>193.221.15.59</t>
  </si>
  <si>
    <t>TX000668</t>
  </si>
  <si>
    <t>D000090</t>
  </si>
  <si>
    <t>TX000669</t>
  </si>
  <si>
    <t>TX000670</t>
  </si>
  <si>
    <t>TX000671</t>
  </si>
  <si>
    <t>AC00323</t>
  </si>
  <si>
    <t>13.188.62.74</t>
  </si>
  <si>
    <t>TX000672</t>
  </si>
  <si>
    <t>AC00372</t>
  </si>
  <si>
    <t>145.76.10.8</t>
  </si>
  <si>
    <t>TX000673</t>
  </si>
  <si>
    <t>AC00497</t>
  </si>
  <si>
    <t>D000425</t>
  </si>
  <si>
    <t>TX000674</t>
  </si>
  <si>
    <t>167.67.137.223</t>
  </si>
  <si>
    <t>TX000675</t>
  </si>
  <si>
    <t>104.165.213.58</t>
  </si>
  <si>
    <t>TX000676</t>
  </si>
  <si>
    <t>D000584</t>
  </si>
  <si>
    <t>TX000677</t>
  </si>
  <si>
    <t>182.84.41.229</t>
  </si>
  <si>
    <t>TX000678</t>
  </si>
  <si>
    <t>TX000679</t>
  </si>
  <si>
    <t>D000269</t>
  </si>
  <si>
    <t>TX000680</t>
  </si>
  <si>
    <t>AC00101</t>
  </si>
  <si>
    <t>35.246.53.10</t>
  </si>
  <si>
    <t>TX000681</t>
  </si>
  <si>
    <t>AC00328</t>
  </si>
  <si>
    <t>TX000682</t>
  </si>
  <si>
    <t>TX000683</t>
  </si>
  <si>
    <t>TX000684</t>
  </si>
  <si>
    <t>TX000685</t>
  </si>
  <si>
    <t>AC00123</t>
  </si>
  <si>
    <t>D000463</t>
  </si>
  <si>
    <t>TX000686</t>
  </si>
  <si>
    <t>TX000687</t>
  </si>
  <si>
    <t>TX000688</t>
  </si>
  <si>
    <t>AC00330</t>
  </si>
  <si>
    <t>D000068</t>
  </si>
  <si>
    <t>TX000689</t>
  </si>
  <si>
    <t>D000681</t>
  </si>
  <si>
    <t>TX000690</t>
  </si>
  <si>
    <t>D000048</t>
  </si>
  <si>
    <t>TX000691</t>
  </si>
  <si>
    <t>AC00287</t>
  </si>
  <si>
    <t>63.191.171.41</t>
  </si>
  <si>
    <t>TX000692</t>
  </si>
  <si>
    <t>TX000693</t>
  </si>
  <si>
    <t>160.212.125.105</t>
  </si>
  <si>
    <t>TX000694</t>
  </si>
  <si>
    <t>TX000695</t>
  </si>
  <si>
    <t>AC00432</t>
  </si>
  <si>
    <t>TX000696</t>
  </si>
  <si>
    <t>TX000697</t>
  </si>
  <si>
    <t>TX000698</t>
  </si>
  <si>
    <t>TX000699</t>
  </si>
  <si>
    <t>AC00277</t>
  </si>
  <si>
    <t>D000695</t>
  </si>
  <si>
    <t>41.110.46.150</t>
  </si>
  <si>
    <t>TX000700</t>
  </si>
  <si>
    <t>D000117</t>
  </si>
  <si>
    <t>197.52.3.107</t>
  </si>
  <si>
    <t>TX000701</t>
  </si>
  <si>
    <t>TX000702</t>
  </si>
  <si>
    <t>D000653</t>
  </si>
  <si>
    <t>19.228.76.177</t>
  </si>
  <si>
    <t>TX000703</t>
  </si>
  <si>
    <t>TX000704</t>
  </si>
  <si>
    <t>D000081</t>
  </si>
  <si>
    <t>TX000705</t>
  </si>
  <si>
    <t>D000554</t>
  </si>
  <si>
    <t>TX000706</t>
  </si>
  <si>
    <t>AC00137</t>
  </si>
  <si>
    <t>D000577</t>
  </si>
  <si>
    <t>57.141.198.111</t>
  </si>
  <si>
    <t>TX000707</t>
  </si>
  <si>
    <t>TX000708</t>
  </si>
  <si>
    <t>D000547</t>
  </si>
  <si>
    <t>TX000709</t>
  </si>
  <si>
    <t>AC00201</t>
  </si>
  <si>
    <t>D000288</t>
  </si>
  <si>
    <t>TX000710</t>
  </si>
  <si>
    <t>AC00462</t>
  </si>
  <si>
    <t>38.164.132.63</t>
  </si>
  <si>
    <t>TX000711</t>
  </si>
  <si>
    <t>211.45.75.44</t>
  </si>
  <si>
    <t>TX000712</t>
  </si>
  <si>
    <t>AC00297</t>
  </si>
  <si>
    <t>TX000713</t>
  </si>
  <si>
    <t>TX000714</t>
  </si>
  <si>
    <t>TX000715</t>
  </si>
  <si>
    <t>TX000716</t>
  </si>
  <si>
    <t>TX000717</t>
  </si>
  <si>
    <t>D000307</t>
  </si>
  <si>
    <t>160.65.101.37</t>
  </si>
  <si>
    <t>TX000718</t>
  </si>
  <si>
    <t>D000384</t>
  </si>
  <si>
    <t>TX000719</t>
  </si>
  <si>
    <t>D000003</t>
  </si>
  <si>
    <t>53.131.194.183</t>
  </si>
  <si>
    <t>TX000720</t>
  </si>
  <si>
    <t>D000041</t>
  </si>
  <si>
    <t>TX000721</t>
  </si>
  <si>
    <t>AC00102</t>
  </si>
  <si>
    <t>135.73.131.111</t>
  </si>
  <si>
    <t>TX000722</t>
  </si>
  <si>
    <t>TX000723</t>
  </si>
  <si>
    <t>TX000724</t>
  </si>
  <si>
    <t>TX000725</t>
  </si>
  <si>
    <t>TX000726</t>
  </si>
  <si>
    <t>D000251</t>
  </si>
  <si>
    <t>3.200.166.167</t>
  </si>
  <si>
    <t>TX000727</t>
  </si>
  <si>
    <t>TX000728</t>
  </si>
  <si>
    <t>D000159</t>
  </si>
  <si>
    <t>TX000729</t>
  </si>
  <si>
    <t>AC00244</t>
  </si>
  <si>
    <t>D000009</t>
  </si>
  <si>
    <t>TX000730</t>
  </si>
  <si>
    <t>TX000731</t>
  </si>
  <si>
    <t>TX000732</t>
  </si>
  <si>
    <t>49.174.157.140</t>
  </si>
  <si>
    <t>TX000733</t>
  </si>
  <si>
    <t>AC00457</t>
  </si>
  <si>
    <t>D000674</t>
  </si>
  <si>
    <t>TX000734</t>
  </si>
  <si>
    <t>AC00046</t>
  </si>
  <si>
    <t>TX000735</t>
  </si>
  <si>
    <t>TX000736</t>
  </si>
  <si>
    <t>66.255.7.16</t>
  </si>
  <si>
    <t>TX000737</t>
  </si>
  <si>
    <t>TX000738</t>
  </si>
  <si>
    <t>TX000739</t>
  </si>
  <si>
    <t>AC00288</t>
  </si>
  <si>
    <t>TX000740</t>
  </si>
  <si>
    <t>43.98.242.106</t>
  </si>
  <si>
    <t>TX000741</t>
  </si>
  <si>
    <t>187.223.139.194</t>
  </si>
  <si>
    <t>TX000742</t>
  </si>
  <si>
    <t>TX000743</t>
  </si>
  <si>
    <t>44.67.137.125</t>
  </si>
  <si>
    <t>TX000744</t>
  </si>
  <si>
    <t>TX000745</t>
  </si>
  <si>
    <t>TX000746</t>
  </si>
  <si>
    <t>7.28.148.225</t>
  </si>
  <si>
    <t>TX000747</t>
  </si>
  <si>
    <t>D000337</t>
  </si>
  <si>
    <t>6.204.110.7</t>
  </si>
  <si>
    <t>TX000748</t>
  </si>
  <si>
    <t>TX000749</t>
  </si>
  <si>
    <t>TX000750</t>
  </si>
  <si>
    <t>TX000751</t>
  </si>
  <si>
    <t>TX000752</t>
  </si>
  <si>
    <t>D000454</t>
  </si>
  <si>
    <t>TX000753</t>
  </si>
  <si>
    <t>TX000754</t>
  </si>
  <si>
    <t>TX000755</t>
  </si>
  <si>
    <t>D000493</t>
  </si>
  <si>
    <t>TX000756</t>
  </si>
  <si>
    <t>TX000757</t>
  </si>
  <si>
    <t>49.31.186.82</t>
  </si>
  <si>
    <t>TX000758</t>
  </si>
  <si>
    <t>AC00190</t>
  </si>
  <si>
    <t>D000163</t>
  </si>
  <si>
    <t>TX000759</t>
  </si>
  <si>
    <t>189.168.172.41</t>
  </si>
  <si>
    <t>TX000760</t>
  </si>
  <si>
    <t>TX000761</t>
  </si>
  <si>
    <t>TX000762</t>
  </si>
  <si>
    <t>D000497</t>
  </si>
  <si>
    <t>TX000763</t>
  </si>
  <si>
    <t>TX000764</t>
  </si>
  <si>
    <t>TX000765</t>
  </si>
  <si>
    <t>TX000766</t>
  </si>
  <si>
    <t>AC00037</t>
  </si>
  <si>
    <t>TX000767</t>
  </si>
  <si>
    <t>D000590</t>
  </si>
  <si>
    <t>80.155.14.197</t>
  </si>
  <si>
    <t>TX000768</t>
  </si>
  <si>
    <t>AC00481</t>
  </si>
  <si>
    <t>TX000769</t>
  </si>
  <si>
    <t>TX000770</t>
  </si>
  <si>
    <t>TX000771</t>
  </si>
  <si>
    <t>AC00324</t>
  </si>
  <si>
    <t>D000122</t>
  </si>
  <si>
    <t>TX000772</t>
  </si>
  <si>
    <t>D000524</t>
  </si>
  <si>
    <t>TX000773</t>
  </si>
  <si>
    <t>TX000774</t>
  </si>
  <si>
    <t>D000487</t>
  </si>
  <si>
    <t>10.223.224.50</t>
  </si>
  <si>
    <t>TX000775</t>
  </si>
  <si>
    <t>AC00061</t>
  </si>
  <si>
    <t>TX000776</t>
  </si>
  <si>
    <t>TX000777</t>
  </si>
  <si>
    <t>D000566</t>
  </si>
  <si>
    <t>TX000778</t>
  </si>
  <si>
    <t>TX000779</t>
  </si>
  <si>
    <t>D000358</t>
  </si>
  <si>
    <t>213.207.62.176</t>
  </si>
  <si>
    <t>TX000780</t>
  </si>
  <si>
    <t>D000227</t>
  </si>
  <si>
    <t>TX000781</t>
  </si>
  <si>
    <t>TX000782</t>
  </si>
  <si>
    <t>TX000783</t>
  </si>
  <si>
    <t>AC00399</t>
  </si>
  <si>
    <t>D000086</t>
  </si>
  <si>
    <t>TX000784</t>
  </si>
  <si>
    <t>106.244.1.47</t>
  </si>
  <si>
    <t>TX000785</t>
  </si>
  <si>
    <t>TX000786</t>
  </si>
  <si>
    <t>TX000787</t>
  </si>
  <si>
    <t>TX000788</t>
  </si>
  <si>
    <t>218.83.2.94</t>
  </si>
  <si>
    <t>TX000789</t>
  </si>
  <si>
    <t>TX000790</t>
  </si>
  <si>
    <t>AC00342</t>
  </si>
  <si>
    <t>TX000791</t>
  </si>
  <si>
    <t>AC00027</t>
  </si>
  <si>
    <t>D000408</t>
  </si>
  <si>
    <t>TX000792</t>
  </si>
  <si>
    <t>TX000793</t>
  </si>
  <si>
    <t>41.82.55.163</t>
  </si>
  <si>
    <t>TX000794</t>
  </si>
  <si>
    <t>D000638</t>
  </si>
  <si>
    <t>TX000795</t>
  </si>
  <si>
    <t>D000438</t>
  </si>
  <si>
    <t>47.167.178.158</t>
  </si>
  <si>
    <t>TX000796</t>
  </si>
  <si>
    <t>TX000797</t>
  </si>
  <si>
    <t>D000114</t>
  </si>
  <si>
    <t>TX000798</t>
  </si>
  <si>
    <t>D000471</t>
  </si>
  <si>
    <t>TX000799</t>
  </si>
  <si>
    <t>92.180.81.50</t>
  </si>
  <si>
    <t>TX000800</t>
  </si>
  <si>
    <t>D000499</t>
  </si>
  <si>
    <t>TX000801</t>
  </si>
  <si>
    <t>D000415</t>
  </si>
  <si>
    <t>TX000802</t>
  </si>
  <si>
    <t>TX000803</t>
  </si>
  <si>
    <t>69.160.14.157</t>
  </si>
  <si>
    <t>TX000804</t>
  </si>
  <si>
    <t>TX000805</t>
  </si>
  <si>
    <t>D000513</t>
  </si>
  <si>
    <t>15.176.70.194</t>
  </si>
  <si>
    <t>TX000806</t>
  </si>
  <si>
    <t>TX000807</t>
  </si>
  <si>
    <t>TX000808</t>
  </si>
  <si>
    <t>D000682</t>
  </si>
  <si>
    <t>TX000809</t>
  </si>
  <si>
    <t>AC00422</t>
  </si>
  <si>
    <t>190.92.63.219</t>
  </si>
  <si>
    <t>TX000810</t>
  </si>
  <si>
    <t>TX000811</t>
  </si>
  <si>
    <t>TX000812</t>
  </si>
  <si>
    <t>D000185</t>
  </si>
  <si>
    <t>TX000813</t>
  </si>
  <si>
    <t>TX000814</t>
  </si>
  <si>
    <t>82.115.199.37</t>
  </si>
  <si>
    <t>TX000815</t>
  </si>
  <si>
    <t>TX000816</t>
  </si>
  <si>
    <t>TX000817</t>
  </si>
  <si>
    <t>AC00050</t>
  </si>
  <si>
    <t>TX000818</t>
  </si>
  <si>
    <t>AC00129</t>
  </si>
  <si>
    <t>D000515</t>
  </si>
  <si>
    <t>TX000819</t>
  </si>
  <si>
    <t>214.125.131.88</t>
  </si>
  <si>
    <t>TX000820</t>
  </si>
  <si>
    <t>113.137.153.101</t>
  </si>
  <si>
    <t>TX000821</t>
  </si>
  <si>
    <t>D000133</t>
  </si>
  <si>
    <t>107.248.120.12</t>
  </si>
  <si>
    <t>TX000822</t>
  </si>
  <si>
    <t>TX000823</t>
  </si>
  <si>
    <t>D000071</t>
  </si>
  <si>
    <t>TX000824</t>
  </si>
  <si>
    <t>TX000825</t>
  </si>
  <si>
    <t>5.50.152.168</t>
  </si>
  <si>
    <t>TX000826</t>
  </si>
  <si>
    <t>19.20.13.234</t>
  </si>
  <si>
    <t>TX000827</t>
  </si>
  <si>
    <t>TX000828</t>
  </si>
  <si>
    <t>AC00180</t>
  </si>
  <si>
    <t>D000240</t>
  </si>
  <si>
    <t>TX000829</t>
  </si>
  <si>
    <t>D000005</t>
  </si>
  <si>
    <t>TX000830</t>
  </si>
  <si>
    <t>TX000831</t>
  </si>
  <si>
    <t>101.120.142.50</t>
  </si>
  <si>
    <t>TX000832</t>
  </si>
  <si>
    <t>TX000833</t>
  </si>
  <si>
    <t>TX000834</t>
  </si>
  <si>
    <t>D000228</t>
  </si>
  <si>
    <t>TX000835</t>
  </si>
  <si>
    <t>TX000836</t>
  </si>
  <si>
    <t>TX000837</t>
  </si>
  <si>
    <t>TX000838</t>
  </si>
  <si>
    <t>AC00169</t>
  </si>
  <si>
    <t>105.87.212.115</t>
  </si>
  <si>
    <t>TX000839</t>
  </si>
  <si>
    <t>184.57.159.204</t>
  </si>
  <si>
    <t>TX000840</t>
  </si>
  <si>
    <t>204.120.80.105</t>
  </si>
  <si>
    <t>TX000841</t>
  </si>
  <si>
    <t>AC00065</t>
  </si>
  <si>
    <t>184.185.209.72</t>
  </si>
  <si>
    <t>TX000842</t>
  </si>
  <si>
    <t>D000377</t>
  </si>
  <si>
    <t>TX000843</t>
  </si>
  <si>
    <t>D000644</t>
  </si>
  <si>
    <t>TX000844</t>
  </si>
  <si>
    <t>D000608</t>
  </si>
  <si>
    <t>TX000845</t>
  </si>
  <si>
    <t>D000472</t>
  </si>
  <si>
    <t>TX000846</t>
  </si>
  <si>
    <t>TX000847</t>
  </si>
  <si>
    <t>TX000848</t>
  </si>
  <si>
    <t>TX000849</t>
  </si>
  <si>
    <t>AC00185</t>
  </si>
  <si>
    <t>39.129.125.110</t>
  </si>
  <si>
    <t>TX000850</t>
  </si>
  <si>
    <t>TX000851</t>
  </si>
  <si>
    <t>AC00124</t>
  </si>
  <si>
    <t>TX000852</t>
  </si>
  <si>
    <t>AC00412</t>
  </si>
  <si>
    <t>TX000853</t>
  </si>
  <si>
    <t>TX000854</t>
  </si>
  <si>
    <t>TX000855</t>
  </si>
  <si>
    <t>AC00302</t>
  </si>
  <si>
    <t>TX000856</t>
  </si>
  <si>
    <t>167.95.191.52</t>
  </si>
  <si>
    <t>TX000857</t>
  </si>
  <si>
    <t>D000265</t>
  </si>
  <si>
    <t>142.160.124.244</t>
  </si>
  <si>
    <t>TX000858</t>
  </si>
  <si>
    <t>96.162.11.85</t>
  </si>
  <si>
    <t>TX000859</t>
  </si>
  <si>
    <t>TX000860</t>
  </si>
  <si>
    <t>TX000861</t>
  </si>
  <si>
    <t>D000334</t>
  </si>
  <si>
    <t>TX000862</t>
  </si>
  <si>
    <t>184.4.253.143</t>
  </si>
  <si>
    <t>TX000863</t>
  </si>
  <si>
    <t>175.210.47.87</t>
  </si>
  <si>
    <t>TX000864</t>
  </si>
  <si>
    <t>TX000865</t>
  </si>
  <si>
    <t>TX000866</t>
  </si>
  <si>
    <t>TX000867</t>
  </si>
  <si>
    <t>TX000868</t>
  </si>
  <si>
    <t>D000356</t>
  </si>
  <si>
    <t>TX000869</t>
  </si>
  <si>
    <t>D000069</t>
  </si>
  <si>
    <t>TX000870</t>
  </si>
  <si>
    <t>D000138</t>
  </si>
  <si>
    <t>170.99.15.217</t>
  </si>
  <si>
    <t>TX000871</t>
  </si>
  <si>
    <t>80.90.35.146</t>
  </si>
  <si>
    <t>TX000872</t>
  </si>
  <si>
    <t>D000055</t>
  </si>
  <si>
    <t>TX000873</t>
  </si>
  <si>
    <t>TX000874</t>
  </si>
  <si>
    <t>179.132.235.182</t>
  </si>
  <si>
    <t>TX000875</t>
  </si>
  <si>
    <t>79.47.176.19</t>
  </si>
  <si>
    <t>TX000876</t>
  </si>
  <si>
    <t>D000429</t>
  </si>
  <si>
    <t>TX000877</t>
  </si>
  <si>
    <t>TX000878</t>
  </si>
  <si>
    <t>136.172.149.77</t>
  </si>
  <si>
    <t>TX000879</t>
  </si>
  <si>
    <t>TX000880</t>
  </si>
  <si>
    <t>TX000881</t>
  </si>
  <si>
    <t>AC00094</t>
  </si>
  <si>
    <t>TX000882</t>
  </si>
  <si>
    <t>TX000883</t>
  </si>
  <si>
    <t>TX000884</t>
  </si>
  <si>
    <t>TX000885</t>
  </si>
  <si>
    <t>146.53.16.47</t>
  </si>
  <si>
    <t>TX000886</t>
  </si>
  <si>
    <t>TX000887</t>
  </si>
  <si>
    <t>D000074</t>
  </si>
  <si>
    <t>TX000888</t>
  </si>
  <si>
    <t>TX000889</t>
  </si>
  <si>
    <t>TX000890</t>
  </si>
  <si>
    <t>AC00278</t>
  </si>
  <si>
    <t>D000496</t>
  </si>
  <si>
    <t>77.92.193.22</t>
  </si>
  <si>
    <t>TX000891</t>
  </si>
  <si>
    <t>TX000892</t>
  </si>
  <si>
    <t>D000527</t>
  </si>
  <si>
    <t>TX000893</t>
  </si>
  <si>
    <t>TX000894</t>
  </si>
  <si>
    <t>TX000895</t>
  </si>
  <si>
    <t>TX000896</t>
  </si>
  <si>
    <t>TX000897</t>
  </si>
  <si>
    <t>TX000898</t>
  </si>
  <si>
    <t>TX000899</t>
  </si>
  <si>
    <t>D000319</t>
  </si>
  <si>
    <t>TX000900</t>
  </si>
  <si>
    <t>D000044</t>
  </si>
  <si>
    <t>TX000901</t>
  </si>
  <si>
    <t>TX000902</t>
  </si>
  <si>
    <t>TX000903</t>
  </si>
  <si>
    <t>TX000904</t>
  </si>
  <si>
    <t>TX000905</t>
  </si>
  <si>
    <t>D000135</t>
  </si>
  <si>
    <t>TX000906</t>
  </si>
  <si>
    <t>TX000907</t>
  </si>
  <si>
    <t>AC00109</t>
  </si>
  <si>
    <t>TX000908</t>
  </si>
  <si>
    <t>D000464</t>
  </si>
  <si>
    <t>TX000909</t>
  </si>
  <si>
    <t>TX000910</t>
  </si>
  <si>
    <t>D000035</t>
  </si>
  <si>
    <t>TX000911</t>
  </si>
  <si>
    <t>TX000912</t>
  </si>
  <si>
    <t>AC00222</t>
  </si>
  <si>
    <t>137.33.78.168</t>
  </si>
  <si>
    <t>TX000913</t>
  </si>
  <si>
    <t>AC00179</t>
  </si>
  <si>
    <t>TX000914</t>
  </si>
  <si>
    <t>TX000915</t>
  </si>
  <si>
    <t>TX000916</t>
  </si>
  <si>
    <t>TX000917</t>
  </si>
  <si>
    <t>D000480</t>
  </si>
  <si>
    <t>TX000918</t>
  </si>
  <si>
    <t>D000648</t>
  </si>
  <si>
    <t>TX000919</t>
  </si>
  <si>
    <t>D000437</t>
  </si>
  <si>
    <t>88.55.149.101</t>
  </si>
  <si>
    <t>TX000920</t>
  </si>
  <si>
    <t>D000033</t>
  </si>
  <si>
    <t>TX000921</t>
  </si>
  <si>
    <t>AC00352</t>
  </si>
  <si>
    <t>TX000922</t>
  </si>
  <si>
    <t>TX000923</t>
  </si>
  <si>
    <t>159.37.30.154</t>
  </si>
  <si>
    <t>TX000924</t>
  </si>
  <si>
    <t>TX000925</t>
  </si>
  <si>
    <t>TX000926</t>
  </si>
  <si>
    <t>AC00230</t>
  </si>
  <si>
    <t>TX000927</t>
  </si>
  <si>
    <t>AC00224</t>
  </si>
  <si>
    <t>TX000928</t>
  </si>
  <si>
    <t>TX000929</t>
  </si>
  <si>
    <t>TX000930</t>
  </si>
  <si>
    <t>120.16.186.17</t>
  </si>
  <si>
    <t>TX000931</t>
  </si>
  <si>
    <t>AC00160</t>
  </si>
  <si>
    <t>TX000932</t>
  </si>
  <si>
    <t>TX000933</t>
  </si>
  <si>
    <t>TX000934</t>
  </si>
  <si>
    <t>AC00254</t>
  </si>
  <si>
    <t>156.187.182.236</t>
  </si>
  <si>
    <t>TX000935</t>
  </si>
  <si>
    <t>D000294</t>
  </si>
  <si>
    <t>TX000936</t>
  </si>
  <si>
    <t>D000063</t>
  </si>
  <si>
    <t>TX000937</t>
  </si>
  <si>
    <t>AC00446</t>
  </si>
  <si>
    <t>TX000938</t>
  </si>
  <si>
    <t>TX000939</t>
  </si>
  <si>
    <t>115.241.186.164</t>
  </si>
  <si>
    <t>TX000940</t>
  </si>
  <si>
    <t>AC00157</t>
  </si>
  <si>
    <t>D000104</t>
  </si>
  <si>
    <t>TX000941</t>
  </si>
  <si>
    <t>TX000942</t>
  </si>
  <si>
    <t>TX000943</t>
  </si>
  <si>
    <t>TX000944</t>
  </si>
  <si>
    <t>D000360</t>
  </si>
  <si>
    <t>TX000945</t>
  </si>
  <si>
    <t>TX000946</t>
  </si>
  <si>
    <t>31.75.105.19</t>
  </si>
  <si>
    <t>TX000947</t>
  </si>
  <si>
    <t>193.190.29.63</t>
  </si>
  <si>
    <t>TX000948</t>
  </si>
  <si>
    <t>AC00377</t>
  </si>
  <si>
    <t>TX000949</t>
  </si>
  <si>
    <t>116.43.88.219</t>
  </si>
  <si>
    <t>TX000950</t>
  </si>
  <si>
    <t>TX000951</t>
  </si>
  <si>
    <t>AC00243</t>
  </si>
  <si>
    <t>TX000952</t>
  </si>
  <si>
    <t>AC00017</t>
  </si>
  <si>
    <t>TX000953</t>
  </si>
  <si>
    <t>TX000954</t>
  </si>
  <si>
    <t>214.32.109.197</t>
  </si>
  <si>
    <t>TX000955</t>
  </si>
  <si>
    <t>TX000956</t>
  </si>
  <si>
    <t>TX000957</t>
  </si>
  <si>
    <t>AC00355</t>
  </si>
  <si>
    <t>TX000958</t>
  </si>
  <si>
    <t>TX000959</t>
  </si>
  <si>
    <t>TX000960</t>
  </si>
  <si>
    <t>AC00477</t>
  </si>
  <si>
    <t>147.94.242.35</t>
  </si>
  <si>
    <t>TX000961</t>
  </si>
  <si>
    <t>TX000962</t>
  </si>
  <si>
    <t>TX000963</t>
  </si>
  <si>
    <t>D000211</t>
  </si>
  <si>
    <t>TX000964</t>
  </si>
  <si>
    <t>D000253</t>
  </si>
  <si>
    <t>TX000965</t>
  </si>
  <si>
    <t>D000595</t>
  </si>
  <si>
    <t>42.3.3.101</t>
  </si>
  <si>
    <t>TX000966</t>
  </si>
  <si>
    <t>80.75.92.66</t>
  </si>
  <si>
    <t>TX000967</t>
  </si>
  <si>
    <t>TX000968</t>
  </si>
  <si>
    <t>TX000969</t>
  </si>
  <si>
    <t>148.42.122.1</t>
  </si>
  <si>
    <t>TX000970</t>
  </si>
  <si>
    <t>TX000971</t>
  </si>
  <si>
    <t>D000409</t>
  </si>
  <si>
    <t>TX000972</t>
  </si>
  <si>
    <t>AC00496</t>
  </si>
  <si>
    <t>TX000973</t>
  </si>
  <si>
    <t>D000344</t>
  </si>
  <si>
    <t>TX000974</t>
  </si>
  <si>
    <t>D000529</t>
  </si>
  <si>
    <t>TX000975</t>
  </si>
  <si>
    <t>TX000976</t>
  </si>
  <si>
    <t>D000168</t>
  </si>
  <si>
    <t>TX000977</t>
  </si>
  <si>
    <t>TX000978</t>
  </si>
  <si>
    <t>TX000979</t>
  </si>
  <si>
    <t>11.3.59.231</t>
  </si>
  <si>
    <t>TX000980</t>
  </si>
  <si>
    <t>TX000981</t>
  </si>
  <si>
    <t>TX000982</t>
  </si>
  <si>
    <t>188.77.83.72</t>
  </si>
  <si>
    <t>TX000983</t>
  </si>
  <si>
    <t>AC00281</t>
  </si>
  <si>
    <t>TX000984</t>
  </si>
  <si>
    <t>AC00082</t>
  </si>
  <si>
    <t>TX000985</t>
  </si>
  <si>
    <t>138.220.61.84</t>
  </si>
  <si>
    <t>TX000986</t>
  </si>
  <si>
    <t>TX000987</t>
  </si>
  <si>
    <t>156.134.123.253</t>
  </si>
  <si>
    <t>TX000988</t>
  </si>
  <si>
    <t>TX000989</t>
  </si>
  <si>
    <t>TX000990</t>
  </si>
  <si>
    <t>D000176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</si>
  <si>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</si>
  <si>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</si>
  <si>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</si>
  <si>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</si>
  <si>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</si>
  <si>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</si>
  <si>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</si>
  <si>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</si>
  <si>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AC00368</t>
  </si>
  <si>
    <t>TX000999</t>
  </si>
  <si>
    <t>TX001000</t>
  </si>
  <si>
    <t>D000376</t>
  </si>
  <si>
    <t>TX001001</t>
  </si>
  <si>
    <t>TX001002</t>
  </si>
  <si>
    <t>TX001003</t>
  </si>
  <si>
    <t>TX001004</t>
  </si>
  <si>
    <t>48.31.196.24</t>
  </si>
  <si>
    <t>TX001005</t>
  </si>
  <si>
    <t>D000219</t>
  </si>
  <si>
    <t>TX001006</t>
  </si>
  <si>
    <t>D000064</t>
  </si>
  <si>
    <t>136.250.159.93</t>
  </si>
  <si>
    <t>TX001007</t>
  </si>
  <si>
    <t>AC00255</t>
  </si>
  <si>
    <t>D000614</t>
  </si>
  <si>
    <t>TX001008</t>
  </si>
  <si>
    <t>TX001009</t>
  </si>
  <si>
    <t>97.106.5.76</t>
  </si>
  <si>
    <t>TX001010</t>
  </si>
  <si>
    <t>TX001011</t>
  </si>
  <si>
    <t>TX001012</t>
  </si>
  <si>
    <t>TX001013</t>
  </si>
  <si>
    <t>D000382</t>
  </si>
  <si>
    <t>TX001014</t>
  </si>
  <si>
    <t>189.183.50.147</t>
  </si>
  <si>
    <t>TX001015</t>
  </si>
  <si>
    <t>TX001016</t>
  </si>
  <si>
    <t>110.247.153.70</t>
  </si>
  <si>
    <t>TX001017</t>
  </si>
  <si>
    <t>TX001018</t>
  </si>
  <si>
    <t>TX001019</t>
  </si>
  <si>
    <t>D000325</t>
  </si>
  <si>
    <t>219.219.117.136</t>
  </si>
  <si>
    <t>TX001020</t>
  </si>
  <si>
    <t>AC00209</t>
  </si>
  <si>
    <t>TX001021</t>
  </si>
  <si>
    <t>D000591</t>
  </si>
  <si>
    <t>TX001022</t>
  </si>
  <si>
    <t>136.162.111.135</t>
  </si>
  <si>
    <t>TX001023</t>
  </si>
  <si>
    <t>AC00246</t>
  </si>
  <si>
    <t>TX001024</t>
  </si>
  <si>
    <t>TX001025</t>
  </si>
  <si>
    <t>D000634</t>
  </si>
  <si>
    <t>TX001026</t>
  </si>
  <si>
    <t>AC00214</t>
  </si>
  <si>
    <t>TX001027</t>
  </si>
  <si>
    <t>AC00204</t>
  </si>
  <si>
    <t>TX001028</t>
  </si>
  <si>
    <t>TX001029</t>
  </si>
  <si>
    <t>TX001030</t>
  </si>
  <si>
    <t>D000057</t>
  </si>
  <si>
    <t>TX001031</t>
  </si>
  <si>
    <t>TX001032</t>
  </si>
  <si>
    <t>D000624</t>
  </si>
  <si>
    <t>52.50.209.49</t>
  </si>
  <si>
    <t>TX001033</t>
  </si>
  <si>
    <t>D000040</t>
  </si>
  <si>
    <t>TX001034</t>
  </si>
  <si>
    <t>TX001035</t>
  </si>
  <si>
    <t>TX001036</t>
  </si>
  <si>
    <t>AC00485</t>
  </si>
  <si>
    <t>TX001037</t>
  </si>
  <si>
    <t>D000365</t>
  </si>
  <si>
    <t>TX001038</t>
  </si>
  <si>
    <t>TX001039</t>
  </si>
  <si>
    <t>TX001040</t>
  </si>
  <si>
    <t>TX001041</t>
  </si>
  <si>
    <t>AC00024</t>
  </si>
  <si>
    <t>TX001042</t>
  </si>
  <si>
    <t>73.156.208.26</t>
  </si>
  <si>
    <t>TX001043</t>
  </si>
  <si>
    <t>D000552</t>
  </si>
  <si>
    <t>TX001044</t>
  </si>
  <si>
    <t>TX001045</t>
  </si>
  <si>
    <t>TX001046</t>
  </si>
  <si>
    <t>TX001047</t>
  </si>
  <si>
    <t>TX001048</t>
  </si>
  <si>
    <t>AC00100</t>
  </si>
  <si>
    <t>D000345</t>
  </si>
  <si>
    <t>TX001049</t>
  </si>
  <si>
    <t>D000505</t>
  </si>
  <si>
    <t>119.43.28.203</t>
  </si>
  <si>
    <t>TX001050</t>
  </si>
  <si>
    <t>D000202</t>
  </si>
  <si>
    <t>TX001051</t>
  </si>
  <si>
    <t>TX001052</t>
  </si>
  <si>
    <t>AC00228</t>
  </si>
  <si>
    <t>TX001053</t>
  </si>
  <si>
    <t>TX001054</t>
  </si>
  <si>
    <t>217.82.46.37</t>
  </si>
  <si>
    <t>TX001055</t>
  </si>
  <si>
    <t>AC00151</t>
  </si>
  <si>
    <t>D000318</t>
  </si>
  <si>
    <t>TX001056</t>
  </si>
  <si>
    <t>D000279</t>
  </si>
  <si>
    <t>TX001057</t>
  </si>
  <si>
    <t>TX001058</t>
  </si>
  <si>
    <t>AC00191</t>
  </si>
  <si>
    <t>TX001059</t>
  </si>
  <si>
    <t>TX001060</t>
  </si>
  <si>
    <t>TX001061</t>
  </si>
  <si>
    <t>210.228.226.64</t>
  </si>
  <si>
    <t>TX001062</t>
  </si>
  <si>
    <t>AC00089</t>
  </si>
  <si>
    <t>TX001063</t>
  </si>
  <si>
    <t>TX001064</t>
  </si>
  <si>
    <t>AC00025</t>
  </si>
  <si>
    <t>TX001065</t>
  </si>
  <si>
    <t>TX001066</t>
  </si>
  <si>
    <t>TX001067</t>
  </si>
  <si>
    <t>TX001068</t>
  </si>
  <si>
    <t>TX001069</t>
  </si>
  <si>
    <t>TX001070</t>
  </si>
  <si>
    <t>TX001071</t>
  </si>
  <si>
    <t>221.105.243.251</t>
  </si>
  <si>
    <t>TX001072</t>
  </si>
  <si>
    <t>TX001073</t>
  </si>
  <si>
    <t>D000147</t>
  </si>
  <si>
    <t>TX001074</t>
  </si>
  <si>
    <t>D000298</t>
  </si>
  <si>
    <t>TX001075</t>
  </si>
  <si>
    <t>81.67.222.238</t>
  </si>
  <si>
    <t>TX001076</t>
  </si>
  <si>
    <t>40.45.69.120</t>
  </si>
  <si>
    <t>TX001077</t>
  </si>
  <si>
    <t>130.29.230.16</t>
  </si>
  <si>
    <t>TX001078</t>
  </si>
  <si>
    <t>TX001079</t>
  </si>
  <si>
    <t>TX001080</t>
  </si>
  <si>
    <t>TX001081</t>
  </si>
  <si>
    <t>TX001082</t>
  </si>
  <si>
    <t>TX001083</t>
  </si>
  <si>
    <t>TX001084</t>
  </si>
  <si>
    <t>D000550</t>
  </si>
  <si>
    <t>116.106.207.139</t>
  </si>
  <si>
    <t>TX001085</t>
  </si>
  <si>
    <t>TX001086</t>
  </si>
  <si>
    <t>TX001087</t>
  </si>
  <si>
    <t>TX001088</t>
  </si>
  <si>
    <t>D000324</t>
  </si>
  <si>
    <t>TX001089</t>
  </si>
  <si>
    <t>TX001090</t>
  </si>
  <si>
    <t>TX001091</t>
  </si>
  <si>
    <t>TX001092</t>
  </si>
  <si>
    <t>TX001093</t>
  </si>
  <si>
    <t>TX001094</t>
  </si>
  <si>
    <t>TX001095</t>
  </si>
  <si>
    <t>168.55.199.214</t>
  </si>
  <si>
    <t>TX001096</t>
  </si>
  <si>
    <t>TX001097</t>
  </si>
  <si>
    <t>TX001098</t>
  </si>
  <si>
    <t>TX001099</t>
  </si>
  <si>
    <t>TX001100</t>
  </si>
  <si>
    <t>TX001101</t>
  </si>
  <si>
    <t>D000299</t>
  </si>
  <si>
    <t>TX001102</t>
  </si>
  <si>
    <t>TX001103</t>
  </si>
  <si>
    <t>186.57.149.225</t>
  </si>
  <si>
    <t>TX001104</t>
  </si>
  <si>
    <t>D000679</t>
  </si>
  <si>
    <t>TX001105</t>
  </si>
  <si>
    <t>TX001106</t>
  </si>
  <si>
    <t>TX001107</t>
  </si>
  <si>
    <t>TX001108</t>
  </si>
  <si>
    <t>TX001109</t>
  </si>
  <si>
    <t>TX001110</t>
  </si>
  <si>
    <t>D000290</t>
  </si>
  <si>
    <t>TX001111</t>
  </si>
  <si>
    <t>TX001112</t>
  </si>
  <si>
    <t>D000010</t>
  </si>
  <si>
    <t>TX001113</t>
  </si>
  <si>
    <t>58.1.27.124</t>
  </si>
  <si>
    <t>TX001114</t>
  </si>
  <si>
    <t>TX001115</t>
  </si>
  <si>
    <t>TX001116</t>
  </si>
  <si>
    <t>AC00245</t>
  </si>
  <si>
    <t>TX001117</t>
  </si>
  <si>
    <t>AC00105</t>
  </si>
  <si>
    <t>TX001118</t>
  </si>
  <si>
    <t>TX001119</t>
  </si>
  <si>
    <t>D000612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</si>
  <si>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</si>
  <si>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</si>
  <si>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</si>
  <si>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</si>
  <si>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</si>
  <si>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</si>
  <si>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</si>
  <si>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</si>
  <si>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</si>
  <si>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D000610</t>
  </si>
  <si>
    <t>TX001129</t>
  </si>
  <si>
    <t>TX001130</t>
  </si>
  <si>
    <t>TX001131</t>
  </si>
  <si>
    <t>TX001132</t>
  </si>
  <si>
    <t>TX001133</t>
  </si>
  <si>
    <t>TX001134</t>
  </si>
  <si>
    <t>TX001135</t>
  </si>
  <si>
    <t>AC00016</t>
  </si>
  <si>
    <t>TX001136</t>
  </si>
  <si>
    <t>TX001137</t>
  </si>
  <si>
    <t>TX001138</t>
  </si>
  <si>
    <t>D000335</t>
  </si>
  <si>
    <t>TX001139</t>
  </si>
  <si>
    <t>TX001140</t>
  </si>
  <si>
    <t>D000502</t>
  </si>
  <si>
    <t>TX001141</t>
  </si>
  <si>
    <t>D000193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</si>
  <si>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</si>
  <si>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</si>
  <si>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</si>
  <si>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</si>
  <si>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</si>
  <si>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</si>
  <si>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</si>
  <si>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</si>
  <si>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199.59.68.207</t>
  </si>
  <si>
    <t>TX001150</t>
  </si>
  <si>
    <t>36.77.94.252</t>
  </si>
  <si>
    <t>TX001151</t>
  </si>
  <si>
    <t>D000347</t>
  </si>
  <si>
    <t>TX001152</t>
  </si>
  <si>
    <t>TX001153</t>
  </si>
  <si>
    <t>TX001154</t>
  </si>
  <si>
    <t>100.128.70.210</t>
  </si>
  <si>
    <t>TX001155</t>
  </si>
  <si>
    <t>TX001156</t>
  </si>
  <si>
    <t>TX001157</t>
  </si>
  <si>
    <t>TX001158</t>
  </si>
  <si>
    <t>AC00379</t>
  </si>
  <si>
    <t>TX001159</t>
  </si>
  <si>
    <t>TX001160</t>
  </si>
  <si>
    <t>TX001161</t>
  </si>
  <si>
    <t>TX001162</t>
  </si>
  <si>
    <t>93.160.83.196</t>
  </si>
  <si>
    <t>TX001163</t>
  </si>
  <si>
    <t>D000258</t>
  </si>
  <si>
    <t>TX001164</t>
  </si>
  <si>
    <t>AC00309</t>
  </si>
  <si>
    <t>TX001165</t>
  </si>
  <si>
    <t>D000423</t>
  </si>
  <si>
    <t>TX001166</t>
  </si>
  <si>
    <t>TX001167</t>
  </si>
  <si>
    <t>TX001168</t>
  </si>
  <si>
    <t>TX001169</t>
  </si>
  <si>
    <t>51.250.46.149</t>
  </si>
  <si>
    <t>TX001170</t>
  </si>
  <si>
    <t>D000144</t>
  </si>
  <si>
    <t>TX001171</t>
  </si>
  <si>
    <t>TX001172</t>
  </si>
  <si>
    <t>AC00044</t>
  </si>
  <si>
    <t>TX001173</t>
  </si>
  <si>
    <t>TX001174</t>
  </si>
  <si>
    <t>TX001175</t>
  </si>
  <si>
    <t>58.190.9.136</t>
  </si>
  <si>
    <t>TX001176</t>
  </si>
  <si>
    <t>TX001177</t>
  </si>
  <si>
    <t>TX001178</t>
  </si>
  <si>
    <t>3.102.127.165</t>
  </si>
  <si>
    <t>TX001179</t>
  </si>
  <si>
    <t>1.98.25.114</t>
  </si>
  <si>
    <t>TX001180</t>
  </si>
  <si>
    <t>TX001181</t>
  </si>
  <si>
    <t>TX001182</t>
  </si>
  <si>
    <t>203.174.215.229</t>
  </si>
  <si>
    <t>TX001183</t>
  </si>
  <si>
    <t>D000017</t>
  </si>
  <si>
    <t>TX001184</t>
  </si>
  <si>
    <t>TX001185</t>
  </si>
  <si>
    <t>D000346</t>
  </si>
  <si>
    <t>TX001186</t>
  </si>
  <si>
    <t>TX001187</t>
  </si>
  <si>
    <t>TX001188</t>
  </si>
  <si>
    <t>AC00483</t>
  </si>
  <si>
    <t>TX001189</t>
  </si>
  <si>
    <t>TX001190</t>
  </si>
  <si>
    <t>TX001191</t>
  </si>
  <si>
    <t>TX001192</t>
  </si>
  <si>
    <t>TX001193</t>
  </si>
  <si>
    <t>D000659</t>
  </si>
  <si>
    <t>TX001194</t>
  </si>
  <si>
    <t>TX001195</t>
  </si>
  <si>
    <t>TX001196</t>
  </si>
  <si>
    <t>TX001197</t>
  </si>
  <si>
    <t>TX001198</t>
  </si>
  <si>
    <t>AC00347</t>
  </si>
  <si>
    <t>D000300</t>
  </si>
  <si>
    <t>TX001199</t>
  </si>
  <si>
    <t>D000246</t>
  </si>
  <si>
    <t>TX001200</t>
  </si>
  <si>
    <t>TX001201</t>
  </si>
  <si>
    <t>TX001202</t>
  </si>
  <si>
    <t>TX001203</t>
  </si>
  <si>
    <t>TX001204</t>
  </si>
  <si>
    <t>TX001205</t>
  </si>
  <si>
    <t>23.163.145.195</t>
  </si>
  <si>
    <t>TX001206</t>
  </si>
  <si>
    <t>TX001207</t>
  </si>
  <si>
    <t>D000619</t>
  </si>
  <si>
    <t>TX001208</t>
  </si>
  <si>
    <t>TX001209</t>
  </si>
  <si>
    <t>TX001210</t>
  </si>
  <si>
    <t>TX001211</t>
  </si>
  <si>
    <t>AC00428</t>
  </si>
  <si>
    <t>TX001212</t>
  </si>
  <si>
    <t>TX001213</t>
  </si>
  <si>
    <t>TX001214</t>
  </si>
  <si>
    <t>D000174</t>
  </si>
  <si>
    <t>TX001215</t>
  </si>
  <si>
    <t>TX001216</t>
  </si>
  <si>
    <t>AC00097</t>
  </si>
  <si>
    <t>TX001217</t>
  </si>
  <si>
    <t>D000255</t>
  </si>
  <si>
    <t>TX001218</t>
  </si>
  <si>
    <t>D000412</t>
  </si>
  <si>
    <t>TX001219</t>
  </si>
  <si>
    <t>TX001220</t>
  </si>
  <si>
    <t>TX001221</t>
  </si>
  <si>
    <t>TX001222</t>
  </si>
  <si>
    <t>TX001223</t>
  </si>
  <si>
    <t>TX001224</t>
  </si>
  <si>
    <t>144.228.168.6</t>
  </si>
  <si>
    <t>TX001225</t>
  </si>
  <si>
    <t>TX001226</t>
  </si>
  <si>
    <t>TX001227</t>
  </si>
  <si>
    <t>TX001228</t>
  </si>
  <si>
    <t>AC00334</t>
  </si>
  <si>
    <t>TX001229</t>
  </si>
  <si>
    <t>TX001230</t>
  </si>
  <si>
    <t>TX001231</t>
  </si>
  <si>
    <t>D000523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</si>
  <si>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</si>
  <si>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</si>
  <si>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</si>
  <si>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</si>
  <si>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</si>
  <si>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</si>
  <si>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</si>
  <si>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</si>
  <si>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</si>
  <si>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D000545</t>
  </si>
  <si>
    <t>TX001241</t>
  </si>
  <si>
    <t>TX001242</t>
  </si>
  <si>
    <t>D000050</t>
  </si>
  <si>
    <t>TX001243</t>
  </si>
  <si>
    <t>AC00494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</si>
  <si>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</si>
  <si>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</si>
  <si>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</si>
  <si>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</si>
  <si>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</si>
  <si>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</si>
  <si>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</si>
  <si>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</si>
  <si>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D000179</t>
  </si>
  <si>
    <t>TX001252</t>
  </si>
  <si>
    <t>TX001253</t>
  </si>
  <si>
    <t>TX001254</t>
  </si>
  <si>
    <t>TX001255</t>
  </si>
  <si>
    <t>85.191.79.161</t>
  </si>
  <si>
    <t>TX001256</t>
  </si>
  <si>
    <t>TX001257</t>
  </si>
  <si>
    <t>D000126</t>
  </si>
  <si>
    <t>TX001258</t>
  </si>
  <si>
    <t>TX001259</t>
  </si>
  <si>
    <t>D000238</t>
  </si>
  <si>
    <t>TX001260</t>
  </si>
  <si>
    <t>TX001261</t>
  </si>
  <si>
    <t>TX001262</t>
  </si>
  <si>
    <t>TX001263</t>
  </si>
  <si>
    <t>5.74.9.122</t>
  </si>
  <si>
    <t>TX001264</t>
  </si>
  <si>
    <t>D000243</t>
  </si>
  <si>
    <t>TX001265</t>
  </si>
  <si>
    <t>AC00079</t>
  </si>
  <si>
    <t>TX001266</t>
  </si>
  <si>
    <t>TX001267</t>
  </si>
  <si>
    <t>86.83.61.143</t>
  </si>
  <si>
    <t>TX001268</t>
  </si>
  <si>
    <t>TX001269</t>
  </si>
  <si>
    <t>177.172.184.163</t>
  </si>
  <si>
    <t>TX001270</t>
  </si>
  <si>
    <t>AC00231</t>
  </si>
  <si>
    <t>TX001271</t>
  </si>
  <si>
    <t>D000067</t>
  </si>
  <si>
    <t>TX001272</t>
  </si>
  <si>
    <t>D000157</t>
  </si>
  <si>
    <t>TX001273</t>
  </si>
  <si>
    <t>TX001274</t>
  </si>
  <si>
    <t>TX001275</t>
  </si>
  <si>
    <t>TX001276</t>
  </si>
  <si>
    <t>AC00221</t>
  </si>
  <si>
    <t>TX001277</t>
  </si>
  <si>
    <t>D000475</t>
  </si>
  <si>
    <t>TX001278</t>
  </si>
  <si>
    <t>115.96.94.156</t>
  </si>
  <si>
    <t>TX001279</t>
  </si>
  <si>
    <t>TX001280</t>
  </si>
  <si>
    <t>TX001281</t>
  </si>
  <si>
    <t>TX001282</t>
  </si>
  <si>
    <t>4.134.78.167</t>
  </si>
  <si>
    <t>TX001283</t>
  </si>
  <si>
    <t>AC00409</t>
  </si>
  <si>
    <t>181.223.246.123</t>
  </si>
  <si>
    <t>TX001284</t>
  </si>
  <si>
    <t>TX001285</t>
  </si>
  <si>
    <t>TX001286</t>
  </si>
  <si>
    <t>D000639</t>
  </si>
  <si>
    <t>TX001287</t>
  </si>
  <si>
    <t>TX001288</t>
  </si>
  <si>
    <t>TX001289</t>
  </si>
  <si>
    <t>TX001290</t>
  </si>
  <si>
    <t>AC00138</t>
  </si>
  <si>
    <t>TX001291</t>
  </si>
  <si>
    <t>TX001292</t>
  </si>
  <si>
    <t>D000296</t>
  </si>
  <si>
    <t>TX001293</t>
  </si>
  <si>
    <t>TX001294</t>
  </si>
  <si>
    <t>148.181.195.227</t>
  </si>
  <si>
    <t>TX001295</t>
  </si>
  <si>
    <t>TX001296</t>
  </si>
  <si>
    <t>D000239</t>
  </si>
  <si>
    <t>TX001297</t>
  </si>
  <si>
    <t>TX001298</t>
  </si>
  <si>
    <t>TX001299</t>
  </si>
  <si>
    <t>TX001300</t>
  </si>
  <si>
    <t>TX001301</t>
  </si>
  <si>
    <t>TX001302</t>
  </si>
  <si>
    <t>91.103.147.166</t>
  </si>
  <si>
    <t>TX001303</t>
  </si>
  <si>
    <t>TX001304</t>
  </si>
  <si>
    <t>28.120.130.118</t>
  </si>
  <si>
    <t>TX001305</t>
  </si>
  <si>
    <t>TX001306</t>
  </si>
  <si>
    <t>TX001307</t>
  </si>
  <si>
    <t>AC00091</t>
  </si>
  <si>
    <t>TX001308</t>
  </si>
  <si>
    <t>TX001309</t>
  </si>
  <si>
    <t>TX001310</t>
  </si>
  <si>
    <t>TX001311</t>
  </si>
  <si>
    <t>TX001312</t>
  </si>
  <si>
    <t>D000521</t>
  </si>
  <si>
    <t>TX001313</t>
  </si>
  <si>
    <t>AC00001</t>
  </si>
  <si>
    <t>TX001314</t>
  </si>
  <si>
    <t>TX001315</t>
  </si>
  <si>
    <t>TX001316</t>
  </si>
  <si>
    <t>TX001317</t>
  </si>
  <si>
    <t>TX001318</t>
  </si>
  <si>
    <t>TX001319</t>
  </si>
  <si>
    <t>63.82.133.139</t>
  </si>
  <si>
    <t>TX001320</t>
  </si>
  <si>
    <t>TX001321</t>
  </si>
  <si>
    <t>1.238.163.61</t>
  </si>
  <si>
    <t>TX001322</t>
  </si>
  <si>
    <t>TX001323</t>
  </si>
  <si>
    <t>AC00259</t>
  </si>
  <si>
    <t>146.250.144.172</t>
  </si>
  <si>
    <t>TX001324</t>
  </si>
  <si>
    <t>TX001325</t>
  </si>
  <si>
    <t>199.199.60.222</t>
  </si>
  <si>
    <t>TX001326</t>
  </si>
  <si>
    <t>TX001327</t>
  </si>
  <si>
    <t>TX001328</t>
  </si>
  <si>
    <t>TX001329</t>
  </si>
  <si>
    <t>17.36.132.202</t>
  </si>
  <si>
    <t>TX001330</t>
  </si>
  <si>
    <t>D000316</t>
  </si>
  <si>
    <t>TX001331</t>
  </si>
  <si>
    <t>TX001332</t>
  </si>
  <si>
    <t>158.129.49.240</t>
  </si>
  <si>
    <t>TX001333</t>
  </si>
  <si>
    <t>D000049</t>
  </si>
  <si>
    <t>TX001334</t>
  </si>
  <si>
    <t>AC00250</t>
  </si>
  <si>
    <t>TX001335</t>
  </si>
  <si>
    <t>TX001336</t>
  </si>
  <si>
    <t>TX001337</t>
  </si>
  <si>
    <t>D000636</t>
  </si>
  <si>
    <t>TX001338</t>
  </si>
  <si>
    <t>141.169.67.34</t>
  </si>
  <si>
    <t>TX001339</t>
  </si>
  <si>
    <t>TX001340</t>
  </si>
  <si>
    <t>194.29.57.163</t>
  </si>
  <si>
    <t>TX001341</t>
  </si>
  <si>
    <t>TX001342</t>
  </si>
  <si>
    <t>TX001343</t>
  </si>
  <si>
    <t>TX001344</t>
  </si>
  <si>
    <t>AC00344</t>
  </si>
  <si>
    <t>TX001345</t>
  </si>
  <si>
    <t>D000326</t>
  </si>
  <si>
    <t>TX001346</t>
  </si>
  <si>
    <t>TX001347</t>
  </si>
  <si>
    <t>TX001348</t>
  </si>
  <si>
    <t>150.25.200.56</t>
  </si>
  <si>
    <t>TX001349</t>
  </si>
  <si>
    <t>D000596</t>
  </si>
  <si>
    <t>113.134.242.82</t>
  </si>
  <si>
    <t>TX001350</t>
  </si>
  <si>
    <t>TX001351</t>
  </si>
  <si>
    <t>TX001352</t>
  </si>
  <si>
    <t>AC00335</t>
  </si>
  <si>
    <t>D000625</t>
  </si>
  <si>
    <t>TX001353</t>
  </si>
  <si>
    <t>TX001354</t>
  </si>
  <si>
    <t>193.209.134.233</t>
  </si>
  <si>
    <t>TX001355</t>
  </si>
  <si>
    <t>60.197.167.40</t>
  </si>
  <si>
    <t>TX001356</t>
  </si>
  <si>
    <t>TX001357</t>
  </si>
  <si>
    <t>TX001358</t>
  </si>
  <si>
    <t>D000237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</si>
  <si>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</si>
  <si>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</si>
  <si>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</si>
  <si>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</si>
  <si>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</si>
  <si>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</si>
  <si>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</si>
  <si>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</si>
  <si>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</si>
  <si>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</si>
  <si>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D000080</t>
  </si>
  <si>
    <t>TX001369</t>
  </si>
  <si>
    <t>D000361</t>
  </si>
  <si>
    <t>TX001370</t>
  </si>
  <si>
    <t>TX001371</t>
  </si>
  <si>
    <t>TX001372</t>
  </si>
  <si>
    <t>TX001373</t>
  </si>
  <si>
    <t>TX001374</t>
  </si>
  <si>
    <t>TX001375</t>
  </si>
  <si>
    <t>TX001376</t>
  </si>
  <si>
    <t>AC00042</t>
  </si>
  <si>
    <t>TX001377</t>
  </si>
  <si>
    <t>TX001378</t>
  </si>
  <si>
    <t>TX001379</t>
  </si>
  <si>
    <t>TX001380</t>
  </si>
  <si>
    <t>203.245.215.62</t>
  </si>
  <si>
    <t>TX001381</t>
  </si>
  <si>
    <t>TX001382</t>
  </si>
  <si>
    <t>TX001383</t>
  </si>
  <si>
    <t>TX001384</t>
  </si>
  <si>
    <t>172.184.35.29</t>
  </si>
  <si>
    <t>TX001385</t>
  </si>
  <si>
    <t>TX001386</t>
  </si>
  <si>
    <t>TX001387</t>
  </si>
  <si>
    <t>TX001388</t>
  </si>
  <si>
    <t>TX001389</t>
  </si>
  <si>
    <t>8.136.178.116</t>
  </si>
  <si>
    <t>TX001390</t>
  </si>
  <si>
    <t>AC00315</t>
  </si>
  <si>
    <t>TX001391</t>
  </si>
  <si>
    <t>TX001392</t>
  </si>
  <si>
    <t>TX001393</t>
  </si>
  <si>
    <t>D000121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</si>
  <si>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</si>
  <si>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</si>
  <si>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</si>
  <si>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</si>
  <si>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</si>
  <si>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</si>
  <si>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</si>
  <si>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</si>
  <si>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D000696</t>
  </si>
  <si>
    <t>TX001402</t>
  </si>
  <si>
    <t>TX001403</t>
  </si>
  <si>
    <t>TX001404</t>
  </si>
  <si>
    <t>TX001405</t>
  </si>
  <si>
    <t>TX001406</t>
  </si>
  <si>
    <t>TX001407</t>
  </si>
  <si>
    <t>AC00104</t>
  </si>
  <si>
    <t>TX001408</t>
  </si>
  <si>
    <t>TX001409</t>
  </si>
  <si>
    <t>TX001410</t>
  </si>
  <si>
    <t>TX001411</t>
  </si>
  <si>
    <t>TX001412</t>
  </si>
  <si>
    <t>TX001413</t>
  </si>
  <si>
    <t>TX001414</t>
  </si>
  <si>
    <t>172.111.76.65</t>
  </si>
  <si>
    <t>TX001415</t>
  </si>
  <si>
    <t>66.226.179.193</t>
  </si>
  <si>
    <t>TX001416</t>
  </si>
  <si>
    <t>TX001417</t>
  </si>
  <si>
    <t>D000189</t>
  </si>
  <si>
    <t>TX001418</t>
  </si>
  <si>
    <t>TX001419</t>
  </si>
  <si>
    <t>D000011</t>
  </si>
  <si>
    <t>TX001420</t>
  </si>
  <si>
    <t>TX001421</t>
  </si>
  <si>
    <t>D000509</t>
  </si>
  <si>
    <t>TX001422</t>
  </si>
  <si>
    <t>TX001423</t>
  </si>
  <si>
    <t>AC00207</t>
  </si>
  <si>
    <t>D000572</t>
  </si>
  <si>
    <t>TX001424</t>
  </si>
  <si>
    <t>TX001425</t>
  </si>
  <si>
    <t>TX001426</t>
  </si>
  <si>
    <t>TX001427</t>
  </si>
  <si>
    <t>TX001428</t>
  </si>
  <si>
    <t>D000381</t>
  </si>
  <si>
    <t>TX001429</t>
  </si>
  <si>
    <t>TX001430</t>
  </si>
  <si>
    <t>TX001431</t>
  </si>
  <si>
    <t>AC00059</t>
  </si>
  <si>
    <t>TX001432</t>
  </si>
  <si>
    <t>TX001433</t>
  </si>
  <si>
    <t>161.195.172.148</t>
  </si>
  <si>
    <t>TX001434</t>
  </si>
  <si>
    <t>TX001435</t>
  </si>
  <si>
    <t>AC00346</t>
  </si>
  <si>
    <t>TX001436</t>
  </si>
  <si>
    <t>AC00118</t>
  </si>
  <si>
    <t>TX001437</t>
  </si>
  <si>
    <t>TX001438</t>
  </si>
  <si>
    <t>AC00028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</si>
  <si>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</si>
  <si>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</si>
  <si>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</si>
  <si>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</si>
  <si>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</si>
  <si>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</si>
  <si>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</si>
  <si>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</si>
  <si>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37.143.57.20</t>
  </si>
  <si>
    <t>TX001447</t>
  </si>
  <si>
    <t>TX001448</t>
  </si>
  <si>
    <t>TX001449</t>
  </si>
  <si>
    <t>TX001450</t>
  </si>
  <si>
    <t>TX001451</t>
  </si>
  <si>
    <t>TX001452</t>
  </si>
  <si>
    <t>TX001453</t>
  </si>
  <si>
    <t>202.21.120.44</t>
  </si>
  <si>
    <t>TX001454</t>
  </si>
  <si>
    <t>TX001455</t>
  </si>
  <si>
    <t>AC00162</t>
  </si>
  <si>
    <t>D000525</t>
  </si>
  <si>
    <t>TX001456</t>
  </si>
  <si>
    <t>AC00015</t>
  </si>
  <si>
    <t>TX001457</t>
  </si>
  <si>
    <t>TX001458</t>
  </si>
  <si>
    <t>TX001459</t>
  </si>
  <si>
    <t>TX001460</t>
  </si>
  <si>
    <t>TX001461</t>
  </si>
  <si>
    <t>TX001462</t>
  </si>
  <si>
    <t>65.149.11.248</t>
  </si>
  <si>
    <t>TX001463</t>
  </si>
  <si>
    <t>TX001464</t>
  </si>
  <si>
    <t>AC00193</t>
  </si>
  <si>
    <t>TX001465</t>
  </si>
  <si>
    <t>TX001466</t>
  </si>
  <si>
    <t>TX001467</t>
  </si>
  <si>
    <t>D000340</t>
  </si>
  <si>
    <t>TX001468</t>
  </si>
  <si>
    <t>TX001469</t>
  </si>
  <si>
    <t>TX001470</t>
  </si>
  <si>
    <t>TX001471</t>
  </si>
  <si>
    <t>TX001472</t>
  </si>
  <si>
    <t>TX001473</t>
  </si>
  <si>
    <t>TX001474</t>
  </si>
  <si>
    <t>D000289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</si>
  <si>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</si>
  <si>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</si>
  <si>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</si>
  <si>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</si>
  <si>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</si>
  <si>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</si>
  <si>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</si>
  <si>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</si>
  <si>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</si>
  <si>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</si>
  <si>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170.154.69.105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</si>
  <si>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</si>
  <si>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</si>
  <si>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</si>
  <si>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</si>
  <si>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</si>
  <si>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</si>
  <si>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</si>
  <si>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</si>
  <si>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</si>
  <si>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</si>
  <si>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</si>
  <si>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AC00142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</si>
  <si>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</si>
  <si>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</si>
  <si>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</si>
  <si>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</si>
  <si>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</si>
  <si>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</si>
  <si>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</si>
  <si>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</si>
  <si>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</si>
  <si>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</si>
  <si>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</si>
  <si>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D000254</t>
  </si>
  <si>
    <t>TX001507</t>
  </si>
  <si>
    <t>TX001508</t>
  </si>
  <si>
    <t>TX001509</t>
  </si>
  <si>
    <t>AC00435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</si>
  <si>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</si>
  <si>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</si>
  <si>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</si>
  <si>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</si>
  <si>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</si>
  <si>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</si>
  <si>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</si>
  <si>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</si>
  <si>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</si>
  <si>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</si>
  <si>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</si>
  <si>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</si>
  <si>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</si>
  <si>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D000568</t>
  </si>
  <si>
    <t>TX001523</t>
  </si>
  <si>
    <t>D000333</t>
  </si>
  <si>
    <t>TX001524</t>
  </si>
  <si>
    <t>TX001525</t>
  </si>
  <si>
    <t>D000349</t>
  </si>
  <si>
    <t>TX001526</t>
  </si>
  <si>
    <t>TX001527</t>
  </si>
  <si>
    <t>3.11.254.2</t>
  </si>
  <si>
    <t>TX001528</t>
  </si>
  <si>
    <t>TX001529</t>
  </si>
  <si>
    <t>TX001530</t>
  </si>
  <si>
    <t>TX001531</t>
  </si>
  <si>
    <t>TX001532</t>
  </si>
  <si>
    <t>TX001533</t>
  </si>
  <si>
    <t>TX001534</t>
  </si>
  <si>
    <t>AC00294</t>
  </si>
  <si>
    <t>TX001535</t>
  </si>
  <si>
    <t>216.79.134.201</t>
  </si>
  <si>
    <t>TX001536</t>
  </si>
  <si>
    <t>TX001537</t>
  </si>
  <si>
    <t>TX001538</t>
  </si>
  <si>
    <t>TX001539</t>
  </si>
  <si>
    <t>TX001540</t>
  </si>
  <si>
    <t>105.6.30.244</t>
  </si>
  <si>
    <t>TX001541</t>
  </si>
  <si>
    <t>TX001542</t>
  </si>
  <si>
    <t>TX001543</t>
  </si>
  <si>
    <t>D000575</t>
  </si>
  <si>
    <t>TX001544</t>
  </si>
  <si>
    <t>TX001545</t>
  </si>
  <si>
    <t>145.179.219.57</t>
  </si>
  <si>
    <t>TX001546</t>
  </si>
  <si>
    <t>TX001547</t>
  </si>
  <si>
    <t>71.93.189.160</t>
  </si>
  <si>
    <t>TX001548</t>
  </si>
  <si>
    <t>82.51.236.134</t>
  </si>
  <si>
    <t>TX001549</t>
  </si>
  <si>
    <t>AC00172</t>
  </si>
  <si>
    <t>D000200</t>
  </si>
  <si>
    <t>TX001550</t>
  </si>
  <si>
    <t>TX001551</t>
  </si>
  <si>
    <t>TX001552</t>
  </si>
  <si>
    <t>TX001553</t>
  </si>
  <si>
    <t>D000691</t>
  </si>
  <si>
    <t>TX001554</t>
  </si>
  <si>
    <t>TX001555</t>
  </si>
  <si>
    <t>TX001556</t>
  </si>
  <si>
    <t>27.93.195.98</t>
  </si>
  <si>
    <t>TX001557</t>
  </si>
  <si>
    <t>D000259</t>
  </si>
  <si>
    <t>TX001558</t>
  </si>
  <si>
    <t>TX001559</t>
  </si>
  <si>
    <t>TX001560</t>
  </si>
  <si>
    <t>D000328</t>
  </si>
  <si>
    <t>TX001561</t>
  </si>
  <si>
    <t>TX001562</t>
  </si>
  <si>
    <t>TX001563</t>
  </si>
  <si>
    <t>AC00112</t>
  </si>
  <si>
    <t>D000087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</si>
  <si>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</si>
  <si>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</si>
  <si>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</si>
  <si>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</si>
  <si>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</si>
  <si>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</si>
  <si>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</si>
  <si>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</si>
  <si>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</si>
  <si>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D000506</t>
  </si>
  <si>
    <t>81.222.37.186</t>
  </si>
  <si>
    <t>TX001573</t>
  </si>
  <si>
    <t>TX001574</t>
  </si>
  <si>
    <t>TX001575</t>
  </si>
  <si>
    <t>TX001576</t>
  </si>
  <si>
    <t>TX001577</t>
  </si>
  <si>
    <t>D000204</t>
  </si>
  <si>
    <t>TX001578</t>
  </si>
  <si>
    <t>TX001579</t>
  </si>
  <si>
    <t>TX001580</t>
  </si>
  <si>
    <t>80.58.55.129</t>
  </si>
  <si>
    <t>TX001581</t>
  </si>
  <si>
    <t>TX001582</t>
  </si>
  <si>
    <t>D000047</t>
  </si>
  <si>
    <t>TX001583</t>
  </si>
  <si>
    <t>TX001584</t>
  </si>
  <si>
    <t>AC00081</t>
  </si>
  <si>
    <t>TX001585</t>
  </si>
  <si>
    <t>TX001586</t>
  </si>
  <si>
    <t>TX001587</t>
  </si>
  <si>
    <t>223.189.165.37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</si>
  <si>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</si>
  <si>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</si>
  <si>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</si>
  <si>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</si>
  <si>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</si>
  <si>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</si>
  <si>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</si>
  <si>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</si>
  <si>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</si>
  <si>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</si>
  <si>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</si>
  <si>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119.199.76.61</t>
  </si>
  <si>
    <t>TX001599</t>
  </si>
  <si>
    <t>TX001600</t>
  </si>
  <si>
    <t>TX001601</t>
  </si>
  <si>
    <t>TX001602</t>
  </si>
  <si>
    <t>TX001603</t>
  </si>
  <si>
    <t>TX001604</t>
  </si>
  <si>
    <t>TX001605</t>
  </si>
  <si>
    <t>D000012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</si>
  <si>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</si>
  <si>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</si>
  <si>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</si>
  <si>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</si>
  <si>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</si>
  <si>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</si>
  <si>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</si>
  <si>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</si>
  <si>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</si>
  <si>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</si>
  <si>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</si>
  <si>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</si>
  <si>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</si>
  <si>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</si>
  <si>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</si>
  <si>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</si>
  <si>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</si>
  <si>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</si>
  <si>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</si>
  <si>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</si>
  <si>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</si>
  <si>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</si>
  <si>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</si>
  <si>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</si>
  <si>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</si>
  <si>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21.122.39.207</t>
  </si>
  <si>
    <t>TX001631</t>
  </si>
  <si>
    <t>D000302</t>
  </si>
  <si>
    <t>TX001632</t>
  </si>
  <si>
    <t>209.214.250.164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</si>
  <si>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</si>
  <si>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</si>
  <si>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</si>
  <si>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</si>
  <si>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</si>
  <si>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</si>
  <si>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</si>
  <si>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</si>
  <si>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AC00155</t>
  </si>
  <si>
    <t>TX001641</t>
  </si>
  <si>
    <t>TX001642</t>
  </si>
  <si>
    <t>TX001643</t>
  </si>
  <si>
    <t>TX001644</t>
  </si>
  <si>
    <t>114.115.12.20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</si>
  <si>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</si>
  <si>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</si>
  <si>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</si>
  <si>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</si>
  <si>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</si>
  <si>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</si>
  <si>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</si>
  <si>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</si>
  <si>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</si>
  <si>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D000594</t>
  </si>
  <si>
    <t>TX001654</t>
  </si>
  <si>
    <t>TX001655</t>
  </si>
  <si>
    <t>TX001656</t>
  </si>
  <si>
    <t>TX001657</t>
  </si>
  <si>
    <t>TX001658</t>
  </si>
  <si>
    <t>89.18.54.235</t>
  </si>
  <si>
    <t>TX001659</t>
  </si>
  <si>
    <t>TX001660</t>
  </si>
  <si>
    <t>TX001661</t>
  </si>
  <si>
    <t>D000132</t>
  </si>
  <si>
    <t>TX001662</t>
  </si>
  <si>
    <t>TX001663</t>
  </si>
  <si>
    <t>AC00289</t>
  </si>
  <si>
    <t>206.168.209.111</t>
  </si>
  <si>
    <t>TX001664</t>
  </si>
  <si>
    <t>TX001665</t>
  </si>
  <si>
    <t>TX001666</t>
  </si>
  <si>
    <t>TX001667</t>
  </si>
  <si>
    <t>TX001668</t>
  </si>
  <si>
    <t>TX001669</t>
  </si>
  <si>
    <t>D000458</t>
  </si>
  <si>
    <t>TX001670</t>
  </si>
  <si>
    <t>TX001671</t>
  </si>
  <si>
    <t>TX001672</t>
  </si>
  <si>
    <t>TX001673</t>
  </si>
  <si>
    <t>TX001674</t>
  </si>
  <si>
    <t>TX001675</t>
  </si>
  <si>
    <t>TX001676</t>
  </si>
  <si>
    <t>212.220.106.248</t>
  </si>
  <si>
    <t>TX001677</t>
  </si>
  <si>
    <t>D000190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</si>
  <si>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</si>
  <si>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</si>
  <si>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</si>
  <si>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</si>
  <si>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</si>
  <si>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</si>
  <si>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</si>
  <si>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</si>
  <si>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</si>
  <si>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</si>
  <si>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</si>
  <si>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</si>
  <si>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</si>
  <si>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</si>
  <si>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190.152.148.249</t>
  </si>
  <si>
    <t>TX001692</t>
  </si>
  <si>
    <t>TX001693</t>
  </si>
  <si>
    <t>D000026</t>
  </si>
  <si>
    <t>TX001694</t>
  </si>
  <si>
    <t>TX001695</t>
  </si>
  <si>
    <t>TX001696</t>
  </si>
  <si>
    <t>TX001697</t>
  </si>
  <si>
    <t>TX001698</t>
  </si>
  <si>
    <t>TX001699</t>
  </si>
  <si>
    <t>D000341</t>
  </si>
  <si>
    <t>TX001700</t>
  </si>
  <si>
    <t>110.64.1.201</t>
  </si>
  <si>
    <t>TX001701</t>
  </si>
  <si>
    <t>TX001702</t>
  </si>
  <si>
    <t>81.156.221.124</t>
  </si>
  <si>
    <t>TX001703</t>
  </si>
  <si>
    <t>TX001704</t>
  </si>
  <si>
    <t>TX001705</t>
  </si>
  <si>
    <t>TX001706</t>
  </si>
  <si>
    <t>D000447</t>
  </si>
  <si>
    <t>TX001707</t>
  </si>
  <si>
    <t>AC00048</t>
  </si>
  <si>
    <t>TX001708</t>
  </si>
  <si>
    <t>TX001709</t>
  </si>
  <si>
    <t>TX001710</t>
  </si>
  <si>
    <t>45.124.239.44</t>
  </si>
  <si>
    <t>TX001711</t>
  </si>
  <si>
    <t>AC00283</t>
  </si>
  <si>
    <t>TX001712</t>
  </si>
  <si>
    <t>AC00197</t>
  </si>
  <si>
    <t>TX001713</t>
  </si>
  <si>
    <t>TX001714</t>
  </si>
  <si>
    <t>TX001715</t>
  </si>
  <si>
    <t>TX001716</t>
  </si>
  <si>
    <t>AC00500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</si>
  <si>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</si>
  <si>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</si>
  <si>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</si>
  <si>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</si>
  <si>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</si>
  <si>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</si>
  <si>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</si>
  <si>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</si>
  <si>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</si>
  <si>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</si>
  <si>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</si>
  <si>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</si>
  <si>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</si>
  <si>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</si>
  <si>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</si>
  <si>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</si>
  <si>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</si>
  <si>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</si>
  <si>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</si>
  <si>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</si>
  <si>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</si>
  <si>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</si>
  <si>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</si>
  <si>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</si>
  <si>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AC00408</t>
  </si>
  <si>
    <t>TX001741</t>
  </si>
  <si>
    <t>16.250.113.156</t>
  </si>
  <si>
    <t>TX001742</t>
  </si>
  <si>
    <t>TX001743</t>
  </si>
  <si>
    <t>TX001744</t>
  </si>
  <si>
    <t>TX001745</t>
  </si>
  <si>
    <t>TX001746</t>
  </si>
  <si>
    <t>TX001747</t>
  </si>
  <si>
    <t>D000699</t>
  </si>
  <si>
    <t>TX001748</t>
  </si>
  <si>
    <t>TX001749</t>
  </si>
  <si>
    <t>TX001750</t>
  </si>
  <si>
    <t>TX001751</t>
  </si>
  <si>
    <t>TX001752</t>
  </si>
  <si>
    <t>TX001753</t>
  </si>
  <si>
    <t>D000166</t>
  </si>
  <si>
    <t>TX001754</t>
  </si>
  <si>
    <t>TX001755</t>
  </si>
  <si>
    <t>26.113.209.69</t>
  </si>
  <si>
    <t>TX001756</t>
  </si>
  <si>
    <t>TX001757</t>
  </si>
  <si>
    <t>TX001758</t>
  </si>
  <si>
    <t>129.108.48.116</t>
  </si>
  <si>
    <t>TX001759</t>
  </si>
  <si>
    <t>TX001760</t>
  </si>
  <si>
    <t>TX001761</t>
  </si>
  <si>
    <t>TX001762</t>
  </si>
  <si>
    <t>TX001763</t>
  </si>
  <si>
    <t>TX001764</t>
  </si>
  <si>
    <t>106.140.105.35</t>
  </si>
  <si>
    <t>TX001765</t>
  </si>
  <si>
    <t>AC00473</t>
  </si>
  <si>
    <t>TX001766</t>
  </si>
  <si>
    <t>AC00486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</si>
  <si>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</si>
  <si>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</si>
  <si>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</si>
  <si>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</si>
  <si>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</si>
  <si>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</si>
  <si>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</si>
  <si>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</si>
  <si>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</si>
  <si>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</si>
  <si>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</si>
  <si>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</si>
  <si>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</si>
  <si>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</si>
  <si>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</si>
  <si>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</si>
  <si>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</si>
  <si>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</si>
  <si>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</si>
  <si>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</si>
  <si>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</si>
  <si>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</si>
  <si>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</si>
  <si>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</si>
  <si>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D000261</t>
  </si>
  <si>
    <t>TX001791</t>
  </si>
  <si>
    <t>TX001792</t>
  </si>
  <si>
    <t>TX001793</t>
  </si>
  <si>
    <t>TX001794</t>
  </si>
  <si>
    <t>TX001795</t>
  </si>
  <si>
    <t>TX001796</t>
  </si>
  <si>
    <t>D000578</t>
  </si>
  <si>
    <t>TX001797</t>
  </si>
  <si>
    <t>AC00146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</si>
  <si>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</si>
  <si>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</si>
  <si>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</si>
  <si>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</si>
  <si>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</si>
  <si>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</si>
  <si>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</si>
  <si>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</si>
  <si>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</si>
  <si>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</si>
  <si>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D000510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</si>
  <si>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</si>
  <si>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</si>
  <si>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</si>
  <si>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</si>
  <si>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</si>
  <si>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</si>
  <si>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</si>
  <si>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</si>
  <si>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</si>
  <si>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</si>
  <si>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</si>
  <si>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</si>
  <si>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</si>
  <si>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</si>
  <si>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</si>
  <si>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</si>
  <si>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</si>
  <si>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</si>
  <si>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</si>
  <si>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</si>
  <si>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</si>
  <si>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</si>
  <si>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94.88.45.190</t>
  </si>
  <si>
    <t>TX001830</t>
  </si>
  <si>
    <t>TX001831</t>
  </si>
  <si>
    <t>TX001832</t>
  </si>
  <si>
    <t>D000260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</si>
  <si>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</si>
  <si>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</si>
  <si>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</si>
  <si>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</si>
  <si>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</si>
  <si>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</si>
  <si>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</si>
  <si>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</si>
  <si>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</si>
  <si>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AC00003</t>
  </si>
  <si>
    <t>TX001842</t>
  </si>
  <si>
    <t>TX001843</t>
  </si>
  <si>
    <t>TX001844</t>
  </si>
  <si>
    <t>TX001845</t>
  </si>
  <si>
    <t>TX001846</t>
  </si>
  <si>
    <t>TX001847</t>
  </si>
  <si>
    <t>TX001848</t>
  </si>
  <si>
    <t>D000331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</si>
  <si>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</si>
  <si>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</si>
  <si>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</si>
  <si>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</si>
  <si>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</si>
  <si>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</si>
  <si>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</si>
  <si>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</si>
  <si>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</si>
  <si>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AC00134</t>
  </si>
  <si>
    <t>18.92.67.57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</si>
  <si>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</si>
  <si>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</si>
  <si>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</si>
  <si>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</si>
  <si>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</si>
  <si>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</si>
  <si>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</si>
  <si>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</si>
  <si>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</si>
  <si>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</si>
  <si>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</si>
  <si>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</si>
  <si>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</si>
  <si>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</si>
  <si>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</si>
  <si>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</si>
  <si>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</si>
  <si>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D000062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</si>
  <si>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</si>
  <si>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</si>
  <si>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</si>
  <si>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</si>
  <si>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</si>
  <si>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</si>
  <si>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</si>
  <si>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</si>
  <si>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</si>
  <si>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</si>
  <si>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</si>
  <si>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</si>
  <si>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</si>
  <si>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</si>
  <si>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AC00206</t>
  </si>
  <si>
    <t>TX001889</t>
  </si>
  <si>
    <t>TX001890</t>
  </si>
  <si>
    <t>D000125</t>
  </si>
  <si>
    <t>TX001891</t>
  </si>
  <si>
    <t>TX001892</t>
  </si>
  <si>
    <t>TX001893</t>
  </si>
  <si>
    <t>TX001894</t>
  </si>
  <si>
    <t>TX001895</t>
  </si>
  <si>
    <t>TX001896</t>
  </si>
  <si>
    <t>TX001897</t>
  </si>
  <si>
    <t>AC00168</t>
  </si>
  <si>
    <t>TX001898</t>
  </si>
  <si>
    <t>216.31.34.238</t>
  </si>
  <si>
    <t>TX001899</t>
  </si>
  <si>
    <t>TX001900</t>
  </si>
  <si>
    <t>TX001901</t>
  </si>
  <si>
    <t>TX001902</t>
  </si>
  <si>
    <t>49.10.93.200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</si>
  <si>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</si>
  <si>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</si>
  <si>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</si>
  <si>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</si>
  <si>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</si>
  <si>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</si>
  <si>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</si>
  <si>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</si>
  <si>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</si>
  <si>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</si>
  <si>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</si>
  <si>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</si>
  <si>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</si>
  <si>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</si>
  <si>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</si>
  <si>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</si>
  <si>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</si>
  <si>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</si>
  <si>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</si>
  <si>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</si>
  <si>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</si>
  <si>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</si>
  <si>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</si>
  <si>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</si>
  <si>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</si>
  <si>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D000394</t>
  </si>
  <si>
    <t>TX001928</t>
  </si>
  <si>
    <t>TX001929</t>
  </si>
  <si>
    <t>D000490</t>
  </si>
  <si>
    <t>TX001930</t>
  </si>
  <si>
    <t>TX001931</t>
  </si>
  <si>
    <t>TX001932</t>
  </si>
  <si>
    <t>TX001933</t>
  </si>
  <si>
    <t>TX001934</t>
  </si>
  <si>
    <t>TX001935</t>
  </si>
  <si>
    <t>D000143</t>
  </si>
  <si>
    <t>TX001936</t>
  </si>
  <si>
    <t>TX001937</t>
  </si>
  <si>
    <t>AC00064</t>
  </si>
  <si>
    <t>TX001938</t>
  </si>
  <si>
    <t>D000392</t>
  </si>
  <si>
    <t>TX001939</t>
  </si>
  <si>
    <t>TX001940</t>
  </si>
  <si>
    <t>TX001941</t>
  </si>
  <si>
    <t>TX001942</t>
  </si>
  <si>
    <t>D000338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</si>
  <si>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</si>
  <si>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</si>
  <si>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</si>
  <si>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</si>
  <si>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</si>
  <si>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</si>
  <si>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</si>
  <si>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</si>
  <si>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</si>
  <si>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</si>
  <si>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</si>
  <si>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</si>
  <si>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</si>
  <si>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</si>
  <si>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</si>
  <si>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</si>
  <si>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</si>
  <si>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</si>
  <si>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163.69.89.200</t>
  </si>
  <si>
    <t>TX001961</t>
  </si>
  <si>
    <t>TX001962</t>
  </si>
  <si>
    <t>TX001963</t>
  </si>
  <si>
    <t>TX001964</t>
  </si>
  <si>
    <t>TX001965</t>
  </si>
  <si>
    <t>TX001966</t>
  </si>
  <si>
    <t>TX001967</t>
  </si>
  <si>
    <t>D000654</t>
  </si>
  <si>
    <t>TX001968</t>
  </si>
  <si>
    <t>TX001969</t>
  </si>
  <si>
    <t>D000562</t>
  </si>
  <si>
    <t>TX001970</t>
  </si>
  <si>
    <t>TX001971</t>
  </si>
  <si>
    <t>TX001972</t>
  </si>
  <si>
    <t>TX001973</t>
  </si>
  <si>
    <t>TX001974</t>
  </si>
  <si>
    <t>TX001975</t>
  </si>
  <si>
    <t>AC00195</t>
  </si>
  <si>
    <t>TX001976</t>
  </si>
  <si>
    <t>165.143.173.165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</si>
  <si>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</si>
  <si>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</si>
  <si>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</si>
  <si>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</si>
  <si>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</si>
  <si>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</si>
  <si>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</si>
  <si>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</si>
  <si>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AC00088</t>
  </si>
  <si>
    <t>TX001985</t>
  </si>
  <si>
    <t>TX001986</t>
  </si>
  <si>
    <t>TX001987</t>
  </si>
  <si>
    <t>D000520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</si>
  <si>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</si>
  <si>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</si>
  <si>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</si>
  <si>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</si>
  <si>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</si>
  <si>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</si>
  <si>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</si>
  <si>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</si>
  <si>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</si>
  <si>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</si>
  <si>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12.240.113.200</t>
  </si>
  <si>
    <t>TX001998</t>
  </si>
  <si>
    <t>TX001999</t>
  </si>
  <si>
    <t>TX002000</t>
  </si>
  <si>
    <t>208.142.57.37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</si>
  <si>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</si>
  <si>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</si>
  <si>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</si>
  <si>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</si>
  <si>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</si>
  <si>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</si>
  <si>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</si>
  <si>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</si>
  <si>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TX002007</t>
  </si>
  <si>
    <t>TX002008</t>
  </si>
  <si>
    <t>TX002009</t>
  </si>
  <si>
    <t>TX002010</t>
  </si>
  <si>
    <t>TX002011</t>
  </si>
  <si>
    <t>TX002012</t>
  </si>
  <si>
    <t>D000580</t>
  </si>
  <si>
    <t>TX002013</t>
  </si>
  <si>
    <t>D000107</t>
  </si>
  <si>
    <t>TX002014</t>
  </si>
  <si>
    <t>TX002015</t>
  </si>
  <si>
    <t>AC00252</t>
  </si>
  <si>
    <t>TX002016</t>
  </si>
  <si>
    <t>TX002017</t>
  </si>
  <si>
    <t>D000492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</si>
  <si>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</si>
  <si>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</si>
  <si>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</si>
  <si>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</si>
  <si>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</si>
  <si>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</si>
  <si>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</si>
  <si>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</si>
  <si>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</si>
  <si>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115.196.150.105</t>
  </si>
  <si>
    <t>TX002027</t>
  </si>
  <si>
    <t>TX002028</t>
  </si>
  <si>
    <t>TX002029</t>
  </si>
  <si>
    <t>TX002030</t>
  </si>
  <si>
    <t>TX002031</t>
  </si>
  <si>
    <t>AC00186</t>
  </si>
  <si>
    <t>TX002032</t>
  </si>
  <si>
    <t>TX002033</t>
  </si>
  <si>
    <t>TX002034</t>
  </si>
  <si>
    <t>TX002035</t>
  </si>
  <si>
    <t>AC00472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</si>
  <si>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</si>
  <si>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</si>
  <si>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</si>
  <si>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</si>
  <si>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</si>
  <si>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</si>
  <si>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</si>
  <si>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</si>
  <si>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D000656</t>
  </si>
  <si>
    <t>TX002044</t>
  </si>
  <si>
    <t>D000390</t>
  </si>
  <si>
    <t>149.46.124.220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</si>
  <si>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</si>
  <si>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</si>
  <si>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</si>
  <si>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</si>
  <si>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</si>
  <si>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</si>
  <si>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</si>
  <si>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</si>
  <si>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</si>
  <si>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</si>
  <si>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</si>
  <si>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</si>
  <si>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</si>
  <si>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</si>
  <si>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AC00476</t>
  </si>
  <si>
    <t>TX002059</t>
  </si>
  <si>
    <t>D000396</t>
  </si>
  <si>
    <t>TX002060</t>
  </si>
  <si>
    <t>TX002061</t>
  </si>
  <si>
    <t>TX002062</t>
  </si>
  <si>
    <t>TX002063</t>
  </si>
  <si>
    <t>TX002064</t>
  </si>
  <si>
    <t>TX002065</t>
  </si>
  <si>
    <t>D000355</t>
  </si>
  <si>
    <t>192.163.114.167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</si>
  <si>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</si>
  <si>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</si>
  <si>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</si>
  <si>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</si>
  <si>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</si>
  <si>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</si>
  <si>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</si>
  <si>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</si>
  <si>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</si>
  <si>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</si>
  <si>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</si>
  <si>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</si>
  <si>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</si>
  <si>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</si>
  <si>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</si>
  <si>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</si>
  <si>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</si>
  <si>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</si>
  <si>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</si>
  <si>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</si>
  <si>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</si>
  <si>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</si>
  <si>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</si>
  <si>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</si>
  <si>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</si>
  <si>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</si>
  <si>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</si>
  <si>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</si>
  <si>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D000698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</si>
  <si>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</si>
  <si>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</si>
  <si>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</si>
  <si>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</si>
  <si>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</si>
  <si>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</si>
  <si>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</si>
  <si>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</si>
  <si>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</si>
  <si>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</si>
  <si>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</si>
  <si>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</si>
  <si>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</si>
  <si>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</si>
  <si>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</si>
  <si>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</si>
  <si>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</si>
  <si>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</si>
  <si>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</si>
  <si>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</si>
  <si>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</si>
  <si>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</si>
  <si>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</si>
  <si>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</si>
  <si>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</si>
  <si>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</si>
  <si>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112.66.191.48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</si>
  <si>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</si>
  <si>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</si>
  <si>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</si>
  <si>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</si>
  <si>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</si>
  <si>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</si>
  <si>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</si>
  <si>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</si>
  <si>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</si>
  <si>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</si>
  <si>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</si>
  <si>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</si>
  <si>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</si>
  <si>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</si>
  <si>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</si>
  <si>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</si>
  <si>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</si>
  <si>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</si>
  <si>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</si>
  <si>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</si>
  <si>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</si>
  <si>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</si>
  <si>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</si>
  <si>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</si>
  <si>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</si>
  <si>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</si>
  <si>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</si>
  <si>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</si>
  <si>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</si>
  <si>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</si>
  <si>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</si>
  <si>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</si>
  <si>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</si>
  <si>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</si>
  <si>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D000171</t>
  </si>
  <si>
    <t>TX002154</t>
  </si>
  <si>
    <t>TX002155</t>
  </si>
  <si>
    <t>TX002156</t>
  </si>
  <si>
    <t>TX002157</t>
  </si>
  <si>
    <t>TX002158</t>
  </si>
  <si>
    <t>TX002159</t>
  </si>
  <si>
    <t>D000541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</si>
  <si>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</si>
  <si>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</si>
  <si>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</si>
  <si>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</si>
  <si>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</si>
  <si>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</si>
  <si>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</si>
  <si>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</si>
  <si>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</si>
  <si>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</si>
  <si>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</si>
  <si>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</si>
  <si>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</si>
  <si>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</si>
  <si>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</si>
  <si>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</si>
  <si>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</si>
  <si>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</si>
  <si>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</si>
  <si>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</si>
  <si>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</si>
  <si>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</si>
  <si>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</si>
  <si>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</si>
  <si>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</si>
  <si>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</si>
  <si>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</si>
  <si>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93.115.61.201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</si>
  <si>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</si>
  <si>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</si>
  <si>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</si>
  <si>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</si>
  <si>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</si>
  <si>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</si>
  <si>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</si>
  <si>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</si>
  <si>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</si>
  <si>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</si>
  <si>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</si>
  <si>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</si>
  <si>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</si>
  <si>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</si>
  <si>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</si>
  <si>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</si>
  <si>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</si>
  <si>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</si>
  <si>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</si>
  <si>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65.124.242.67</t>
  </si>
  <si>
    <t>TX002206</t>
  </si>
  <si>
    <t>TX002207</t>
  </si>
  <si>
    <t>TX002208</t>
  </si>
  <si>
    <t>TX002209</t>
  </si>
  <si>
    <t>109.211.212.135</t>
  </si>
  <si>
    <t>TX002210</t>
  </si>
  <si>
    <t>D000586</t>
  </si>
  <si>
    <t>TX002211</t>
  </si>
  <si>
    <t>D000555</t>
  </si>
  <si>
    <t>122.30.82.244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</si>
  <si>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</si>
  <si>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</si>
  <si>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</si>
  <si>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</si>
  <si>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</si>
  <si>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</si>
  <si>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</si>
  <si>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</si>
  <si>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</si>
  <si>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</si>
  <si>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113.201.172.36</t>
  </si>
  <si>
    <t>TX002222</t>
  </si>
  <si>
    <t>TX002223</t>
  </si>
  <si>
    <t>TX002224</t>
  </si>
  <si>
    <t>D000512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</si>
  <si>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</si>
  <si>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</si>
  <si>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</si>
  <si>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</si>
  <si>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</si>
  <si>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</si>
  <si>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</si>
  <si>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</si>
  <si>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</si>
  <si>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</si>
  <si>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</si>
  <si>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</si>
  <si>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</si>
  <si>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</si>
  <si>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</si>
  <si>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</si>
  <si>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92.90.132.79</t>
  </si>
  <si>
    <t>TX002241</t>
  </si>
  <si>
    <t>TX002242</t>
  </si>
  <si>
    <t>203.170.198.177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</si>
  <si>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</si>
  <si>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</si>
  <si>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</si>
  <si>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</si>
  <si>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</si>
  <si>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</si>
  <si>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</si>
  <si>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</si>
  <si>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</si>
  <si>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</si>
  <si>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</si>
  <si>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</si>
  <si>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</si>
  <si>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</si>
  <si>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</si>
  <si>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</si>
  <si>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</si>
  <si>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</si>
  <si>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</si>
  <si>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</si>
  <si>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</si>
  <si>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</si>
  <si>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</si>
  <si>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</si>
  <si>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</si>
  <si>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D000459</t>
  </si>
  <si>
    <t>TX002268</t>
  </si>
  <si>
    <t>TX002269</t>
  </si>
  <si>
    <t>TX002270</t>
  </si>
  <si>
    <t>TX002271</t>
  </si>
  <si>
    <t>TX002272</t>
  </si>
  <si>
    <t>D000342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</si>
  <si>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</si>
  <si>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</si>
  <si>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</si>
  <si>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</si>
  <si>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</si>
  <si>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</si>
  <si>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</si>
  <si>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</si>
  <si>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</si>
  <si>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</si>
  <si>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D000252</t>
  </si>
  <si>
    <t>TX002283</t>
  </si>
  <si>
    <t>102.203.223.1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</si>
  <si>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</si>
  <si>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</si>
  <si>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</si>
  <si>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</si>
  <si>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</si>
  <si>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</si>
  <si>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</si>
  <si>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</si>
  <si>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</si>
  <si>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</si>
  <si>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</si>
  <si>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</si>
  <si>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</si>
  <si>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</si>
  <si>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</si>
  <si>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</si>
  <si>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</si>
  <si>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</si>
  <si>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AC00038</t>
  </si>
  <si>
    <t>TX002302</t>
  </si>
  <si>
    <t>TX002303</t>
  </si>
  <si>
    <t>TX002304</t>
  </si>
  <si>
    <t>D000306</t>
  </si>
  <si>
    <t>TX002305</t>
  </si>
  <si>
    <t>TX002306</t>
  </si>
  <si>
    <t>TX002307</t>
  </si>
  <si>
    <t>TX002308</t>
  </si>
  <si>
    <t>D000495</t>
  </si>
  <si>
    <t>TX002309</t>
  </si>
  <si>
    <t>TX002310</t>
  </si>
  <si>
    <t>TX002311</t>
  </si>
  <si>
    <t>TX002312</t>
  </si>
  <si>
    <t>D000370</t>
  </si>
  <si>
    <t>TX002313</t>
  </si>
  <si>
    <t>TX002314</t>
  </si>
  <si>
    <t>TX002315</t>
  </si>
  <si>
    <t>TX002316</t>
  </si>
  <si>
    <t>D000336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</si>
  <si>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</si>
  <si>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</si>
  <si>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</si>
  <si>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</si>
  <si>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</si>
  <si>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</si>
  <si>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</si>
  <si>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</si>
  <si>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</si>
  <si>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</si>
  <si>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</si>
  <si>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D000662</t>
  </si>
  <si>
    <t>TX002328</t>
  </si>
  <si>
    <t>TX002329</t>
  </si>
  <si>
    <t>TX002330</t>
  </si>
  <si>
    <t>TX002331</t>
  </si>
  <si>
    <t>22.196.202.183</t>
  </si>
  <si>
    <t>TX002332</t>
  </si>
  <si>
    <t>TX002333</t>
  </si>
  <si>
    <t>TX002334</t>
  </si>
  <si>
    <t>TX002335</t>
  </si>
  <si>
    <t>TX002336</t>
  </si>
  <si>
    <t>TX002337</t>
  </si>
  <si>
    <t>TX002338</t>
  </si>
  <si>
    <t>12.71.148.184</t>
  </si>
  <si>
    <t>TX002339</t>
  </si>
  <si>
    <t>TX002340</t>
  </si>
  <si>
    <t>TX002341</t>
  </si>
  <si>
    <t>TX002342</t>
  </si>
  <si>
    <t>TX002343</t>
  </si>
  <si>
    <t>TX002344</t>
  </si>
  <si>
    <t>TX002345</t>
  </si>
  <si>
    <t>D000247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</si>
  <si>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</si>
  <si>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</si>
  <si>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</si>
  <si>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</si>
  <si>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</si>
  <si>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</si>
  <si>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</si>
  <si>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</si>
  <si>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</si>
  <si>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</si>
  <si>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</si>
  <si>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AC00238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</si>
  <si>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</si>
  <si>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</si>
  <si>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</si>
  <si>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</si>
  <si>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</si>
  <si>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</si>
  <si>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</si>
  <si>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</si>
  <si>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</si>
  <si>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</si>
  <si>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</si>
  <si>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</si>
  <si>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</si>
  <si>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</si>
  <si>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</si>
  <si>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</si>
  <si>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</si>
  <si>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</si>
  <si>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</si>
  <si>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</si>
  <si>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</si>
  <si>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</si>
  <si>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</si>
  <si>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</si>
  <si>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</si>
  <si>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</si>
  <si>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</si>
  <si>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</si>
  <si>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</si>
  <si>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</si>
  <si>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</si>
  <si>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</si>
  <si>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D000543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</si>
  <si>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</si>
  <si>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</si>
  <si>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</si>
  <si>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</si>
  <si>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</si>
  <si>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</si>
  <si>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</si>
  <si>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</si>
  <si>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</si>
  <si>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</si>
  <si>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AC00308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</si>
  <si>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</si>
  <si>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</si>
  <si>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</si>
  <si>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</si>
  <si>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</si>
  <si>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</si>
  <si>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</si>
  <si>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</si>
  <si>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</si>
  <si>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</si>
  <si>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</si>
  <si>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</si>
  <si>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</si>
  <si>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</si>
  <si>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</si>
  <si>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168.128.200.203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</si>
  <si>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</si>
  <si>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</si>
  <si>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</si>
  <si>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</si>
  <si>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</si>
  <si>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</si>
  <si>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</si>
  <si>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</si>
  <si>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</si>
  <si>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</si>
  <si>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</si>
  <si>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</si>
  <si>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</si>
  <si>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</si>
  <si>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</si>
  <si>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</si>
  <si>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</si>
  <si>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</si>
  <si>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</si>
  <si>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</si>
  <si>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</si>
  <si>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</si>
  <si>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145.1.251.175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</si>
  <si>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</si>
  <si>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</si>
  <si>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</si>
  <si>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</si>
  <si>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</si>
  <si>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</si>
  <si>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</si>
  <si>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</si>
  <si>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</si>
  <si>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</si>
  <si>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</si>
  <si>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</si>
  <si>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</si>
  <si>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</si>
  <si>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</si>
  <si>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</si>
  <si>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</si>
  <si>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</si>
  <si>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</si>
  <si>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</si>
  <si>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</si>
  <si>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</si>
  <si>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</si>
  <si>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</si>
  <si>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</si>
  <si>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</si>
  <si>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</si>
  <si>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</si>
  <si>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</si>
  <si>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</si>
  <si>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</si>
  <si>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</si>
  <si>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</si>
  <si>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</si>
  <si>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</si>
  <si>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</si>
  <si>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</si>
  <si>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</si>
  <si>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</si>
  <si>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</si>
  <si>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</si>
  <si>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</si>
  <si>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</si>
  <si>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</si>
  <si>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</si>
  <si>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</si>
  <si>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</si>
  <si>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</si>
  <si>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</si>
  <si>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</si>
  <si>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</si>
  <si>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</si>
  <si>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</si>
  <si>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</si>
  <si>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</si>
  <si>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</si>
  <si>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</si>
  <si>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</si>
  <si>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</si>
  <si>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</si>
  <si>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</si>
  <si>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</si>
  <si>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</si>
  <si>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</si>
  <si>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</si>
  <si>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</si>
  <si>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</si>
  <si>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</si>
  <si>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</si>
  <si>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</si>
  <si>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</si>
  <si>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</si>
  <si>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</si>
  <si>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21.157.41.17</t>
  </si>
  <si>
    <t>TX002509</t>
  </si>
  <si>
    <t>TX002510</t>
  </si>
  <si>
    <t>TX002511</t>
  </si>
  <si>
    <t>TX002512</t>
  </si>
  <si>
    <t>Amount_Outlier_Flag</t>
  </si>
  <si>
    <t>Row Labels</t>
  </si>
  <si>
    <t>Grand Total</t>
  </si>
  <si>
    <t>Sum of Amount_Outlier_Flag</t>
  </si>
  <si>
    <t>High Risk Transactions (Score = 2)</t>
  </si>
  <si>
    <t>KPI SUMMARY</t>
  </si>
  <si>
    <t>Total Transactions</t>
  </si>
  <si>
    <t>Suspicious Transactions (Score &gt;= 1)</t>
  </si>
  <si>
    <t>Suspicious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</si>
</sst>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[fraud_data_cleaned.csv.xlsx]Sheet3!PivotTable3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Cities by Amount Outlier Transactions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Austin</c:v>
                </c:pt>
                <c:pt idx="1">
                  <c:v>Columbus</c:v>
                </c:pt>
                <c:pt idx="2">
                  <c:v>Detroit</c:v>
                </c:pt>
                <c:pt idx="3">
                  <c:v>El Paso</c:v>
                </c:pt>
                <c:pt idx="4">
                  <c:v>Milwaukee</c:v>
                </c:pt>
                <c:pt idx="5">
                  <c:v>Omaha</c:v>
                </c:pt>
                <c:pt idx="6">
                  <c:v>Philadelphia</c:v>
                </c:pt>
                <c:pt idx="7">
                  <c:v>San Antonio</c:v>
                </c:pt>
                <c:pt idx="8">
                  <c:v>San Diego</c:v>
                </c:pt>
                <c:pt idx="9">
                  <c:v>San Francisco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7-4681-A61F-134F90024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041520"/>
        <c:axId val="117993296"/>
      </c:barChart>
      <c:catAx>
        <c:axId val="2600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93296"/>
        <c:crosses val="autoZero"/>
        <c:auto val="1"/>
        <c:lblAlgn val="ctr"/>
        <c:lblOffset val="100"/>
        <c:noMultiLvlLbl val="0"/>
      </c:catAx>
      <c:valAx>
        <c:axId val="11799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04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108775-617E-4397-8F3F-F607427B4692}">
  <sheetPr/>
  <sheetViews>
    <sheetView tabSelected="1"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81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99A61-1B14-4DA7-BFC7-55D76F5838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al NAsir" refreshedDate="46248.164759027779" createdVersion="8" refreshedVersion="8" minRefreshableVersion="3" recordCount="2512" xr:uid="{AA322949-37D4-4491-8836-415082D7CEBC}">
  <cacheSource type="worksheet">
    <worksheetSource ref="A1:Z2513" sheet="fraud_data_cleaned"/>
  </cacheSource>
  <cacheFields count="26">
    <cacheField name="TransactionID" numFmtId="0">
      <sharedItems/>
    </cacheField>
    <cacheField name="AccountID" numFmtId="0">
      <sharedItems/>
    </cacheField>
    <cacheField name="TransactionAmount" numFmtId="0">
      <sharedItems containsSemiMixedTypes="0" containsString="0" containsNumber="1" minValue="0.26" maxValue="1919.11"/>
    </cacheField>
    <cacheField name="TransactionDate" numFmtId="22">
      <sharedItems containsSemiMixedTypes="0" containsNonDate="0" containsDate="1" containsString="0" minDate="2023-01-02T16:00:06" maxDate="2024-01-01T18:21:50"/>
    </cacheField>
    <cacheField name="TransactionType" numFmtId="0">
      <sharedItems/>
    </cacheField>
    <cacheField name="Location" numFmtId="0">
      <sharedItems count="43">
        <s v="San Diego"/>
        <s v="Houston"/>
        <s v="Mesa"/>
        <s v="Raleigh"/>
        <s v="Atlanta"/>
        <s v="Oklahoma City"/>
        <s v="Seattle"/>
        <s v="Indianapolis"/>
        <s v="Detroit"/>
        <s v="Nashville"/>
        <s v="Albuquerque"/>
        <s v="Memphis"/>
        <s v="Louisville"/>
        <s v="Denver"/>
        <s v="Austin"/>
        <s v="Columbus"/>
        <s v="Los Angeles"/>
        <s v="Las Vegas"/>
        <s v="Fort Worth"/>
        <s v="Miami"/>
        <s v="Milwaukee"/>
        <s v="Baltimore"/>
        <s v="New York"/>
        <s v="San Francisco"/>
        <s v="San Jose"/>
        <s v="San Antonio"/>
        <s v="Philadelphia"/>
        <s v="Charlotte"/>
        <s v="Tucson"/>
        <s v="Chicago"/>
        <s v="Sacramento"/>
        <s v="Kansas City"/>
        <s v="Omaha"/>
        <s v="Virginia Beach"/>
        <s v="Dallas"/>
        <s v="Boston"/>
        <s v="Jacksonville"/>
        <s v="Phoenix"/>
        <s v="Washington"/>
        <s v="El Paso"/>
        <s v="Colorado Springs"/>
        <s v="Fresno"/>
        <s v="Portland"/>
      </sharedItems>
    </cacheField>
    <cacheField name="DeviceID" numFmtId="0">
      <sharedItems/>
    </cacheField>
    <cacheField name="IP Address" numFmtId="0">
      <sharedItems/>
    </cacheField>
    <cacheField name="MerchantID" numFmtId="0">
      <sharedItems/>
    </cacheField>
    <cacheField name="Channel" numFmtId="0">
      <sharedItems/>
    </cacheField>
    <cacheField name="CustomerAge" numFmtId="0">
      <sharedItems containsSemiMixedTypes="0" containsString="0" containsNumber="1" containsInteger="1" minValue="18" maxValue="80"/>
    </cacheField>
    <cacheField name="CustomerOccupation" numFmtId="0">
      <sharedItems/>
    </cacheField>
    <cacheField name="TransactionDuration" numFmtId="0">
      <sharedItems containsSemiMixedTypes="0" containsString="0" containsNumber="1" containsInteger="1" minValue="10" maxValue="300"/>
    </cacheField>
    <cacheField name="LoginAttempts" numFmtId="0">
      <sharedItems containsSemiMixedTypes="0" containsString="0" containsNumber="1" containsInteger="1" minValue="1" maxValue="5"/>
    </cacheField>
    <cacheField name="AccountBalance" numFmtId="0">
      <sharedItems containsSemiMixedTypes="0" containsString="0" containsNumber="1" minValue="101.25" maxValue="14977.99"/>
    </cacheField>
    <cacheField name="PreviousTransactionDate" numFmtId="22">
      <sharedItems containsSemiMixedTypes="0" containsNonDate="0" containsDate="1" containsString="0" minDate="2024-11-04T08:06:23" maxDate="2024-11-04T08:12:23"/>
    </cacheField>
    <cacheField name="TransactionHour" numFmtId="0">
      <sharedItems containsSemiMixedTypes="0" containsString="0" containsNumber="1" containsInteger="1" minValue="16" maxValue="18"/>
    </cacheField>
    <cacheField name="TransactionDayOfWeek" numFmtId="0">
      <sharedItems/>
    </cacheField>
    <cacheField name="Amount_ZScore" numFmtId="0">
      <sharedItems containsSemiMixedTypes="0" containsString="0" containsNumber="1" minValue="-1.01845385787945" maxValue="5.5541602568583803"/>
    </cacheField>
    <cacheField name="Is_Amount_Outlier_IQR" numFmtId="0">
      <sharedItems/>
    </cacheField>
    <cacheField name="Is_Login_Outlier_IQR" numFmtId="0">
      <sharedItems/>
    </cacheField>
    <cacheField name="Is_Duration_Outlier_IQR" numFmtId="0">
      <sharedItems/>
    </cacheField>
    <cacheField name="Fraud_Risk_Score" numFmtId="0">
      <sharedItems containsSemiMixedTypes="0" containsString="0" containsNumber="1" containsInteger="1" minValue="0" maxValue="2"/>
    </cacheField>
    <cacheField name="Field24" caption="Field24" numFmtId="0">
      <sharedItems containsNonDate="0" containsString="0" containsBlank="1"/>
    </cacheField>
    <cacheField name="Amount_Outlier_Flag" numFmtId="0">
      <sharedItems containsSemiMixedTypes="0" containsString="0" containsNumber="1" containsInteger="1" minValue="0" maxValue="1"/>
    </cacheField>
    <cacheField name="Field26" caption="Field2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2">
  <r>
    <s v="TX000001"/>
    <s v="AC00128"/>
    <n v="14.09"/>
    <d v="2023-04-11T16:29:14"/>
    <s v="Debit"/>
    <x v="0"/>
    <s v="D000380"/>
    <s v="162.198.218.92"/>
    <s v="M015"/>
    <s v="ATM"/>
    <n v="70"/>
    <s v="Doctor"/>
    <n v="81"/>
    <n v="1"/>
    <n v="5112.21"/>
    <d v="2024-11-04T08:08:08"/>
    <n v="16"/>
    <s v="Tuesday"/>
    <n v="-0.97108212313894404"/>
    <b v="0"/>
    <b v="0"/>
    <b v="1"/>
    <n v="0"/>
    <m/>
    <n v="0"/>
    <m/>
  </r>
  <r>
    <s v="TX000002"/>
    <s v="AC00455"/>
    <n v="376.24"/>
    <d v="2023-06-27T16:44:19"/>
    <s v="Debit"/>
    <x v="1"/>
    <s v="D000051"/>
    <s v="13.149.61.4"/>
    <s v="M052"/>
    <s v="ATM"/>
    <n v="68"/>
    <s v="Doctor"/>
    <n v="141"/>
    <n v="1"/>
    <n v="13758.91"/>
    <d v="2024-11-04T08:09:35"/>
    <n v="16"/>
    <s v="Tuesday"/>
    <n v="0.26938597059027197"/>
    <b v="0"/>
    <b v="0"/>
    <b v="1"/>
    <n v="0"/>
    <m/>
    <n v="0"/>
    <m/>
  </r>
  <r>
    <s v="TX000003"/>
    <s v="AC00019"/>
    <n v="126.29"/>
    <d v="2023-07-10T18:16:08"/>
    <s v="Debit"/>
    <x v="2"/>
    <s v="D000235"/>
    <s v="215.97.143.157"/>
    <s v="M009"/>
    <s v="Online"/>
    <n v="19"/>
    <s v="Student"/>
    <n v="56"/>
    <n v="1"/>
    <n v="1122.3499999999999"/>
    <d v="2024-11-04T08:07:04"/>
    <n v="18"/>
    <s v="Monday"/>
    <n v="-0.58676479574306395"/>
    <b v="0"/>
    <b v="0"/>
    <b v="1"/>
    <n v="0"/>
    <m/>
    <n v="0"/>
    <m/>
  </r>
  <r>
    <s v="TX000004"/>
    <s v="AC00070"/>
    <n v="184.5"/>
    <d v="2023-05-05T16:32:11"/>
    <s v="Debit"/>
    <x v="3"/>
    <s v="D000187"/>
    <s v="200.13.225.150"/>
    <s v="M002"/>
    <s v="Online"/>
    <n v="26"/>
    <s v="Student"/>
    <n v="25"/>
    <n v="1"/>
    <n v="8569.06"/>
    <d v="2024-11-04T08:09:06"/>
    <n v="16"/>
    <s v="Friday"/>
    <n v="-0.387378774105682"/>
    <b v="0"/>
    <b v="0"/>
    <b v="1"/>
    <n v="0"/>
    <m/>
    <n v="0"/>
    <m/>
  </r>
  <r>
    <s v="TX000005"/>
    <s v="AC00411"/>
    <n v="13.45"/>
    <d v="2023-10-16T17:51:24"/>
    <s v="Credit"/>
    <x v="4"/>
    <s v="D000308"/>
    <s v="65.164.3.100"/>
    <s v="M091"/>
    <s v="Online"/>
    <n v="26"/>
    <s v="Student"/>
    <n v="198"/>
    <n v="1"/>
    <n v="7429.4"/>
    <d v="2024-11-04T08:06:39"/>
    <n v="17"/>
    <s v="Monday"/>
    <n v="-0.97327430753763799"/>
    <b v="0"/>
    <b v="0"/>
    <b v="1"/>
    <n v="0"/>
    <m/>
    <n v="0"/>
    <m/>
  </r>
  <r>
    <s v="TX000006"/>
    <s v="AC00393"/>
    <n v="92.15"/>
    <d v="2023-04-03T17:15:01"/>
    <s v="Debit"/>
    <x v="5"/>
    <s v="D000579"/>
    <s v="117.67.192.211"/>
    <s v="M054"/>
    <s v="ATM"/>
    <n v="18"/>
    <s v="Student"/>
    <n v="172"/>
    <n v="1"/>
    <n v="781.68"/>
    <d v="2024-11-04T08:06:36"/>
    <n v="17"/>
    <s v="Monday"/>
    <n v="-0.70370413226084805"/>
    <b v="0"/>
    <b v="0"/>
    <b v="1"/>
    <n v="0"/>
    <m/>
    <n v="0"/>
    <m/>
  </r>
  <r>
    <s v="TX000007"/>
    <s v="AC00199"/>
    <n v="7.08"/>
    <d v="2023-02-15T16:36:48"/>
    <s v="Credit"/>
    <x v="6"/>
    <s v="D000241"/>
    <s v="140.212.253.222"/>
    <s v="M019"/>
    <s v="ATM"/>
    <n v="37"/>
    <s v="Doctor"/>
    <n v="139"/>
    <n v="1"/>
    <n v="13316.71"/>
    <d v="2024-11-04T08:10:09"/>
    <n v="16"/>
    <s v="Wednesday"/>
    <n v="-0.99509339288087995"/>
    <b v="0"/>
    <b v="0"/>
    <b v="1"/>
    <n v="0"/>
    <m/>
    <n v="0"/>
    <m/>
  </r>
  <r>
    <s v="TX000008"/>
    <s v="AC00069"/>
    <n v="171.42"/>
    <d v="2023-05-08T17:47:59"/>
    <s v="Credit"/>
    <x v="7"/>
    <s v="D000500"/>
    <s v="92.214.76.157"/>
    <s v="M020"/>
    <s v="Branch"/>
    <n v="67"/>
    <s v="Retired"/>
    <n v="291"/>
    <n v="1"/>
    <n v="2796.24"/>
    <d v="2024-11-04T08:10:55"/>
    <n v="17"/>
    <s v="Monday"/>
    <n v="-0.43218154275397203"/>
    <b v="0"/>
    <b v="0"/>
    <b v="1"/>
    <n v="0"/>
    <m/>
    <n v="0"/>
    <m/>
  </r>
  <r>
    <s v="TX000009"/>
    <s v="AC00135"/>
    <n v="106.23"/>
    <d v="2023-03-21T16:59:46"/>
    <s v="Credit"/>
    <x v="8"/>
    <s v="D000690"/>
    <s v="24.148.92.177"/>
    <s v="M035"/>
    <s v="Branch"/>
    <n v="51"/>
    <s v="Engineer"/>
    <n v="86"/>
    <n v="1"/>
    <n v="9095.14"/>
    <d v="2024-11-04T08:11:14"/>
    <n v="16"/>
    <s v="Tuesday"/>
    <n v="-0.65547607548959996"/>
    <b v="0"/>
    <b v="0"/>
    <b v="1"/>
    <n v="0"/>
    <m/>
    <n v="0"/>
    <m/>
  </r>
  <r>
    <s v="TX000010"/>
    <s v="AC00385"/>
    <n v="815.96"/>
    <d v="2023-03-31T16:06:57"/>
    <s v="Debit"/>
    <x v="9"/>
    <s v="D000199"/>
    <s v="32.169.88.41"/>
    <s v="M007"/>
    <s v="ATM"/>
    <n v="55"/>
    <s v="Doctor"/>
    <n v="120"/>
    <n v="1"/>
    <n v="1021.88"/>
    <d v="2024-11-04T08:06:32"/>
    <n v="16"/>
    <s v="Friday"/>
    <n v="1.7755536640173299"/>
    <b v="0"/>
    <b v="0"/>
    <b v="1"/>
    <n v="0"/>
    <m/>
    <n v="0"/>
    <m/>
  </r>
  <r>
    <s v="TX000011"/>
    <s v="AC00150"/>
    <n v="17.78"/>
    <d v="2023-03-14T16:46:10"/>
    <s v="Credit"/>
    <x v="10"/>
    <s v="D000205"/>
    <s v="213.15.9.253"/>
    <s v="M073"/>
    <s v="Online"/>
    <n v="52"/>
    <s v="Engineer"/>
    <n v="59"/>
    <n v="1"/>
    <n v="7599.52"/>
    <d v="2024-11-04T08:06:45"/>
    <n v="16"/>
    <s v="Tuesday"/>
    <n v="-0.95844280996523001"/>
    <b v="0"/>
    <b v="0"/>
    <b v="1"/>
    <n v="0"/>
    <m/>
    <n v="0"/>
    <m/>
  </r>
  <r>
    <s v="TX000012"/>
    <s v="AC00459"/>
    <n v="190.02"/>
    <d v="2023-02-06T17:30:00"/>
    <s v="Debit"/>
    <x v="11"/>
    <s v="D000589"/>
    <s v="116.175.11.222"/>
    <s v="M030"/>
    <s v="Online"/>
    <n v="21"/>
    <s v="Student"/>
    <n v="173"/>
    <n v="1"/>
    <n v="1528.81"/>
    <d v="2024-11-04T08:07:12"/>
    <n v="17"/>
    <s v="Monday"/>
    <n v="-0.36847118366695403"/>
    <b v="0"/>
    <b v="0"/>
    <b v="1"/>
    <n v="0"/>
    <m/>
    <n v="0"/>
    <m/>
  </r>
  <r>
    <s v="TX000013"/>
    <s v="AC00392"/>
    <n v="494.52"/>
    <d v="2023-06-07T17:21:28"/>
    <s v="Credit"/>
    <x v="2"/>
    <s v="D000032"/>
    <s v="210.98.198.143"/>
    <s v="M057"/>
    <s v="Branch"/>
    <n v="24"/>
    <s v="Student"/>
    <n v="111"/>
    <n v="1"/>
    <n v="1620.02"/>
    <d v="2024-11-04T08:08:38"/>
    <n v="17"/>
    <s v="Wednesday"/>
    <n v="0.67452904977373696"/>
    <b v="0"/>
    <b v="0"/>
    <b v="1"/>
    <n v="0"/>
    <m/>
    <n v="0"/>
    <m/>
  </r>
  <r>
    <s v="TX000014"/>
    <s v="AC00264"/>
    <n v="781.76"/>
    <d v="2023-11-20T16:39:15"/>
    <s v="Debit"/>
    <x v="11"/>
    <s v="D000054"/>
    <s v="193.83.0.183"/>
    <s v="M025"/>
    <s v="ATM"/>
    <n v="26"/>
    <s v="Student"/>
    <n v="123"/>
    <n v="1"/>
    <n v="189.69"/>
    <d v="2024-11-04T08:07:06"/>
    <n v="16"/>
    <s v="Monday"/>
    <n v="1.6584088102121699"/>
    <b v="0"/>
    <b v="0"/>
    <b v="1"/>
    <n v="0"/>
    <m/>
    <n v="0"/>
    <m/>
  </r>
  <r>
    <s v="TX000015"/>
    <s v="AC00085"/>
    <n v="166.99"/>
    <d v="2023-02-13T16:53:57"/>
    <s v="Debit"/>
    <x v="12"/>
    <s v="D000309"/>
    <s v="188.124.181.12"/>
    <s v="M017"/>
    <s v="Online"/>
    <n v="18"/>
    <s v="Student"/>
    <n v="134"/>
    <n v="1"/>
    <n v="299.93"/>
    <d v="2024-11-04T08:10:09"/>
    <n v="16"/>
    <s v="Monday"/>
    <n v="-0.44735556913867502"/>
    <b v="0"/>
    <b v="0"/>
    <b v="1"/>
    <n v="0"/>
    <m/>
    <n v="0"/>
    <m/>
  </r>
  <r>
    <s v="TX000016"/>
    <s v="AC00270"/>
    <n v="465.45"/>
    <d v="2023-12-12T16:23:31"/>
    <s v="Debit"/>
    <x v="13"/>
    <s v="D000466"/>
    <s v="221.169.49.152"/>
    <s v="M025"/>
    <s v="ATM"/>
    <n v="36"/>
    <s v="Engineer"/>
    <n v="129"/>
    <n v="1"/>
    <n v="3465.54"/>
    <d v="2024-11-04T08:12:19"/>
    <n v="16"/>
    <s v="Tuesday"/>
    <n v="0.57495592403935003"/>
    <b v="0"/>
    <b v="0"/>
    <b v="1"/>
    <n v="0"/>
    <m/>
    <n v="0"/>
    <m/>
  </r>
  <r>
    <s v="TX000017"/>
    <s v="AC00317"/>
    <n v="555.79999999999995"/>
    <d v="2023-10-30T16:52:49"/>
    <s v="Credit"/>
    <x v="14"/>
    <s v="D000671"/>
    <s v="53.218.177.171"/>
    <s v="M048"/>
    <s v="Branch"/>
    <n v="19"/>
    <s v="Student"/>
    <n v="158"/>
    <n v="1"/>
    <n v="1131.26"/>
    <d v="2024-11-04T08:07:35"/>
    <n v="16"/>
    <s v="Monday"/>
    <n v="0.88443070594859996"/>
    <b v="0"/>
    <b v="0"/>
    <b v="1"/>
    <n v="0"/>
    <m/>
    <n v="0"/>
    <m/>
  </r>
  <r>
    <s v="TX000018"/>
    <s v="AC00359"/>
    <n v="492.93"/>
    <d v="2023-12-14T18:32:14"/>
    <s v="Debit"/>
    <x v="15"/>
    <s v="D000432"/>
    <s v="114.223.129.47"/>
    <s v="M059"/>
    <s v="Online"/>
    <n v="39"/>
    <s v="Engineer"/>
    <n v="234"/>
    <n v="1"/>
    <n v="5109.97"/>
    <d v="2024-11-04T08:11:51"/>
    <n v="18"/>
    <s v="Thursday"/>
    <n v="0.66908284165823395"/>
    <b v="0"/>
    <b v="0"/>
    <b v="1"/>
    <n v="0"/>
    <m/>
    <n v="0"/>
    <m/>
  </r>
  <r>
    <s v="TX000019"/>
    <s v="AC00242"/>
    <n v="18.68"/>
    <d v="2023-02-21T16:56:50"/>
    <s v="Credit"/>
    <x v="10"/>
    <s v="D000530"/>
    <s v="93.218.115.132"/>
    <s v="M054"/>
    <s v="Branch"/>
    <n v="59"/>
    <s v="Retired"/>
    <n v="106"/>
    <n v="1"/>
    <n v="7948.37"/>
    <d v="2024-11-04T08:12:01"/>
    <n v="16"/>
    <s v="Tuesday"/>
    <n v="-0.95536005065456697"/>
    <b v="0"/>
    <b v="0"/>
    <b v="1"/>
    <n v="0"/>
    <m/>
    <n v="0"/>
    <m/>
  </r>
  <r>
    <s v="TX000020"/>
    <s v="AC00285"/>
    <n v="71.48"/>
    <d v="2023-06-08T18:18:50"/>
    <s v="Credit"/>
    <x v="15"/>
    <s v="D000039"/>
    <s v="120.170.93.69"/>
    <s v="M039"/>
    <s v="Online"/>
    <n v="18"/>
    <s v="Student"/>
    <n v="169"/>
    <n v="1"/>
    <n v="6568.59"/>
    <d v="2024-11-04T08:09:20"/>
    <n v="18"/>
    <s v="Thursday"/>
    <n v="-0.77450483776238799"/>
    <b v="0"/>
    <b v="0"/>
    <b v="1"/>
    <n v="0"/>
    <m/>
    <n v="0"/>
    <m/>
  </r>
  <r>
    <s v="TX000021"/>
    <s v="AC00002"/>
    <n v="59.32"/>
    <d v="2023-02-28T16:36:58"/>
    <s v="Debit"/>
    <x v="16"/>
    <s v="D000152"/>
    <s v="116.44.12.250"/>
    <s v="M040"/>
    <s v="Branch"/>
    <n v="71"/>
    <s v="Retired"/>
    <n v="38"/>
    <n v="1"/>
    <n v="5750.89"/>
    <d v="2024-11-04T08:09:24"/>
    <n v="16"/>
    <s v="Tuesday"/>
    <n v="-0.81615634133755699"/>
    <b v="0"/>
    <b v="0"/>
    <b v="1"/>
    <n v="0"/>
    <m/>
    <n v="0"/>
    <m/>
  </r>
  <r>
    <s v="TX000022"/>
    <s v="AC00014"/>
    <n v="85.77"/>
    <d v="2023-08-11T18:31:31"/>
    <s v="Debit"/>
    <x v="17"/>
    <s v="D000268"/>
    <s v="59.132.247.252"/>
    <s v="M065"/>
    <s v="Branch"/>
    <n v="38"/>
    <s v="Doctor"/>
    <n v="93"/>
    <n v="1"/>
    <n v="9146.19"/>
    <d v="2024-11-04T08:08:13"/>
    <n v="18"/>
    <s v="Friday"/>
    <n v="-0.72555747048531904"/>
    <b v="0"/>
    <b v="0"/>
    <b v="1"/>
    <n v="0"/>
    <m/>
    <n v="0"/>
    <m/>
  </r>
  <r>
    <s v="TX000023"/>
    <s v="AC00095"/>
    <n v="52.2"/>
    <d v="2023-06-06T18:54:15"/>
    <s v="Debit"/>
    <x v="4"/>
    <s v="D000142"/>
    <s v="133.63.96.21"/>
    <s v="M022"/>
    <s v="Online"/>
    <n v="39"/>
    <s v="Engineer"/>
    <n v="120"/>
    <n v="1"/>
    <n v="8974.93"/>
    <d v="2024-11-04T08:07:01"/>
    <n v="18"/>
    <s v="Tuesday"/>
    <n v="-0.84054439277301696"/>
    <b v="0"/>
    <b v="0"/>
    <b v="1"/>
    <n v="0"/>
    <m/>
    <n v="0"/>
    <m/>
  </r>
  <r>
    <s v="TX000024"/>
    <s v="AC00453"/>
    <n v="345.84"/>
    <d v="2023-05-02T18:25:46"/>
    <s v="Debit"/>
    <x v="18"/>
    <s v="D000162"/>
    <s v="191.82.103.198"/>
    <s v="M083"/>
    <s v="Online"/>
    <n v="22"/>
    <s v="Student"/>
    <n v="142"/>
    <n v="3"/>
    <n v="1402.5"/>
    <d v="2024-11-04T08:07:04"/>
    <n v="18"/>
    <s v="Tuesday"/>
    <n v="0.16525721165235099"/>
    <b v="0"/>
    <b v="1"/>
    <b v="1"/>
    <n v="1"/>
    <m/>
    <n v="0"/>
    <m/>
  </r>
  <r>
    <s v="TX000025"/>
    <s v="AC00241"/>
    <n v="145.54"/>
    <d v="2023-03-02T16:43:56"/>
    <s v="Debit"/>
    <x v="3"/>
    <s v="D000036"/>
    <s v="119.186.154.104"/>
    <s v="M028"/>
    <s v="Online"/>
    <n v="21"/>
    <s v="Student"/>
    <n v="96"/>
    <n v="1"/>
    <n v="1930.96"/>
    <d v="2024-11-04T08:07:09"/>
    <n v="16"/>
    <s v="Thursday"/>
    <n v="-0.52082799937612301"/>
    <b v="0"/>
    <b v="0"/>
    <b v="1"/>
    <n v="0"/>
    <m/>
    <n v="0"/>
    <m/>
  </r>
  <r>
    <s v="TX000026"/>
    <s v="AC00041"/>
    <n v="7.49"/>
    <d v="2023-10-20T17:53:13"/>
    <s v="Credit"/>
    <x v="1"/>
    <s v="D000671"/>
    <s v="81.248.235.147"/>
    <s v="M043"/>
    <s v="Online"/>
    <n v="65"/>
    <s v="Retired"/>
    <n v="276"/>
    <n v="1"/>
    <n v="3634.67"/>
    <d v="2024-11-04T08:09:44"/>
    <n v="17"/>
    <s v="Friday"/>
    <n v="-0.99368902475046705"/>
    <b v="0"/>
    <b v="0"/>
    <b v="1"/>
    <n v="0"/>
    <m/>
    <n v="0"/>
    <m/>
  </r>
  <r>
    <s v="TX000027"/>
    <s v="AC00441"/>
    <n v="246.93"/>
    <d v="2023-04-17T16:37:01"/>
    <s v="Debit"/>
    <x v="19"/>
    <s v="D000046"/>
    <s v="55.154.161.250"/>
    <s v="M029"/>
    <s v="ATM"/>
    <n v="23"/>
    <s v="Student"/>
    <n v="158"/>
    <n v="5"/>
    <n v="673.35"/>
    <d v="2024-11-04T08:11:38"/>
    <n v="16"/>
    <s v="Monday"/>
    <n v="-0.17353803658941799"/>
    <b v="0"/>
    <b v="1"/>
    <b v="1"/>
    <n v="1"/>
    <m/>
    <n v="0"/>
    <m/>
  </r>
  <r>
    <s v="TX000028"/>
    <s v="AC00057"/>
    <n v="40.32"/>
    <d v="2023-03-29T16:42:38"/>
    <s v="Debit"/>
    <x v="20"/>
    <s v="D000310"/>
    <s v="21.28.32.1"/>
    <s v="M008"/>
    <s v="Branch"/>
    <n v="37"/>
    <s v="Engineer"/>
    <n v="95"/>
    <n v="1"/>
    <n v="2686.52"/>
    <d v="2024-11-04T08:11:59"/>
    <n v="16"/>
    <s v="Wednesday"/>
    <n v="-0.881236815673758"/>
    <b v="0"/>
    <b v="0"/>
    <b v="1"/>
    <n v="0"/>
    <m/>
    <n v="0"/>
    <m/>
  </r>
  <r>
    <s v="TX000029"/>
    <s v="AC00390"/>
    <n v="127.45"/>
    <d v="2023-01-24T16:18:32"/>
    <s v="Debit"/>
    <x v="17"/>
    <s v="D000232"/>
    <s v="152.234.65.155"/>
    <s v="M092"/>
    <s v="Online"/>
    <n v="44"/>
    <s v="Doctor"/>
    <n v="197"/>
    <n v="1"/>
    <n v="1772.06"/>
    <d v="2024-11-04T08:11:22"/>
    <n v="16"/>
    <s v="Tuesday"/>
    <n v="-0.58279146152043204"/>
    <b v="0"/>
    <b v="0"/>
    <b v="1"/>
    <n v="0"/>
    <m/>
    <n v="0"/>
    <m/>
  </r>
  <r>
    <s v="TX000030"/>
    <s v="AC00313"/>
    <n v="56.17"/>
    <d v="2023-09-20T16:55:42"/>
    <s v="Debit"/>
    <x v="8"/>
    <s v="D000297"/>
    <s v="33.28.138.82"/>
    <s v="M043"/>
    <s v="Branch"/>
    <n v="27"/>
    <s v="Student"/>
    <n v="283"/>
    <n v="1"/>
    <n v="1351.69"/>
    <d v="2024-11-04T08:08:30"/>
    <n v="16"/>
    <s v="Wednesday"/>
    <n v="-0.82694599892487397"/>
    <b v="0"/>
    <b v="0"/>
    <b v="1"/>
    <n v="0"/>
    <m/>
    <n v="0"/>
    <m/>
  </r>
  <r>
    <s v="TX000031"/>
    <s v="AC00367"/>
    <n v="28.31"/>
    <d v="2023-07-17T17:49:22"/>
    <s v="Credit"/>
    <x v="19"/>
    <s v="D000587"/>
    <s v="35.67.21.23"/>
    <s v="M091"/>
    <s v="Online"/>
    <n v="59"/>
    <s v="Doctor"/>
    <n v="20"/>
    <n v="1"/>
    <n v="8334.4699999999993"/>
    <d v="2024-11-04T08:09:17"/>
    <n v="17"/>
    <s v="Monday"/>
    <n v="-0.92237452603048298"/>
    <b v="0"/>
    <b v="0"/>
    <b v="1"/>
    <n v="0"/>
    <m/>
    <n v="0"/>
    <m/>
  </r>
  <r>
    <s v="TX000032"/>
    <s v="AC00291"/>
    <n v="59.12"/>
    <d v="2023-02-06T16:24:24"/>
    <s v="Debit"/>
    <x v="21"/>
    <s v="D000282"/>
    <s v="187.199.178.27"/>
    <s v="M053"/>
    <s v="ATM"/>
    <n v="29"/>
    <s v="Doctor"/>
    <n v="257"/>
    <n v="1"/>
    <n v="9823.64"/>
    <d v="2024-11-04T08:06:58"/>
    <n v="16"/>
    <s v="Monday"/>
    <n v="-0.81684139896214802"/>
    <b v="0"/>
    <b v="0"/>
    <b v="1"/>
    <n v="0"/>
    <m/>
    <n v="0"/>
    <m/>
  </r>
  <r>
    <s v="TX000033"/>
    <s v="AC00060"/>
    <n v="396.45"/>
    <d v="2023-09-25T16:26:00"/>
    <s v="Debit"/>
    <x v="22"/>
    <s v="D000621"/>
    <s v="133.67.250.163"/>
    <s v="M007"/>
    <s v="ATM"/>
    <n v="49"/>
    <s v="Engineer"/>
    <n v="168"/>
    <n v="3"/>
    <n v="9690.15"/>
    <d v="2024-11-04T08:11:13"/>
    <n v="16"/>
    <s v="Monday"/>
    <n v="0.33861104355525201"/>
    <b v="0"/>
    <b v="1"/>
    <b v="1"/>
    <n v="1"/>
    <m/>
    <n v="0"/>
    <m/>
  </r>
  <r>
    <s v="TX000034"/>
    <s v="AC00359"/>
    <n v="877.81"/>
    <d v="2023-03-13T17:23:24"/>
    <s v="Debit"/>
    <x v="16"/>
    <s v="D000111"/>
    <s v="134.140.85.231"/>
    <s v="M094"/>
    <s v="Online"/>
    <n v="22"/>
    <s v="Student"/>
    <n v="150"/>
    <n v="1"/>
    <n v="399"/>
    <d v="2024-11-04T08:07:50"/>
    <n v="17"/>
    <s v="Monday"/>
    <n v="1.98740773442228"/>
    <b v="0"/>
    <b v="0"/>
    <b v="1"/>
    <n v="0"/>
    <m/>
    <n v="0"/>
    <m/>
  </r>
  <r>
    <s v="TX000035"/>
    <s v="AC00365"/>
    <n v="255.26"/>
    <d v="2023-10-27T16:42:49"/>
    <s v="Credit"/>
    <x v="23"/>
    <s v="D000357"/>
    <s v="92.214.76.157"/>
    <s v="M002"/>
    <s v="Branch"/>
    <n v="45"/>
    <s v="Doctor"/>
    <n v="50"/>
    <n v="1"/>
    <n v="14815.87"/>
    <d v="2024-11-04T08:10:51"/>
    <n v="16"/>
    <s v="Friday"/>
    <n v="-0.145005386525178"/>
    <b v="0"/>
    <b v="0"/>
    <b v="1"/>
    <n v="0"/>
    <m/>
    <n v="0"/>
    <m/>
  </r>
  <r>
    <s v="TX000036"/>
    <s v="AC00267"/>
    <n v="124.76"/>
    <d v="2023-10-16T16:32:56"/>
    <s v="Debit"/>
    <x v="6"/>
    <s v="D000042"/>
    <s v="59.145.242.13"/>
    <s v="M002"/>
    <s v="Branch"/>
    <n v="49"/>
    <s v="Engineer"/>
    <n v="45"/>
    <n v="1"/>
    <n v="5764.72"/>
    <d v="2024-11-04T08:06:23"/>
    <n v="16"/>
    <s v="Monday"/>
    <n v="-0.59200548657118901"/>
    <b v="0"/>
    <b v="0"/>
    <b v="1"/>
    <n v="0"/>
    <m/>
    <n v="0"/>
    <m/>
  </r>
  <r>
    <s v="TX000037"/>
    <s v="AC00404"/>
    <n v="78.13"/>
    <d v="2023-11-21T16:58:44"/>
    <s v="Debit"/>
    <x v="20"/>
    <s v="D000250"/>
    <s v="33.28.138.82"/>
    <s v="M028"/>
    <s v="Branch"/>
    <n v="26"/>
    <s v="Student"/>
    <n v="145"/>
    <n v="1"/>
    <n v="900.61"/>
    <d v="2024-11-04T08:12:18"/>
    <n v="16"/>
    <s v="Tuesday"/>
    <n v="-0.75172667174471797"/>
    <b v="0"/>
    <b v="0"/>
    <b v="1"/>
    <n v="0"/>
    <m/>
    <n v="0"/>
    <m/>
  </r>
  <r>
    <s v="TX000038"/>
    <s v="AC00202"/>
    <n v="649.28"/>
    <d v="2023-03-02T17:53:32"/>
    <s v="Debit"/>
    <x v="24"/>
    <s v="D000448"/>
    <s v="73.108.76.238"/>
    <s v="M074"/>
    <s v="ATM"/>
    <n v="75"/>
    <s v="Retired"/>
    <n v="137"/>
    <n v="1"/>
    <n v="4875.8599999999997"/>
    <d v="2024-11-04T08:11:15"/>
    <n v="17"/>
    <s v="Thursday"/>
    <n v="1.2046266396826999"/>
    <b v="0"/>
    <b v="0"/>
    <b v="1"/>
    <n v="0"/>
    <m/>
    <n v="0"/>
    <m/>
  </r>
  <r>
    <s v="TX000039"/>
    <s v="AC00478"/>
    <n v="795.31"/>
    <d v="2023-10-12T17:07:40"/>
    <s v="Debit"/>
    <x v="2"/>
    <s v="D000077"/>
    <s v="49.29.37.185"/>
    <s v="M048"/>
    <s v="ATM"/>
    <n v="66"/>
    <s v="Doctor"/>
    <n v="90"/>
    <n v="2"/>
    <n v="7914.88"/>
    <d v="2024-11-04T08:11:17"/>
    <n v="17"/>
    <s v="Thursday"/>
    <n v="1.70482146427825"/>
    <b v="0"/>
    <b v="1"/>
    <b v="1"/>
    <n v="1"/>
    <m/>
    <n v="0"/>
    <m/>
  </r>
  <r>
    <s v="TX000040"/>
    <s v="AC00405"/>
    <n v="335.63"/>
    <d v="2023-01-24T17:17:20"/>
    <s v="Debit"/>
    <x v="5"/>
    <s v="D000038"/>
    <s v="49.20.211.229"/>
    <s v="M040"/>
    <s v="Online"/>
    <n v="55"/>
    <s v="Retired"/>
    <n v="216"/>
    <n v="1"/>
    <n v="1019.39"/>
    <d v="2024-11-04T08:07:32"/>
    <n v="17"/>
    <s v="Tuesday"/>
    <n v="0.13028501991694999"/>
    <b v="0"/>
    <b v="0"/>
    <b v="1"/>
    <n v="0"/>
    <m/>
    <n v="0"/>
    <m/>
  </r>
  <r>
    <s v="TX000041"/>
    <s v="AC00421"/>
    <n v="328.47"/>
    <d v="2023-07-31T18:39:50"/>
    <s v="Debit"/>
    <x v="25"/>
    <s v="D000557"/>
    <s v="6.234.101.35"/>
    <s v="M014"/>
    <s v="ATM"/>
    <n v="63"/>
    <s v="Retired"/>
    <n v="119"/>
    <n v="1"/>
    <n v="4323.66"/>
    <d v="2024-11-04T08:07:31"/>
    <n v="18"/>
    <s v="Monday"/>
    <n v="0.105759956956572"/>
    <b v="0"/>
    <b v="0"/>
    <b v="1"/>
    <n v="0"/>
    <m/>
    <n v="0"/>
    <m/>
  </r>
  <r>
    <s v="TX000042"/>
    <s v="AC00480"/>
    <n v="34.020000000000003"/>
    <d v="2023-01-09T16:13:21"/>
    <s v="Debit"/>
    <x v="26"/>
    <s v="D000627"/>
    <s v="109.105.179.186"/>
    <s v="M046"/>
    <s v="Online"/>
    <n v="38"/>
    <s v="Doctor"/>
    <n v="19"/>
    <n v="1"/>
    <n v="14214.48"/>
    <d v="2024-11-04T08:11:45"/>
    <n v="16"/>
    <s v="Monday"/>
    <n v="-0.90281613084839296"/>
    <b v="0"/>
    <b v="0"/>
    <b v="1"/>
    <n v="0"/>
    <m/>
    <n v="0"/>
    <m/>
  </r>
  <r>
    <s v="TX000043"/>
    <s v="AC00120"/>
    <n v="241.42"/>
    <d v="2023-04-20T18:57:43"/>
    <s v="Credit"/>
    <x v="27"/>
    <s v="D000198"/>
    <s v="60.89.202.192"/>
    <s v="M044"/>
    <s v="Online"/>
    <n v="57"/>
    <s v="Doctor"/>
    <n v="116"/>
    <n v="1"/>
    <n v="13357.02"/>
    <d v="2024-11-04T08:09:03"/>
    <n v="18"/>
    <s v="Thursday"/>
    <n v="-0.192411374146916"/>
    <b v="0"/>
    <b v="0"/>
    <b v="1"/>
    <n v="0"/>
    <m/>
    <n v="0"/>
    <m/>
  </r>
  <r>
    <s v="TX000044"/>
    <s v="AC00117"/>
    <n v="55.32"/>
    <d v="2023-04-12T16:03:37"/>
    <s v="Debit"/>
    <x v="28"/>
    <s v="D000197"/>
    <s v="173.135.78.201"/>
    <s v="M009"/>
    <s v="ATM"/>
    <n v="19"/>
    <s v="Student"/>
    <n v="117"/>
    <n v="1"/>
    <n v="241.79"/>
    <d v="2024-11-04T08:08:03"/>
    <n v="16"/>
    <s v="Wednesday"/>
    <n v="-0.829857493829389"/>
    <b v="0"/>
    <b v="0"/>
    <b v="1"/>
    <n v="0"/>
    <m/>
    <n v="0"/>
    <m/>
  </r>
  <r>
    <s v="TX000045"/>
    <s v="AC00011"/>
    <n v="304.31"/>
    <d v="2023-07-26T16:52:28"/>
    <s v="Debit"/>
    <x v="12"/>
    <s v="D000685"/>
    <s v="77.208.193.198"/>
    <s v="M005"/>
    <s v="Branch"/>
    <n v="27"/>
    <s v="Student"/>
    <n v="33"/>
    <n v="1"/>
    <n v="868.61"/>
    <d v="2024-11-04T08:09:53"/>
    <n v="16"/>
    <s v="Wednesday"/>
    <n v="2.3004995905908199E-2"/>
    <b v="0"/>
    <b v="0"/>
    <b v="1"/>
    <n v="0"/>
    <m/>
    <n v="0"/>
    <m/>
  </r>
  <r>
    <s v="TX000046"/>
    <s v="AC00401"/>
    <n v="435.27"/>
    <d v="2023-10-04T17:49:29"/>
    <s v="Debit"/>
    <x v="29"/>
    <s v="D000297"/>
    <s v="197.162.55.147"/>
    <s v="M051"/>
    <s v="Branch"/>
    <n v="74"/>
    <s v="Retired"/>
    <n v="90"/>
    <n v="1"/>
    <n v="4673.28"/>
    <d v="2024-11-04T08:11:12"/>
    <n v="17"/>
    <s v="Wednesday"/>
    <n v="0.47158072848847898"/>
    <b v="0"/>
    <b v="0"/>
    <b v="1"/>
    <n v="0"/>
    <m/>
    <n v="0"/>
    <m/>
  </r>
  <r>
    <s v="TX000047"/>
    <s v="AC00282"/>
    <n v="164.49"/>
    <d v="2023-12-13T16:01:38"/>
    <s v="Debit"/>
    <x v="21"/>
    <s v="D000103"/>
    <s v="113.115.81.178"/>
    <s v="M070"/>
    <s v="Branch"/>
    <n v="26"/>
    <s v="Student"/>
    <n v="75"/>
    <n v="1"/>
    <n v="1509.27"/>
    <d v="2024-11-04T08:10:33"/>
    <n v="16"/>
    <s v="Wednesday"/>
    <n v="-0.45591878944607001"/>
    <b v="0"/>
    <b v="0"/>
    <b v="1"/>
    <n v="0"/>
    <m/>
    <n v="0"/>
    <m/>
  </r>
  <r>
    <s v="TX000048"/>
    <s v="AC00439"/>
    <n v="510.24"/>
    <d v="2023-10-09T16:29:40"/>
    <s v="Debit"/>
    <x v="5"/>
    <s v="D000397"/>
    <s v="186.135.2.148"/>
    <s v="M090"/>
    <s v="Online"/>
    <n v="19"/>
    <s v="Student"/>
    <n v="105"/>
    <n v="1"/>
    <n v="781.7"/>
    <d v="2024-11-04T08:11:35"/>
    <n v="16"/>
    <s v="Monday"/>
    <n v="0.72837457906663605"/>
    <b v="0"/>
    <b v="0"/>
    <b v="1"/>
    <n v="0"/>
    <m/>
    <n v="0"/>
    <m/>
  </r>
  <r>
    <s v="TX000049"/>
    <s v="AC00296"/>
    <n v="626.9"/>
    <d v="2023-11-27T16:45:57"/>
    <s v="Debit"/>
    <x v="13"/>
    <s v="D000284"/>
    <s v="93.146.251.20"/>
    <s v="M023"/>
    <s v="Online"/>
    <n v="26"/>
    <s v="Student"/>
    <n v="138"/>
    <n v="1"/>
    <n v="265.51"/>
    <d v="2024-11-04T08:07:24"/>
    <n v="16"/>
    <s v="Monday"/>
    <n v="1.1279686914909"/>
    <b v="0"/>
    <b v="0"/>
    <b v="1"/>
    <n v="0"/>
    <m/>
    <n v="0"/>
    <m/>
  </r>
  <r>
    <s v="TX000050"/>
    <s v="AC00471"/>
    <n v="22.01"/>
    <d v="2023-03-27T16:45:18"/>
    <s v="Credit"/>
    <x v="30"/>
    <s v="D000304"/>
    <s v="124.6.134.78"/>
    <s v="M055"/>
    <s v="Online"/>
    <n v="41"/>
    <s v="Engineer"/>
    <n v="175"/>
    <n v="1"/>
    <n v="1335.09"/>
    <d v="2024-11-04T08:06:31"/>
    <n v="16"/>
    <s v="Monday"/>
    <n v="-0.94395384120511805"/>
    <b v="0"/>
    <b v="0"/>
    <b v="1"/>
    <n v="0"/>
    <m/>
    <n v="0"/>
    <m/>
  </r>
  <r>
    <s v="TX000051"/>
    <s v="AC00159"/>
    <n v="425.34"/>
    <d v="2023-02-13T16:59:39"/>
    <s v="Credit"/>
    <x v="31"/>
    <s v="D000661"/>
    <s v="139.23.212.102"/>
    <s v="M040"/>
    <s v="Online"/>
    <n v="69"/>
    <s v="Retired"/>
    <n v="121"/>
    <n v="1"/>
    <n v="3907.54"/>
    <d v="2024-11-04T08:07:07"/>
    <n v="16"/>
    <s v="Monday"/>
    <n v="0.43756761742750699"/>
    <b v="0"/>
    <b v="0"/>
    <b v="1"/>
    <n v="0"/>
    <m/>
    <n v="0"/>
    <m/>
  </r>
  <r>
    <s v="TX000052"/>
    <s v="AC00482"/>
    <n v="424.56"/>
    <d v="2023-02-21T17:45:55"/>
    <s v="Debit"/>
    <x v="32"/>
    <s v="D000598"/>
    <s v="179.43.245.131"/>
    <s v="M015"/>
    <s v="Online"/>
    <n v="51"/>
    <s v="Engineer"/>
    <n v="264"/>
    <n v="1"/>
    <n v="5183.8500000000004"/>
    <d v="2024-11-04T08:09:02"/>
    <n v="17"/>
    <s v="Tuesday"/>
    <n v="0.43489589269160001"/>
    <b v="0"/>
    <b v="0"/>
    <b v="1"/>
    <n v="0"/>
    <m/>
    <n v="0"/>
    <m/>
  </r>
  <r>
    <s v="TX000053"/>
    <s v="AC00115"/>
    <n v="85.43"/>
    <d v="2023-06-07T16:45:34"/>
    <s v="Debit"/>
    <x v="33"/>
    <s v="D000235"/>
    <s v="194.174.252.1"/>
    <s v="M078"/>
    <s v="Branch"/>
    <n v="67"/>
    <s v="Doctor"/>
    <n v="145"/>
    <n v="1"/>
    <n v="14904.9"/>
    <d v="2024-11-04T08:06:45"/>
    <n v="16"/>
    <s v="Wednesday"/>
    <n v="-0.72672206844712495"/>
    <b v="0"/>
    <b v="0"/>
    <b v="1"/>
    <n v="0"/>
    <m/>
    <n v="0"/>
    <m/>
  </r>
  <r>
    <s v="TX000054"/>
    <s v="AC00055"/>
    <n v="169.5"/>
    <d v="2023-09-07T16:51:27"/>
    <s v="Debit"/>
    <x v="0"/>
    <s v="D000442"/>
    <s v="42.219.228.159"/>
    <s v="M036"/>
    <s v="Branch"/>
    <n v="28"/>
    <s v="Student"/>
    <n v="142"/>
    <n v="1"/>
    <n v="918.88"/>
    <d v="2024-11-04T08:08:58"/>
    <n v="16"/>
    <s v="Thursday"/>
    <n v="-0.438758095950051"/>
    <b v="0"/>
    <b v="0"/>
    <b v="1"/>
    <n v="0"/>
    <m/>
    <n v="0"/>
    <m/>
  </r>
  <r>
    <s v="TX000055"/>
    <s v="AC00419"/>
    <n v="104.63"/>
    <d v="2023-03-29T17:47:16"/>
    <s v="Debit"/>
    <x v="32"/>
    <s v="D000642"/>
    <s v="186.135.2.148"/>
    <s v="M095"/>
    <s v="ATM"/>
    <n v="62"/>
    <s v="Retired"/>
    <n v="90"/>
    <n v="1"/>
    <n v="4477.78"/>
    <d v="2024-11-04T08:10:42"/>
    <n v="17"/>
    <s v="Wednesday"/>
    <n v="-0.66095653648633301"/>
    <b v="0"/>
    <b v="0"/>
    <b v="1"/>
    <n v="0"/>
    <m/>
    <n v="0"/>
    <m/>
  </r>
  <r>
    <s v="TX000056"/>
    <s v="AC00374"/>
    <n v="316.95"/>
    <d v="2023-08-04T17:53:40"/>
    <s v="Debit"/>
    <x v="2"/>
    <s v="D000013"/>
    <s v="81.102.230.41"/>
    <s v="M052"/>
    <s v="Branch"/>
    <n v="25"/>
    <s v="Student"/>
    <n v="83"/>
    <n v="1"/>
    <n v="1324.03"/>
    <d v="2024-11-04T08:09:15"/>
    <n v="17"/>
    <s v="Friday"/>
    <n v="6.6300637780096497E-2"/>
    <b v="0"/>
    <b v="0"/>
    <b v="1"/>
    <n v="0"/>
    <m/>
    <n v="0"/>
    <m/>
  </r>
  <r>
    <s v="TX000057"/>
    <s v="AC00271"/>
    <n v="60.54"/>
    <d v="2023-12-14T17:52:37"/>
    <s v="Credit"/>
    <x v="15"/>
    <s v="D000462"/>
    <s v="1.198.76.182"/>
    <s v="M095"/>
    <s v="Branch"/>
    <n v="57"/>
    <s v="Retired"/>
    <n v="52"/>
    <n v="1"/>
    <n v="3534.93"/>
    <d v="2024-11-04T08:09:57"/>
    <n v="17"/>
    <s v="Thursday"/>
    <n v="-0.81197748982754803"/>
    <b v="0"/>
    <b v="0"/>
    <b v="1"/>
    <n v="0"/>
    <m/>
    <n v="0"/>
    <m/>
  </r>
  <r>
    <s v="TX000058"/>
    <s v="AC00456"/>
    <n v="292.56"/>
    <d v="2023-03-03T17:37:41"/>
    <s v="Credit"/>
    <x v="34"/>
    <s v="D000311"/>
    <s v="198.73.211.114"/>
    <s v="M075"/>
    <s v="Branch"/>
    <n v="68"/>
    <s v="Retired"/>
    <n v="61"/>
    <n v="1"/>
    <n v="4638.37"/>
    <d v="2024-11-04T08:07:49"/>
    <n v="17"/>
    <s v="Friday"/>
    <n v="-1.7242139538847501E-2"/>
    <b v="0"/>
    <b v="0"/>
    <b v="1"/>
    <n v="0"/>
    <m/>
    <n v="0"/>
    <m/>
  </r>
  <r>
    <s v="TX000059"/>
    <s v="AC00143"/>
    <n v="386.52"/>
    <d v="2023-06-09T16:18:15"/>
    <s v="Debit"/>
    <x v="7"/>
    <s v="D000145"/>
    <s v="186.54.68.246"/>
    <s v="M064"/>
    <s v="Branch"/>
    <n v="48"/>
    <s v="Engineer"/>
    <n v="28"/>
    <n v="1"/>
    <n v="5630.61"/>
    <d v="2024-11-04T08:07:09"/>
    <n v="16"/>
    <s v="Friday"/>
    <n v="0.30459793249428002"/>
    <b v="0"/>
    <b v="0"/>
    <b v="1"/>
    <n v="0"/>
    <m/>
    <n v="0"/>
    <m/>
  </r>
  <r>
    <s v="TX000060"/>
    <s v="AC00427"/>
    <n v="112.07"/>
    <d v="2023-10-02T16:35:22"/>
    <s v="Debit"/>
    <x v="31"/>
    <s v="D000089"/>
    <s v="198.166.198.233"/>
    <s v="M064"/>
    <s v="Branch"/>
    <n v="23"/>
    <s v="Student"/>
    <n v="51"/>
    <n v="1"/>
    <n v="930.3"/>
    <d v="2024-11-04T08:11:37"/>
    <n v="16"/>
    <s v="Monday"/>
    <n v="-0.63547239285152601"/>
    <b v="0"/>
    <b v="0"/>
    <b v="1"/>
    <n v="0"/>
    <m/>
    <n v="0"/>
    <m/>
  </r>
  <r>
    <s v="TX000061"/>
    <s v="AC00438"/>
    <n v="568.52"/>
    <d v="2023-10-06T18:44:37"/>
    <s v="Debit"/>
    <x v="7"/>
    <s v="D000233"/>
    <s v="27.143.109.203"/>
    <s v="M094"/>
    <s v="ATM"/>
    <n v="46"/>
    <s v="Engineer"/>
    <n v="152"/>
    <n v="1"/>
    <n v="5499.91"/>
    <d v="2024-11-04T08:06:25"/>
    <n v="18"/>
    <s v="Friday"/>
    <n v="0.92800037087262499"/>
    <b v="0"/>
    <b v="0"/>
    <b v="1"/>
    <n v="0"/>
    <m/>
    <n v="0"/>
    <m/>
  </r>
  <r>
    <s v="TX000062"/>
    <s v="AC00002"/>
    <n v="263.99"/>
    <d v="2023-05-16T16:07:30"/>
    <s v="Debit"/>
    <x v="34"/>
    <s v="D000285"/>
    <s v="7.146.35.122"/>
    <s v="M087"/>
    <s v="Branch"/>
    <n v="79"/>
    <s v="Retired"/>
    <n v="227"/>
    <n v="2"/>
    <n v="4175.0200000000004"/>
    <d v="2024-11-04T08:11:03"/>
    <n v="16"/>
    <s v="Tuesday"/>
    <n v="-0.115102621211755"/>
    <b v="0"/>
    <b v="1"/>
    <b v="1"/>
    <n v="1"/>
    <m/>
    <n v="0"/>
    <m/>
  </r>
  <r>
    <s v="TX000063"/>
    <s v="AC00425"/>
    <n v="349.64"/>
    <d v="2023-11-07T16:48:23"/>
    <s v="Debit"/>
    <x v="17"/>
    <s v="D000516"/>
    <s v="9.230.41.239"/>
    <s v="M097"/>
    <s v="Online"/>
    <n v="48"/>
    <s v="Engineer"/>
    <n v="226"/>
    <n v="1"/>
    <n v="6651.62"/>
    <d v="2024-11-04T08:08:09"/>
    <n v="16"/>
    <s v="Tuesday"/>
    <n v="0.178273306519591"/>
    <b v="0"/>
    <b v="0"/>
    <b v="1"/>
    <n v="0"/>
    <m/>
    <n v="0"/>
    <m/>
  </r>
  <r>
    <s v="TX000064"/>
    <s v="AC00325"/>
    <n v="601.4"/>
    <d v="2023-05-30T17:43:25"/>
    <s v="Credit"/>
    <x v="26"/>
    <s v="D000548"/>
    <s v="125.225.212.244"/>
    <s v="M001"/>
    <s v="Branch"/>
    <n v="56"/>
    <s v="Engineer"/>
    <n v="104"/>
    <n v="1"/>
    <n v="8458.2900000000009"/>
    <d v="2024-11-04T08:08:01"/>
    <n v="17"/>
    <s v="Tuesday"/>
    <n v="1.0406238443554801"/>
    <b v="0"/>
    <b v="0"/>
    <b v="1"/>
    <n v="0"/>
    <m/>
    <n v="0"/>
    <m/>
  </r>
  <r>
    <s v="TX000065"/>
    <s v="AC00434"/>
    <n v="5.77"/>
    <d v="2023-11-02T16:01:40"/>
    <s v="Debit"/>
    <x v="27"/>
    <s v="D000461"/>
    <s v="155.164.18.235"/>
    <s v="M071"/>
    <s v="Online"/>
    <n v="50"/>
    <s v="Doctor"/>
    <n v="124"/>
    <n v="1"/>
    <n v="13988.12"/>
    <d v="2024-11-04T08:11:32"/>
    <n v="16"/>
    <s v="Thursday"/>
    <n v="-0.99958052032195499"/>
    <b v="0"/>
    <b v="0"/>
    <b v="1"/>
    <n v="0"/>
    <m/>
    <n v="0"/>
    <m/>
  </r>
  <r>
    <s v="TX000066"/>
    <s v="AC00242"/>
    <n v="201.33"/>
    <d v="2023-03-29T17:00:31"/>
    <s v="Credit"/>
    <x v="9"/>
    <s v="D000098"/>
    <s v="145.246.171.225"/>
    <s v="M003"/>
    <s v="Branch"/>
    <n v="42"/>
    <s v="Engineer"/>
    <n v="186"/>
    <n v="1"/>
    <n v="2585.0700000000002"/>
    <d v="2024-11-04T08:11:41"/>
    <n v="17"/>
    <s v="Wednesday"/>
    <n v="-0.3297311749963"/>
    <b v="0"/>
    <b v="0"/>
    <b v="1"/>
    <n v="0"/>
    <m/>
    <n v="0"/>
    <m/>
  </r>
  <r>
    <s v="TX000067"/>
    <s v="AC00319"/>
    <n v="298.42"/>
    <d v="2023-04-25T16:11:24"/>
    <s v="Debit"/>
    <x v="7"/>
    <s v="D000435"/>
    <s v="92.214.76.157"/>
    <s v="M005"/>
    <s v="Branch"/>
    <n v="56"/>
    <s v="Retired"/>
    <n v="225"/>
    <n v="1"/>
    <n v="3014.75"/>
    <d v="2024-11-04T08:10:12"/>
    <n v="16"/>
    <s v="Tuesday"/>
    <n v="2.8300488616860198E-3"/>
    <b v="0"/>
    <b v="0"/>
    <b v="1"/>
    <n v="0"/>
    <m/>
    <n v="0"/>
    <m/>
  </r>
  <r>
    <s v="TX000068"/>
    <s v="AC00460"/>
    <n v="521.05999999999995"/>
    <d v="2023-04-18T18:40:47"/>
    <s v="Debit"/>
    <x v="10"/>
    <s v="D000305"/>
    <s v="131.41.45.13"/>
    <s v="M063"/>
    <s v="Branch"/>
    <n v="25"/>
    <s v="Student"/>
    <n v="128"/>
    <n v="1"/>
    <n v="1951.42"/>
    <d v="2024-11-04T08:12:10"/>
    <n v="18"/>
    <s v="Tuesday"/>
    <n v="0.76543619655704098"/>
    <b v="0"/>
    <b v="0"/>
    <b v="1"/>
    <n v="0"/>
    <m/>
    <n v="0"/>
    <m/>
  </r>
  <r>
    <s v="TX000069"/>
    <s v="AC00461"/>
    <n v="117.28"/>
    <d v="2023-02-09T16:34:53"/>
    <s v="Credit"/>
    <x v="14"/>
    <s v="D000128"/>
    <s v="46.150.175.171"/>
    <s v="M057"/>
    <s v="Online"/>
    <n v="60"/>
    <s v="Engineer"/>
    <n v="16"/>
    <n v="1"/>
    <n v="3665.77"/>
    <d v="2024-11-04T08:07:11"/>
    <n v="16"/>
    <s v="Thursday"/>
    <n v="-0.61762664173091497"/>
    <b v="0"/>
    <b v="0"/>
    <b v="1"/>
    <n v="0"/>
    <m/>
    <n v="0"/>
    <m/>
  </r>
  <r>
    <s v="TX000070"/>
    <s v="AC00395"/>
    <n v="189.12"/>
    <d v="2023-11-13T16:42:28"/>
    <s v="Credit"/>
    <x v="7"/>
    <s v="D000684"/>
    <s v="125.89.163.224"/>
    <s v="M040"/>
    <s v="Branch"/>
    <n v="32"/>
    <s v="Engineer"/>
    <n v="103"/>
    <n v="1"/>
    <n v="977.01"/>
    <d v="2024-11-04T08:08:42"/>
    <n v="16"/>
    <s v="Monday"/>
    <n v="-0.37155394297761601"/>
    <b v="0"/>
    <b v="0"/>
    <b v="1"/>
    <n v="0"/>
    <m/>
    <n v="0"/>
    <m/>
  </r>
  <r>
    <s v="TX000071"/>
    <s v="AC00217"/>
    <n v="133.55000000000001"/>
    <d v="2023-07-18T16:12:00"/>
    <s v="Debit"/>
    <x v="4"/>
    <s v="D000201"/>
    <s v="40.226.196.34"/>
    <s v="M091"/>
    <s v="ATM"/>
    <n v="44"/>
    <s v="Engineer"/>
    <n v="220"/>
    <n v="1"/>
    <n v="3846.28"/>
    <d v="2024-11-04T08:10:18"/>
    <n v="16"/>
    <s v="Tuesday"/>
    <n v="-0.561897203970389"/>
    <b v="0"/>
    <b v="0"/>
    <b v="1"/>
    <n v="0"/>
    <m/>
    <n v="0"/>
    <m/>
  </r>
  <r>
    <s v="TX000072"/>
    <s v="AC00053"/>
    <n v="143.21"/>
    <d v="2023-01-13T17:00:16"/>
    <s v="Debit"/>
    <x v="34"/>
    <s v="D000410"/>
    <s v="65.164.3.100"/>
    <s v="M066"/>
    <s v="Online"/>
    <n v="35"/>
    <s v="Engineer"/>
    <n v="135"/>
    <n v="1"/>
    <n v="6374.82"/>
    <d v="2024-11-04T08:09:26"/>
    <n v="17"/>
    <s v="Friday"/>
    <n v="-0.52880892070261498"/>
    <b v="0"/>
    <b v="0"/>
    <b v="1"/>
    <n v="0"/>
    <m/>
    <n v="0"/>
    <m/>
  </r>
  <r>
    <s v="TX000073"/>
    <s v="AC00282"/>
    <n v="24.77"/>
    <d v="2023-07-04T18:20:33"/>
    <s v="Debit"/>
    <x v="35"/>
    <s v="D000180"/>
    <s v="9.230.41.239"/>
    <s v="M070"/>
    <s v="ATM"/>
    <n v="62"/>
    <s v="Retired"/>
    <n v="55"/>
    <n v="1"/>
    <n v="5866.01"/>
    <d v="2024-11-04T08:12:15"/>
    <n v="18"/>
    <s v="Tuesday"/>
    <n v="-0.93450004598575398"/>
    <b v="0"/>
    <b v="0"/>
    <b v="1"/>
    <n v="0"/>
    <m/>
    <n v="0"/>
    <m/>
  </r>
  <r>
    <s v="TX000074"/>
    <s v="AC00110"/>
    <n v="233.92"/>
    <d v="2023-10-20T16:54:28"/>
    <s v="Credit"/>
    <x v="36"/>
    <s v="D000295"/>
    <s v="152.140.239.181"/>
    <s v="M046"/>
    <s v="Online"/>
    <n v="26"/>
    <s v="Student"/>
    <n v="280"/>
    <n v="1"/>
    <n v="6537.62"/>
    <d v="2024-11-04T08:08:45"/>
    <n v="16"/>
    <s v="Friday"/>
    <n v="-0.218101035069101"/>
    <b v="0"/>
    <b v="0"/>
    <b v="1"/>
    <n v="0"/>
    <m/>
    <n v="0"/>
    <m/>
  </r>
  <r>
    <s v="TX000075"/>
    <s v="AC00265"/>
    <n v="1212.51"/>
    <d v="2023-10-04T16:36:29"/>
    <s v="Debit"/>
    <x v="7"/>
    <s v="D000231"/>
    <s v="193.83.0.183"/>
    <s v="M036"/>
    <s v="Branch"/>
    <n v="20"/>
    <s v="Student"/>
    <n v="24"/>
    <n v="1"/>
    <n v="605.95000000000005"/>
    <d v="2024-11-04T08:06:51"/>
    <n v="16"/>
    <s v="Wednesday"/>
    <n v="3.1338516691763001"/>
    <b v="1"/>
    <b v="0"/>
    <b v="1"/>
    <n v="1"/>
    <m/>
    <n v="1"/>
    <m/>
  </r>
  <r>
    <s v="TX000076"/>
    <s v="AC00239"/>
    <n v="232.12"/>
    <d v="2023-12-28T17:31:03"/>
    <s v="Debit"/>
    <x v="32"/>
    <s v="D000073"/>
    <s v="156.173.170.140"/>
    <s v="M066"/>
    <s v="ATM"/>
    <n v="37"/>
    <s v="Engineer"/>
    <n v="51"/>
    <n v="1"/>
    <n v="6689.87"/>
    <d v="2024-11-04T08:09:17"/>
    <n v="17"/>
    <s v="Thursday"/>
    <n v="-0.224266553690425"/>
    <b v="0"/>
    <b v="0"/>
    <b v="1"/>
    <n v="0"/>
    <m/>
    <n v="0"/>
    <m/>
  </r>
  <r>
    <s v="TX000077"/>
    <s v="AC00007"/>
    <n v="162.63"/>
    <d v="2023-06-12T17:53:52"/>
    <s v="Debit"/>
    <x v="31"/>
    <s v="D000070"/>
    <s v="60.153.124.80"/>
    <s v="M060"/>
    <s v="Online"/>
    <n v="22"/>
    <s v="Student"/>
    <n v="113"/>
    <n v="1"/>
    <n v="634.16999999999996"/>
    <d v="2024-11-04T08:08:22"/>
    <n v="17"/>
    <s v="Monday"/>
    <n v="-0.46228982535477198"/>
    <b v="0"/>
    <b v="0"/>
    <b v="1"/>
    <n v="0"/>
    <m/>
    <n v="0"/>
    <m/>
  </r>
  <r>
    <s v="TX000078"/>
    <s v="AC00022"/>
    <n v="91.53"/>
    <d v="2023-03-13T16:32:12"/>
    <s v="Debit"/>
    <x v="20"/>
    <s v="D000363"/>
    <s v="94.37.250.128"/>
    <s v="M095"/>
    <s v="Branch"/>
    <n v="44"/>
    <s v="Doctor"/>
    <n v="69"/>
    <n v="1"/>
    <n v="14676.05"/>
    <d v="2024-11-04T08:11:36"/>
    <n v="16"/>
    <s v="Monday"/>
    <n v="-0.70582781089708202"/>
    <b v="0"/>
    <b v="0"/>
    <b v="1"/>
    <n v="0"/>
    <m/>
    <n v="0"/>
    <m/>
  </r>
  <r>
    <s v="TX000079"/>
    <s v="AC00464"/>
    <n v="120.29"/>
    <d v="2023-12-18T18:46:27"/>
    <s v="Debit"/>
    <x v="19"/>
    <s v="D000561"/>
    <s v="162.198.218.92"/>
    <s v="M045"/>
    <s v="Branch"/>
    <n v="19"/>
    <s v="Student"/>
    <n v="77"/>
    <n v="1"/>
    <n v="1362.39"/>
    <d v="2024-11-04T08:06:50"/>
    <n v="18"/>
    <s v="Monday"/>
    <n v="-0.60731652448081097"/>
    <b v="0"/>
    <b v="0"/>
    <b v="1"/>
    <n v="0"/>
    <m/>
    <n v="0"/>
    <m/>
  </r>
  <r>
    <s v="TX000080"/>
    <s v="AC00014"/>
    <n v="174.25"/>
    <d v="2023-07-17T18:54:31"/>
    <s v="Debit"/>
    <x v="6"/>
    <s v="D000375"/>
    <s v="130.92.201.49"/>
    <s v="M032"/>
    <s v="Online"/>
    <n v="50"/>
    <s v="Doctor"/>
    <n v="67"/>
    <n v="1"/>
    <n v="10528.34"/>
    <d v="2024-11-04T08:10:29"/>
    <n v="18"/>
    <s v="Monday"/>
    <n v="-0.42248797736600102"/>
    <b v="0"/>
    <b v="0"/>
    <b v="1"/>
    <n v="0"/>
    <m/>
    <n v="0"/>
    <m/>
  </r>
  <r>
    <s v="TX000081"/>
    <s v="AC00406"/>
    <n v="183.71"/>
    <d v="2023-06-19T18:22:10"/>
    <s v="Debit"/>
    <x v="13"/>
    <s v="D000488"/>
    <s v="86.103.2.29"/>
    <s v="M074"/>
    <s v="ATM"/>
    <n v="38"/>
    <s v="Engineer"/>
    <n v="102"/>
    <n v="1"/>
    <n v="552.52"/>
    <d v="2024-11-04T08:09:51"/>
    <n v="18"/>
    <s v="Monday"/>
    <n v="-0.39008475172281898"/>
    <b v="0"/>
    <b v="0"/>
    <b v="1"/>
    <n v="0"/>
    <m/>
    <n v="0"/>
    <m/>
  </r>
  <r>
    <s v="TX000082"/>
    <s v="AC00445"/>
    <n v="345.39"/>
    <d v="2023-10-23T17:13:57"/>
    <s v="Credit"/>
    <x v="37"/>
    <s v="D000097"/>
    <s v="131.41.45.13"/>
    <s v="M081"/>
    <s v="Online"/>
    <n v="58"/>
    <s v="Engineer"/>
    <n v="80"/>
    <n v="1"/>
    <n v="6451.96"/>
    <d v="2024-11-04T08:08:16"/>
    <n v="17"/>
    <s v="Monday"/>
    <n v="0.16371583199702"/>
    <b v="0"/>
    <b v="0"/>
    <b v="1"/>
    <n v="0"/>
    <m/>
    <n v="0"/>
    <m/>
  </r>
  <r>
    <s v="TX000083"/>
    <s v="AC00236"/>
    <n v="922.55"/>
    <d v="2023-01-23T16:32:48"/>
    <s v="Debit"/>
    <x v="8"/>
    <s v="D000206"/>
    <s v="21.97.154.92"/>
    <s v="M004"/>
    <s v="ATM"/>
    <n v="63"/>
    <s v="Retired"/>
    <n v="87"/>
    <n v="1"/>
    <n v="4715.84"/>
    <d v="2024-11-04T08:11:07"/>
    <n v="16"/>
    <s v="Monday"/>
    <n v="2.1406551250434198"/>
    <b v="1"/>
    <b v="0"/>
    <b v="1"/>
    <n v="1"/>
    <m/>
    <n v="1"/>
    <m/>
  </r>
  <r>
    <s v="TX000084"/>
    <s v="AC00220"/>
    <n v="259.91000000000003"/>
    <d v="2023-11-06T16:34:10"/>
    <s v="Debit"/>
    <x v="13"/>
    <s v="D000616"/>
    <s v="36.13.239.172"/>
    <s v="M028"/>
    <s v="Online"/>
    <n v="49"/>
    <s v="Doctor"/>
    <n v="170"/>
    <n v="1"/>
    <n v="7176.86"/>
    <d v="2024-11-04T08:09:38"/>
    <n v="16"/>
    <s v="Monday"/>
    <n v="-0.12907779675342401"/>
    <b v="0"/>
    <b v="0"/>
    <b v="1"/>
    <n v="0"/>
    <m/>
    <n v="0"/>
    <m/>
  </r>
  <r>
    <s v="TX000085"/>
    <s v="AC00140"/>
    <n v="154.71"/>
    <d v="2023-07-03T16:40:24"/>
    <s v="Debit"/>
    <x v="0"/>
    <s v="D000494"/>
    <s v="167.104.180.235"/>
    <s v="M030"/>
    <s v="Online"/>
    <n v="34"/>
    <s v="Doctor"/>
    <n v="157"/>
    <n v="1"/>
    <n v="1523.72"/>
    <d v="2024-11-04T08:09:42"/>
    <n v="16"/>
    <s v="Monday"/>
    <n v="-0.48941810728859902"/>
    <b v="0"/>
    <b v="0"/>
    <b v="1"/>
    <n v="0"/>
    <m/>
    <n v="0"/>
    <m/>
  </r>
  <r>
    <s v="TX000086"/>
    <s v="AC00098"/>
    <n v="1340.19"/>
    <d v="2023-09-29T17:22:10"/>
    <s v="Credit"/>
    <x v="14"/>
    <s v="D000574"/>
    <s v="165.114.224.47"/>
    <s v="M012"/>
    <s v="Online"/>
    <n v="54"/>
    <s v="Engineer"/>
    <n v="30"/>
    <n v="1"/>
    <n v="8654.2800000000007"/>
    <d v="2024-11-04T08:06:53"/>
    <n v="17"/>
    <s v="Friday"/>
    <n v="3.5711924567155702"/>
    <b v="1"/>
    <b v="0"/>
    <b v="1"/>
    <n v="1"/>
    <m/>
    <n v="1"/>
    <m/>
  </r>
  <r>
    <s v="TX000087"/>
    <s v="AC00303"/>
    <n v="24.56"/>
    <d v="2023-10-20T17:27:35"/>
    <s v="Debit"/>
    <x v="2"/>
    <s v="D000428"/>
    <s v="16.131.3.140"/>
    <s v="M033"/>
    <s v="Branch"/>
    <n v="64"/>
    <s v="Doctor"/>
    <n v="69"/>
    <n v="1"/>
    <n v="9869.93"/>
    <d v="2024-11-04T08:12:05"/>
    <n v="17"/>
    <s v="Friday"/>
    <n v="-0.93521935649157495"/>
    <b v="0"/>
    <b v="0"/>
    <b v="1"/>
    <n v="0"/>
    <m/>
    <n v="0"/>
    <m/>
  </r>
  <r>
    <s v="TX000088"/>
    <s v="AC00373"/>
    <n v="568.07000000000005"/>
    <d v="2023-08-28T17:03:53"/>
    <s v="Debit"/>
    <x v="38"/>
    <s v="D000018"/>
    <s v="8.243.4.138"/>
    <s v="M054"/>
    <s v="ATM"/>
    <n v="48"/>
    <s v="Doctor"/>
    <n v="115"/>
    <n v="1"/>
    <n v="10556.81"/>
    <d v="2024-11-04T08:07:32"/>
    <n v="17"/>
    <s v="Monday"/>
    <n v="0.92645899121729403"/>
    <b v="0"/>
    <b v="0"/>
    <b v="1"/>
    <n v="0"/>
    <m/>
    <n v="0"/>
    <m/>
  </r>
  <r>
    <s v="TX000089"/>
    <s v="AC00438"/>
    <n v="9.61"/>
    <d v="2023-06-22T18:37:29"/>
    <s v="Credit"/>
    <x v="0"/>
    <s v="D000453"/>
    <s v="132.127.5.187"/>
    <s v="M043"/>
    <s v="Online"/>
    <n v="58"/>
    <s v="Doctor"/>
    <n v="179"/>
    <n v="1"/>
    <n v="12883.91"/>
    <d v="2024-11-04T08:09:10"/>
    <n v="18"/>
    <s v="Thursday"/>
    <n v="-0.98642741392979605"/>
    <b v="0"/>
    <b v="0"/>
    <b v="1"/>
    <n v="0"/>
    <m/>
    <n v="0"/>
    <m/>
  </r>
  <r>
    <s v="TX000090"/>
    <s v="AC00437"/>
    <n v="392.96"/>
    <d v="2023-11-20T16:28:09"/>
    <s v="Debit"/>
    <x v="31"/>
    <s v="D000141"/>
    <s v="186.54.68.246"/>
    <s v="M022"/>
    <s v="Online"/>
    <n v="24"/>
    <s v="Student"/>
    <n v="100"/>
    <n v="1"/>
    <n v="791.65"/>
    <d v="2024-11-04T08:08:38"/>
    <n v="16"/>
    <s v="Monday"/>
    <n v="0.32665678800612902"/>
    <b v="0"/>
    <b v="0"/>
    <b v="1"/>
    <n v="0"/>
    <m/>
    <n v="0"/>
    <m/>
  </r>
  <r>
    <s v="TX000091"/>
    <s v="AC00106"/>
    <n v="716.93"/>
    <d v="2023-09-14T16:49:33"/>
    <s v="Credit"/>
    <x v="20"/>
    <s v="D000322"/>
    <s v="101.223.82.253"/>
    <s v="M052"/>
    <s v="Online"/>
    <n v="60"/>
    <s v="Retired"/>
    <n v="34"/>
    <n v="1"/>
    <n v="4064.02"/>
    <d v="2024-11-04T08:08:12"/>
    <n v="16"/>
    <s v="Thursday"/>
    <n v="1.4363473812008101"/>
    <b v="0"/>
    <b v="0"/>
    <b v="1"/>
    <n v="0"/>
    <m/>
    <n v="0"/>
    <m/>
  </r>
  <r>
    <s v="TX000092"/>
    <s v="AC00310"/>
    <n v="223.85"/>
    <d v="2023-10-02T16:36:10"/>
    <s v="Debit"/>
    <x v="31"/>
    <s v="D000481"/>
    <s v="133.223.159.151"/>
    <s v="M009"/>
    <s v="ATM"/>
    <n v="53"/>
    <s v="Engineer"/>
    <n v="55"/>
    <n v="4"/>
    <n v="2929.91"/>
    <d v="2024-11-04T08:08:01"/>
    <n v="16"/>
    <s v="Monday"/>
    <n v="-0.25259368646728703"/>
    <b v="0"/>
    <b v="1"/>
    <b v="1"/>
    <n v="1"/>
    <m/>
    <n v="0"/>
    <m/>
  </r>
  <r>
    <s v="TX000093"/>
    <s v="AC00149"/>
    <n v="230.66"/>
    <d v="2023-03-27T18:16:04"/>
    <s v="Debit"/>
    <x v="1"/>
    <s v="D000526"/>
    <s v="60.43.160.195"/>
    <s v="M049"/>
    <s v="Branch"/>
    <n v="21"/>
    <s v="Student"/>
    <n v="135"/>
    <n v="1"/>
    <n v="618.04999999999995"/>
    <d v="2024-11-04T08:10:44"/>
    <n v="18"/>
    <s v="Monday"/>
    <n v="-0.22926747434994399"/>
    <b v="0"/>
    <b v="0"/>
    <b v="1"/>
    <n v="0"/>
    <m/>
    <n v="0"/>
    <m/>
  </r>
  <r>
    <s v="TX000094"/>
    <s v="AC00373"/>
    <n v="442.12"/>
    <d v="2023-12-21T16:37:03"/>
    <s v="Debit"/>
    <x v="16"/>
    <s v="D000645"/>
    <s v="168.36.49.167"/>
    <s v="M047"/>
    <s v="Online"/>
    <n v="19"/>
    <s v="Student"/>
    <n v="260"/>
    <n v="1"/>
    <n v="1375.8"/>
    <d v="2024-11-04T08:08:21"/>
    <n v="16"/>
    <s v="Thursday"/>
    <n v="0.49504395213074098"/>
    <b v="0"/>
    <b v="0"/>
    <b v="1"/>
    <n v="0"/>
    <m/>
    <n v="0"/>
    <m/>
  </r>
  <r>
    <s v="TX000095"/>
    <s v="AC00425"/>
    <n v="644.16999999999996"/>
    <d v="2023-03-02T16:05:09"/>
    <s v="Debit"/>
    <x v="25"/>
    <s v="D000178"/>
    <s v="165.38.56.205"/>
    <s v="M093"/>
    <s v="ATM"/>
    <n v="29"/>
    <s v="Engineer"/>
    <n v="72"/>
    <n v="1"/>
    <n v="1143.52"/>
    <d v="2024-11-04T08:08:04"/>
    <n v="16"/>
    <s v="Thursday"/>
    <n v="1.1871234173743901"/>
    <b v="0"/>
    <b v="0"/>
    <b v="1"/>
    <n v="0"/>
    <m/>
    <n v="0"/>
    <m/>
  </r>
  <r>
    <s v="TX000096"/>
    <s v="AC00010"/>
    <n v="508.68"/>
    <d v="2023-06-26T16:16:50"/>
    <s v="Credit"/>
    <x v="2"/>
    <s v="D000622"/>
    <s v="193.108.17.115"/>
    <s v="M048"/>
    <s v="Branch"/>
    <n v="51"/>
    <s v="Engineer"/>
    <n v="127"/>
    <n v="1"/>
    <n v="7708.41"/>
    <d v="2024-11-04T08:09:32"/>
    <n v="16"/>
    <s v="Monday"/>
    <n v="0.72303112959482196"/>
    <b v="0"/>
    <b v="0"/>
    <b v="1"/>
    <n v="0"/>
    <m/>
    <n v="0"/>
    <m/>
  </r>
  <r>
    <s v="TX000097"/>
    <s v="AC00348"/>
    <n v="858.63"/>
    <d v="2023-04-18T17:27:23"/>
    <s v="Credit"/>
    <x v="23"/>
    <s v="D000019"/>
    <s v="175.230.206.232"/>
    <s v="M002"/>
    <s v="Branch"/>
    <n v="27"/>
    <s v="Student"/>
    <n v="185"/>
    <n v="1"/>
    <n v="1872.96"/>
    <d v="2024-11-04T08:10:47"/>
    <n v="17"/>
    <s v="Tuesday"/>
    <n v="1.92171070822395"/>
    <b v="0"/>
    <b v="0"/>
    <b v="1"/>
    <n v="0"/>
    <m/>
    <n v="0"/>
    <m/>
  </r>
  <r>
    <s v="TX000098"/>
    <s v="AC00011"/>
    <n v="25.36"/>
    <d v="2023-07-17T17:08:24"/>
    <s v="Debit"/>
    <x v="12"/>
    <s v="D000192"/>
    <s v="62.152.134.92"/>
    <s v="M007"/>
    <s v="ATM"/>
    <n v="57"/>
    <s v="Engineer"/>
    <n v="78"/>
    <n v="1"/>
    <n v="201.04"/>
    <d v="2024-11-04T08:11:05"/>
    <n v="17"/>
    <s v="Monday"/>
    <n v="-0.93247912599320804"/>
    <b v="0"/>
    <b v="0"/>
    <b v="1"/>
    <n v="0"/>
    <m/>
    <n v="0"/>
    <m/>
  </r>
  <r>
    <s v="TX000099"/>
    <s v="AC00453"/>
    <n v="147.62"/>
    <d v="2023-09-01T17:26:02"/>
    <s v="Debit"/>
    <x v="27"/>
    <s v="D000093"/>
    <s v="149.84.108.18"/>
    <s v="M028"/>
    <s v="Branch"/>
    <n v="71"/>
    <s v="Retired"/>
    <n v="133"/>
    <n v="1"/>
    <n v="2115.8000000000002"/>
    <d v="2024-11-04T08:07:22"/>
    <n v="17"/>
    <s v="Friday"/>
    <n v="-0.51370340008037096"/>
    <b v="0"/>
    <b v="0"/>
    <b v="1"/>
    <n v="0"/>
    <m/>
    <n v="0"/>
    <m/>
  </r>
  <r>
    <s v="TX000100"/>
    <s v="AC00178"/>
    <n v="115.02"/>
    <d v="2023-09-11T16:19:04"/>
    <s v="Debit"/>
    <x v="25"/>
    <s v="D000528"/>
    <s v="134.222.122.238"/>
    <s v="M004"/>
    <s v="Branch"/>
    <n v="37"/>
    <s v="Doctor"/>
    <n v="175"/>
    <n v="1"/>
    <n v="7643.66"/>
    <d v="2024-11-04T08:08:38"/>
    <n v="16"/>
    <s v="Monday"/>
    <n v="-0.62536779288879996"/>
    <b v="0"/>
    <b v="0"/>
    <b v="1"/>
    <n v="0"/>
    <m/>
    <n v="0"/>
    <m/>
  </r>
  <r>
    <s v="TX000101"/>
    <s v="AC00265"/>
    <n v="383.37"/>
    <d v="2023-01-24T17:23:56"/>
    <s v="Debit"/>
    <x v="18"/>
    <s v="D000321"/>
    <s v="18.72.115.111"/>
    <s v="M066"/>
    <s v="Branch"/>
    <n v="30"/>
    <s v="Engineer"/>
    <n v="24"/>
    <n v="1"/>
    <n v="8901.93"/>
    <d v="2024-11-04T08:11:07"/>
    <n v="17"/>
    <s v="Tuesday"/>
    <n v="0.29380827490696199"/>
    <b v="0"/>
    <b v="0"/>
    <b v="1"/>
    <n v="0"/>
    <m/>
    <n v="0"/>
    <m/>
  </r>
  <r>
    <s v="TX000102"/>
    <s v="AC00018"/>
    <n v="98.54"/>
    <d v="2023-08-11T16:18:46"/>
    <s v="Credit"/>
    <x v="39"/>
    <s v="D000528"/>
    <s v="34.125.226.63"/>
    <s v="M095"/>
    <s v="Online"/>
    <n v="20"/>
    <s v="Student"/>
    <n v="167"/>
    <n v="1"/>
    <n v="9383.43"/>
    <d v="2024-11-04T08:10:02"/>
    <n v="16"/>
    <s v="Friday"/>
    <n v="-0.68181654115514601"/>
    <b v="0"/>
    <b v="0"/>
    <b v="1"/>
    <n v="0"/>
    <m/>
    <n v="0"/>
    <m/>
  </r>
  <r>
    <s v="TX000103"/>
    <s v="AC00075"/>
    <n v="83.24"/>
    <d v="2023-10-16T18:35:11"/>
    <s v="Credit"/>
    <x v="18"/>
    <s v="D000607"/>
    <s v="21.28.32.1"/>
    <s v="M009"/>
    <s v="Branch"/>
    <n v="55"/>
    <s v="Doctor"/>
    <n v="164"/>
    <n v="1"/>
    <n v="1181.31"/>
    <d v="2024-11-04T08:10:52"/>
    <n v="18"/>
    <s v="Monday"/>
    <n v="-0.73422344943640305"/>
    <b v="0"/>
    <b v="0"/>
    <b v="1"/>
    <n v="0"/>
    <m/>
    <n v="0"/>
    <m/>
  </r>
  <r>
    <s v="TX000104"/>
    <s v="AC00464"/>
    <n v="196.16"/>
    <d v="2023-02-24T16:29:23"/>
    <s v="Debit"/>
    <x v="33"/>
    <s v="D000164"/>
    <s v="204.34.243.93"/>
    <s v="M099"/>
    <s v="Branch"/>
    <n v="27"/>
    <s v="Engineer"/>
    <n v="146"/>
    <n v="1"/>
    <n v="9418.86"/>
    <d v="2024-11-04T08:08:32"/>
    <n v="16"/>
    <s v="Friday"/>
    <n v="-0.34743991459199203"/>
    <b v="0"/>
    <b v="0"/>
    <b v="1"/>
    <n v="0"/>
    <m/>
    <n v="0"/>
    <m/>
  </r>
  <r>
    <s v="TX000105"/>
    <s v="AC00170"/>
    <n v="129.94"/>
    <d v="2023-01-02T16:36:02"/>
    <s v="Debit"/>
    <x v="17"/>
    <s v="D000647"/>
    <s v="111.226.226.202"/>
    <s v="M045"/>
    <s v="ATM"/>
    <n v="32"/>
    <s v="Engineer"/>
    <n v="235"/>
    <n v="1"/>
    <n v="7954.92"/>
    <d v="2024-11-04T08:06:35"/>
    <n v="16"/>
    <s v="Monday"/>
    <n v="-0.574262494094267"/>
    <b v="0"/>
    <b v="0"/>
    <b v="1"/>
    <n v="0"/>
    <m/>
    <n v="0"/>
    <m/>
  </r>
  <r>
    <s v="TX000106"/>
    <s v="AC00235"/>
    <n v="306.89999999999998"/>
    <d v="2023-11-30T16:31:03"/>
    <s v="Debit"/>
    <x v="40"/>
    <s v="D000078"/>
    <s v="96.115.67.230"/>
    <s v="M047"/>
    <s v="Online"/>
    <n v="46"/>
    <s v="Engineer"/>
    <n v="51"/>
    <n v="1"/>
    <n v="9418.08"/>
    <d v="2024-11-04T08:10:48"/>
    <n v="16"/>
    <s v="Thursday"/>
    <n v="3.1876492144369203E-2"/>
    <b v="0"/>
    <b v="0"/>
    <b v="1"/>
    <n v="0"/>
    <m/>
    <n v="0"/>
    <m/>
  </r>
  <r>
    <s v="TX000107"/>
    <s v="AC00013"/>
    <n v="114.98"/>
    <d v="2023-11-01T16:52:01"/>
    <s v="Debit"/>
    <x v="6"/>
    <s v="D000182"/>
    <s v="115.218.48.83"/>
    <s v="M032"/>
    <s v="Online"/>
    <n v="59"/>
    <s v="Retired"/>
    <n v="80"/>
    <n v="1"/>
    <n v="6144.68"/>
    <d v="2024-11-04T08:09:24"/>
    <n v="16"/>
    <s v="Wednesday"/>
    <n v="-0.62550480441371803"/>
    <b v="0"/>
    <b v="0"/>
    <b v="1"/>
    <n v="0"/>
    <m/>
    <n v="0"/>
    <m/>
  </r>
  <r>
    <s v="TX000108"/>
    <s v="AC00397"/>
    <n v="756.59"/>
    <d v="2023-03-06T16:47:02"/>
    <s v="Debit"/>
    <x v="30"/>
    <s v="D000028"/>
    <s v="174.61.77.54"/>
    <s v="M012"/>
    <s v="Branch"/>
    <n v="27"/>
    <s v="Student"/>
    <n v="17"/>
    <n v="1"/>
    <n v="420.65"/>
    <d v="2024-11-04T08:11:40"/>
    <n v="16"/>
    <s v="Monday"/>
    <n v="1.57219430815732"/>
    <b v="0"/>
    <b v="0"/>
    <b v="1"/>
    <n v="0"/>
    <m/>
    <n v="0"/>
    <m/>
  </r>
  <r>
    <s v="TX000109"/>
    <s v="AC00423"/>
    <n v="503.76"/>
    <d v="2023-11-27T18:32:49"/>
    <s v="Debit"/>
    <x v="16"/>
    <s v="D000518"/>
    <s v="216.151.64.40"/>
    <s v="M083"/>
    <s v="Online"/>
    <n v="22"/>
    <s v="Student"/>
    <n v="35"/>
    <n v="1"/>
    <n v="447.82"/>
    <d v="2024-11-04T08:09:22"/>
    <n v="18"/>
    <s v="Monday"/>
    <n v="0.70617871202986904"/>
    <b v="0"/>
    <b v="0"/>
    <b v="1"/>
    <n v="0"/>
    <m/>
    <n v="0"/>
    <m/>
  </r>
  <r>
    <s v="TX000110"/>
    <s v="AC00154"/>
    <n v="143.03"/>
    <d v="2023-07-31T16:37:46"/>
    <s v="Debit"/>
    <x v="25"/>
    <s v="D000469"/>
    <s v="197.162.55.147"/>
    <s v="M055"/>
    <s v="ATM"/>
    <n v="63"/>
    <s v="Retired"/>
    <n v="147"/>
    <n v="1"/>
    <n v="7981.45"/>
    <d v="2024-11-04T08:10:42"/>
    <n v="16"/>
    <s v="Monday"/>
    <n v="-0.52942547256474803"/>
    <b v="0"/>
    <b v="0"/>
    <b v="1"/>
    <n v="0"/>
    <m/>
    <n v="0"/>
    <m/>
  </r>
  <r>
    <s v="TX000111"/>
    <s v="AC00068"/>
    <n v="1045.22"/>
    <d v="2023-11-22T16:13:39"/>
    <s v="Debit"/>
    <x v="15"/>
    <s v="D000400"/>
    <s v="77.7.223.184"/>
    <s v="M077"/>
    <s v="ATM"/>
    <n v="53"/>
    <s v="Retired"/>
    <n v="73"/>
    <n v="1"/>
    <n v="1829.9"/>
    <d v="2024-11-04T08:07:35"/>
    <n v="16"/>
    <s v="Wednesday"/>
    <n v="2.5608352190866701"/>
    <b v="1"/>
    <b v="0"/>
    <b v="1"/>
    <n v="1"/>
    <m/>
    <n v="1"/>
    <m/>
  </r>
  <r>
    <s v="TX000112"/>
    <s v="AC00318"/>
    <n v="245.54"/>
    <d v="2023-03-21T16:29:31"/>
    <s v="Debit"/>
    <x v="22"/>
    <s v="D000536"/>
    <s v="44.197.126.59"/>
    <s v="M089"/>
    <s v="ATM"/>
    <n v="25"/>
    <s v="Student"/>
    <n v="180"/>
    <n v="1"/>
    <n v="985.06"/>
    <d v="2024-11-04T08:10:26"/>
    <n v="16"/>
    <s v="Tuesday"/>
    <n v="-0.17829918708032899"/>
    <b v="0"/>
    <b v="0"/>
    <b v="1"/>
    <n v="0"/>
    <m/>
    <n v="0"/>
    <m/>
  </r>
  <r>
    <s v="TX000113"/>
    <s v="AC00396"/>
    <n v="254.37"/>
    <d v="2023-04-20T18:26:50"/>
    <s v="Credit"/>
    <x v="34"/>
    <s v="D000477"/>
    <s v="143.212.47.226"/>
    <s v="M012"/>
    <s v="Online"/>
    <n v="51"/>
    <s v="Engineer"/>
    <n v="174"/>
    <n v="1"/>
    <n v="8849.26"/>
    <d v="2024-11-04T08:06:56"/>
    <n v="18"/>
    <s v="Thursday"/>
    <n v="-0.14805389295461099"/>
    <b v="0"/>
    <b v="0"/>
    <b v="1"/>
    <n v="0"/>
    <m/>
    <n v="0"/>
    <m/>
  </r>
  <r>
    <s v="TX000114"/>
    <s v="AC00121"/>
    <n v="213.76"/>
    <d v="2023-03-01T17:52:14"/>
    <s v="Credit"/>
    <x v="34"/>
    <s v="D000574"/>
    <s v="51.250.122.123"/>
    <s v="M009"/>
    <s v="ATM"/>
    <n v="78"/>
    <s v="Retired"/>
    <n v="282"/>
    <n v="1"/>
    <n v="3528.72"/>
    <d v="2024-11-04T08:09:36"/>
    <n v="17"/>
    <s v="Wednesday"/>
    <n v="-0.28715484362793298"/>
    <b v="0"/>
    <b v="0"/>
    <b v="1"/>
    <n v="0"/>
    <m/>
    <n v="0"/>
    <m/>
  </r>
  <r>
    <s v="TX000115"/>
    <s v="AC00336"/>
    <n v="327.86"/>
    <d v="2023-02-10T16:52:48"/>
    <s v="Debit"/>
    <x v="41"/>
    <s v="D000655"/>
    <s v="188.124.181.12"/>
    <s v="M051"/>
    <s v="Online"/>
    <n v="40"/>
    <s v="Engineer"/>
    <n v="104"/>
    <n v="1"/>
    <n v="480.16"/>
    <d v="2024-11-04T08:06:30"/>
    <n v="16"/>
    <s v="Friday"/>
    <n v="0.103670531201567"/>
    <b v="0"/>
    <b v="0"/>
    <b v="1"/>
    <n v="0"/>
    <m/>
    <n v="0"/>
    <m/>
  </r>
  <r>
    <s v="TX000116"/>
    <s v="AC00468"/>
    <n v="2.5"/>
    <d v="2023-07-21T16:43:11"/>
    <s v="Debit"/>
    <x v="0"/>
    <s v="D000673"/>
    <s v="44.73.3.217"/>
    <s v="M042"/>
    <s v="Online"/>
    <n v="47"/>
    <s v="Doctor"/>
    <n v="107"/>
    <n v="1"/>
    <n v="12145.27"/>
    <d v="2024-11-04T08:09:53"/>
    <n v="16"/>
    <s v="Friday"/>
    <n v="-1.0107812124840201"/>
    <b v="0"/>
    <b v="0"/>
    <b v="1"/>
    <n v="0"/>
    <m/>
    <n v="0"/>
    <m/>
  </r>
  <r>
    <s v="TX000117"/>
    <s v="AC00282"/>
    <n v="300.08"/>
    <d v="2023-10-09T17:02:43"/>
    <s v="Credit"/>
    <x v="14"/>
    <s v="D000266"/>
    <s v="85.240.254.83"/>
    <s v="M040"/>
    <s v="Online"/>
    <n v="68"/>
    <s v="Doctor"/>
    <n v="47"/>
    <n v="1"/>
    <n v="13546.75"/>
    <d v="2024-11-04T08:12:18"/>
    <n v="17"/>
    <s v="Monday"/>
    <n v="8.5160271457960998E-3"/>
    <b v="0"/>
    <b v="0"/>
    <b v="1"/>
    <n v="0"/>
    <m/>
    <n v="0"/>
    <m/>
  </r>
  <r>
    <s v="TX000118"/>
    <s v="AC00498"/>
    <n v="56.98"/>
    <d v="2024-01-01T16:34:10"/>
    <s v="Credit"/>
    <x v="5"/>
    <s v="D000256"/>
    <s v="101.90.40.193"/>
    <s v="M086"/>
    <s v="ATM"/>
    <n v="43"/>
    <s v="Engineer"/>
    <n v="122"/>
    <n v="2"/>
    <n v="5688.37"/>
    <d v="2024-11-04T08:07:42"/>
    <n v="16"/>
    <s v="Monday"/>
    <n v="-0.82417151554527801"/>
    <b v="0"/>
    <b v="1"/>
    <b v="1"/>
    <n v="1"/>
    <m/>
    <n v="0"/>
    <m/>
  </r>
  <r>
    <s v="TX000119"/>
    <s v="AC00085"/>
    <n v="407.65"/>
    <d v="2023-07-07T16:11:38"/>
    <s v="Debit"/>
    <x v="35"/>
    <s v="D000544"/>
    <s v="98.255.160.110"/>
    <s v="M041"/>
    <s v="Online"/>
    <n v="26"/>
    <s v="Engineer"/>
    <n v="62"/>
    <n v="1"/>
    <n v="8346.64"/>
    <d v="2024-11-04T08:06:30"/>
    <n v="16"/>
    <s v="Friday"/>
    <n v="0.37697427053238097"/>
    <b v="0"/>
    <b v="0"/>
    <b v="1"/>
    <n v="0"/>
    <m/>
    <n v="0"/>
    <m/>
  </r>
  <r>
    <s v="TX000120"/>
    <s v="AC00092"/>
    <n v="115.83"/>
    <d v="2023-05-22T17:09:52"/>
    <s v="Debit"/>
    <x v="41"/>
    <s v="D000663"/>
    <s v="124.6.134.78"/>
    <s v="M086"/>
    <s v="Branch"/>
    <n v="39"/>
    <s v="Engineer"/>
    <n v="167"/>
    <n v="1"/>
    <n v="6481.04"/>
    <d v="2024-11-04T08:10:02"/>
    <n v="17"/>
    <s v="Monday"/>
    <n v="-0.622593309509204"/>
    <b v="0"/>
    <b v="0"/>
    <b v="1"/>
    <n v="0"/>
    <m/>
    <n v="0"/>
    <m/>
  </r>
  <r>
    <s v="TX000121"/>
    <s v="AC00295"/>
    <n v="53.57"/>
    <d v="2023-08-16T16:17:12"/>
    <s v="Debit"/>
    <x v="1"/>
    <s v="D000489"/>
    <s v="45.64.74.86"/>
    <s v="M025"/>
    <s v="ATM"/>
    <n v="69"/>
    <s v="Retired"/>
    <n v="121"/>
    <n v="1"/>
    <n v="1651.33"/>
    <d v="2024-11-04T08:08:43"/>
    <n v="16"/>
    <s v="Wednesday"/>
    <n v="-0.83585174804456497"/>
    <b v="0"/>
    <b v="0"/>
    <b v="1"/>
    <n v="0"/>
    <m/>
    <n v="0"/>
    <m/>
  </r>
  <r>
    <s v="TX000122"/>
    <s v="AC00358"/>
    <n v="63.34"/>
    <d v="2023-11-17T16:02:02"/>
    <s v="Credit"/>
    <x v="8"/>
    <s v="D000434"/>
    <s v="69.82.61.135"/>
    <s v="M028"/>
    <s v="Online"/>
    <n v="46"/>
    <s v="Doctor"/>
    <n v="165"/>
    <n v="1"/>
    <n v="11174.94"/>
    <d v="2024-11-04T08:10:13"/>
    <n v="16"/>
    <s v="Friday"/>
    <n v="-0.80238668308326599"/>
    <b v="0"/>
    <b v="0"/>
    <b v="1"/>
    <n v="0"/>
    <m/>
    <n v="0"/>
    <m/>
  </r>
  <r>
    <s v="TX000123"/>
    <s v="AC00311"/>
    <n v="317.87"/>
    <d v="2023-05-22T17:29:35"/>
    <s v="Debit"/>
    <x v="8"/>
    <s v="D000314"/>
    <s v="79.227.202.117"/>
    <s v="M076"/>
    <s v="Online"/>
    <n v="27"/>
    <s v="Student"/>
    <n v="91"/>
    <n v="1"/>
    <n v="145.5"/>
    <d v="2024-11-04T08:11:32"/>
    <n v="17"/>
    <s v="Monday"/>
    <n v="6.9451902853217895E-2"/>
    <b v="0"/>
    <b v="0"/>
    <b v="1"/>
    <n v="0"/>
    <m/>
    <n v="0"/>
    <m/>
  </r>
  <r>
    <s v="TX000124"/>
    <s v="AC00066"/>
    <n v="331.65"/>
    <d v="2023-08-25T17:26:07"/>
    <s v="Debit"/>
    <x v="42"/>
    <s v="D000037"/>
    <s v="26.240.219.199"/>
    <s v="M006"/>
    <s v="Online"/>
    <n v="41"/>
    <s v="Engineer"/>
    <n v="61"/>
    <n v="1"/>
    <n v="4172.57"/>
    <d v="2024-11-04T08:11:00"/>
    <n v="17"/>
    <s v="Friday"/>
    <n v="0.116652373187578"/>
    <b v="0"/>
    <b v="0"/>
    <b v="1"/>
    <n v="0"/>
    <m/>
    <n v="0"/>
    <m/>
  </r>
  <r>
    <s v="TX000125"/>
    <s v="AC00340"/>
    <n v="5.04"/>
    <d v="2023-11-27T16:38:34"/>
    <s v="Debit"/>
    <x v="38"/>
    <s v="D000021"/>
    <s v="63.67.150.226"/>
    <s v="M001"/>
    <s v="ATM"/>
    <n v="56"/>
    <s v="Retired"/>
    <n v="41"/>
    <n v="1"/>
    <n v="5558.36"/>
    <d v="2024-11-04T08:10:48"/>
    <n v="16"/>
    <s v="Monday"/>
    <n v="-1.0020809806517099"/>
    <b v="0"/>
    <b v="0"/>
    <b v="1"/>
    <n v="0"/>
    <m/>
    <n v="0"/>
    <m/>
  </r>
  <r>
    <s v="TX000126"/>
    <s v="AC00284"/>
    <n v="214.54"/>
    <d v="2023-08-04T17:46:44"/>
    <s v="Credit"/>
    <x v="8"/>
    <s v="D000112"/>
    <s v="195.226.203.234"/>
    <s v="M026"/>
    <s v="Online"/>
    <n v="70"/>
    <s v="Doctor"/>
    <n v="247"/>
    <n v="1"/>
    <n v="11151.53"/>
    <d v="2024-11-04T08:11:56"/>
    <n v="17"/>
    <s v="Friday"/>
    <n v="-0.28448311889202599"/>
    <b v="0"/>
    <b v="0"/>
    <b v="1"/>
    <n v="0"/>
    <m/>
    <n v="0"/>
    <m/>
  </r>
  <r>
    <s v="TX000127"/>
    <s v="AC00208"/>
    <n v="598.80999999999995"/>
    <d v="2023-09-04T16:48:35"/>
    <s v="Debit"/>
    <x v="26"/>
    <s v="D000042"/>
    <s v="92.214.76.157"/>
    <s v="M081"/>
    <s v="Branch"/>
    <n v="57"/>
    <s v="Doctor"/>
    <n v="158"/>
    <n v="1"/>
    <n v="1415.52"/>
    <d v="2024-11-04T08:10:13"/>
    <n v="16"/>
    <s v="Monday"/>
    <n v="1.0317523481170201"/>
    <b v="0"/>
    <b v="0"/>
    <b v="1"/>
    <n v="0"/>
    <m/>
    <n v="0"/>
    <m/>
  </r>
  <r>
    <s v="TX000128"/>
    <s v="AC00176"/>
    <n v="841.28"/>
    <d v="2023-08-09T17:34:26"/>
    <s v="Debit"/>
    <x v="28"/>
    <s v="D000276"/>
    <s v="101.223.82.253"/>
    <s v="M083"/>
    <s v="Online"/>
    <n v="26"/>
    <s v="Student"/>
    <n v="80"/>
    <n v="1"/>
    <n v="1103.6400000000001"/>
    <d v="2024-11-04T08:09:58"/>
    <n v="17"/>
    <s v="Wednesday"/>
    <n v="1.8622819592906299"/>
    <b v="0"/>
    <b v="0"/>
    <b v="1"/>
    <n v="0"/>
    <m/>
    <n v="0"/>
    <m/>
  </r>
  <r>
    <s v="TX000129"/>
    <s v="AC00053"/>
    <n v="38.15"/>
    <d v="2023-09-07T16:07:40"/>
    <s v="Debit"/>
    <x v="2"/>
    <s v="D000687"/>
    <s v="77.21.150.75"/>
    <s v="M005"/>
    <s v="Online"/>
    <n v="26"/>
    <s v="Student"/>
    <n v="108"/>
    <n v="1"/>
    <n v="303.68"/>
    <d v="2024-11-04T08:07:42"/>
    <n v="16"/>
    <s v="Thursday"/>
    <n v="-0.88866969090057601"/>
    <b v="0"/>
    <b v="0"/>
    <b v="1"/>
    <n v="0"/>
    <m/>
    <n v="0"/>
    <m/>
  </r>
  <r>
    <s v="TX000130"/>
    <s v="AC00320"/>
    <n v="1036.6600000000001"/>
    <d v="2023-07-11T16:39:53"/>
    <s v="Debit"/>
    <x v="25"/>
    <s v="D000015"/>
    <s v="53.218.177.171"/>
    <s v="M062"/>
    <s v="Branch"/>
    <n v="58"/>
    <s v="Doctor"/>
    <n v="144"/>
    <n v="1"/>
    <n v="5541.57"/>
    <d v="2024-11-04T08:09:24"/>
    <n v="16"/>
    <s v="Tuesday"/>
    <n v="2.5315147527541502"/>
    <b v="1"/>
    <b v="0"/>
    <b v="1"/>
    <n v="1"/>
    <m/>
    <n v="1"/>
    <m/>
  </r>
  <r>
    <s v="TX000131"/>
    <s v="AC00382"/>
    <n v="124.72"/>
    <d v="2023-07-03T17:14:07"/>
    <s v="Debit"/>
    <x v="5"/>
    <s v="D000118"/>
    <s v="147.234.20.46"/>
    <s v="M004"/>
    <s v="Branch"/>
    <n v="33"/>
    <s v="Engineer"/>
    <n v="105"/>
    <n v="1"/>
    <n v="6309.8"/>
    <d v="2024-11-04T08:07:25"/>
    <n v="17"/>
    <s v="Monday"/>
    <n v="-0.59214249809610797"/>
    <b v="0"/>
    <b v="0"/>
    <b v="1"/>
    <n v="0"/>
    <m/>
    <n v="0"/>
    <m/>
  </r>
  <r>
    <s v="TX000132"/>
    <s v="AC00384"/>
    <n v="302.45"/>
    <d v="2023-09-25T17:13:36"/>
    <s v="Credit"/>
    <x v="25"/>
    <s v="D000052"/>
    <s v="203.99.96.114"/>
    <s v="M059"/>
    <s v="Branch"/>
    <n v="78"/>
    <s v="Retired"/>
    <n v="40"/>
    <n v="1"/>
    <n v="5133.6099999999997"/>
    <d v="2024-11-04T08:11:55"/>
    <n v="17"/>
    <s v="Monday"/>
    <n v="1.6633959997206401E-2"/>
    <b v="0"/>
    <b v="0"/>
    <b v="1"/>
    <n v="0"/>
    <m/>
    <n v="0"/>
    <m/>
  </r>
  <r>
    <s v="TX000133"/>
    <s v="AC00203"/>
    <n v="208.04"/>
    <d v="2023-11-20T17:10:02"/>
    <s v="Debit"/>
    <x v="12"/>
    <s v="D000339"/>
    <s v="65.27.212.129"/>
    <s v="M055"/>
    <s v="Online"/>
    <n v="47"/>
    <s v="Engineer"/>
    <n v="273"/>
    <n v="1"/>
    <n v="9344.98"/>
    <d v="2024-11-04T08:08:45"/>
    <n v="17"/>
    <s v="Monday"/>
    <n v="-0.30674749169125198"/>
    <b v="0"/>
    <b v="0"/>
    <b v="1"/>
    <n v="0"/>
    <m/>
    <n v="0"/>
    <m/>
  </r>
  <r>
    <s v="TX000134"/>
    <s v="AC00498"/>
    <n v="5.77"/>
    <d v="2023-11-17T17:27:07"/>
    <s v="Credit"/>
    <x v="16"/>
    <s v="D000236"/>
    <s v="85.240.254.83"/>
    <s v="M098"/>
    <s v="Branch"/>
    <n v="23"/>
    <s v="Student"/>
    <n v="254"/>
    <n v="1"/>
    <n v="1117.97"/>
    <d v="2024-11-04T08:10:53"/>
    <n v="17"/>
    <s v="Friday"/>
    <n v="-0.99958052032195499"/>
    <b v="0"/>
    <b v="0"/>
    <b v="1"/>
    <n v="0"/>
    <m/>
    <n v="0"/>
    <m/>
  </r>
  <r>
    <s v="TX000135"/>
    <s v="AC00349"/>
    <n v="381.33"/>
    <d v="2023-08-21T16:46:05"/>
    <s v="Debit"/>
    <x v="10"/>
    <s v="D000635"/>
    <s v="62.251.170.72"/>
    <s v="M034"/>
    <s v="ATM"/>
    <n v="56"/>
    <s v="Doctor"/>
    <n v="75"/>
    <n v="1"/>
    <n v="11835.35"/>
    <d v="2024-11-04T08:09:32"/>
    <n v="16"/>
    <s v="Monday"/>
    <n v="0.28682068713612802"/>
    <b v="0"/>
    <b v="0"/>
    <b v="1"/>
    <n v="0"/>
    <m/>
    <n v="0"/>
    <m/>
  </r>
  <r>
    <s v="TX000136"/>
    <s v="AC00177"/>
    <n v="16.16"/>
    <d v="2023-10-16T16:59:36"/>
    <s v="Debit"/>
    <x v="20"/>
    <s v="D000465"/>
    <s v="161.177.41.214"/>
    <s v="M065"/>
    <s v="ATM"/>
    <n v="50"/>
    <s v="Doctor"/>
    <n v="124"/>
    <n v="1"/>
    <n v="14401.17"/>
    <d v="2024-11-04T08:11:59"/>
    <n v="16"/>
    <s v="Monday"/>
    <n v="-0.96399177672442105"/>
    <b v="0"/>
    <b v="0"/>
    <b v="1"/>
    <n v="0"/>
    <m/>
    <n v="0"/>
    <m/>
  </r>
  <r>
    <s v="TX000137"/>
    <s v="AC00284"/>
    <n v="486.08"/>
    <d v="2023-06-20T17:21:50"/>
    <s v="Debit"/>
    <x v="5"/>
    <s v="D000170"/>
    <s v="138.87.180.254"/>
    <s v="M060"/>
    <s v="Online"/>
    <n v="18"/>
    <s v="Student"/>
    <n v="68"/>
    <n v="1"/>
    <n v="1748.69"/>
    <d v="2024-11-04T08:07:03"/>
    <n v="17"/>
    <s v="Tuesday"/>
    <n v="0.64561961801597201"/>
    <b v="0"/>
    <b v="0"/>
    <b v="1"/>
    <n v="0"/>
    <m/>
    <n v="0"/>
    <m/>
  </r>
  <r>
    <s v="TX000138"/>
    <s v="AC00272"/>
    <n v="336.39"/>
    <d v="2023-01-16T16:53:38"/>
    <s v="Debit"/>
    <x v="25"/>
    <s v="D000426"/>
    <s v="203.99.96.114"/>
    <s v="M003"/>
    <s v="Branch"/>
    <n v="21"/>
    <s v="Student"/>
    <n v="18"/>
    <n v="1"/>
    <n v="1000.46"/>
    <d v="2024-11-04T08:09:57"/>
    <n v="16"/>
    <s v="Monday"/>
    <n v="0.132888238890398"/>
    <b v="0"/>
    <b v="0"/>
    <b v="1"/>
    <n v="0"/>
    <m/>
    <n v="0"/>
    <m/>
  </r>
  <r>
    <s v="TX000139"/>
    <s v="AC00405"/>
    <n v="997.43"/>
    <d v="2023-11-22T16:07:19"/>
    <s v="Debit"/>
    <x v="6"/>
    <s v="D000661"/>
    <s v="100.4.40.132"/>
    <s v="M067"/>
    <s v="Online"/>
    <n v="69"/>
    <s v="Doctor"/>
    <n v="118"/>
    <n v="1"/>
    <n v="6810.05"/>
    <d v="2024-11-04T08:08:25"/>
    <n v="16"/>
    <s v="Wednesday"/>
    <n v="2.3971406996905098"/>
    <b v="1"/>
    <b v="0"/>
    <b v="1"/>
    <n v="1"/>
    <m/>
    <n v="1"/>
    <m/>
  </r>
  <r>
    <s v="TX000140"/>
    <s v="AC00385"/>
    <n v="234.57"/>
    <d v="2023-09-01T16:09:08"/>
    <s v="Debit"/>
    <x v="29"/>
    <s v="D000553"/>
    <s v="45.182.28.148"/>
    <s v="M045"/>
    <s v="Online"/>
    <n v="23"/>
    <s v="Student"/>
    <n v="120"/>
    <n v="1"/>
    <n v="263.98"/>
    <d v="2024-11-04T08:08:47"/>
    <n v="16"/>
    <s v="Friday"/>
    <n v="-0.215874597789178"/>
    <b v="0"/>
    <b v="0"/>
    <b v="1"/>
    <n v="0"/>
    <m/>
    <n v="0"/>
    <m/>
  </r>
  <r>
    <s v="TX000141"/>
    <s v="AC00403"/>
    <n v="6"/>
    <d v="2023-10-23T18:38:15"/>
    <s v="Debit"/>
    <x v="29"/>
    <s v="D000556"/>
    <s v="18.72.115.111"/>
    <s v="M090"/>
    <s v="Online"/>
    <n v="30"/>
    <s v="Doctor"/>
    <n v="246"/>
    <n v="1"/>
    <n v="5442.76"/>
    <d v="2024-11-04T08:09:43"/>
    <n v="18"/>
    <s v="Monday"/>
    <n v="-0.99879270405367404"/>
    <b v="0"/>
    <b v="0"/>
    <b v="1"/>
    <n v="0"/>
    <m/>
    <n v="0"/>
    <m/>
  </r>
  <r>
    <s v="TX000142"/>
    <s v="AC00114"/>
    <n v="1049.92"/>
    <d v="2023-10-23T16:50:33"/>
    <s v="Debit"/>
    <x v="8"/>
    <s v="D000522"/>
    <s v="121.67.144.20"/>
    <s v="M052"/>
    <s v="ATM"/>
    <n v="80"/>
    <s v="Retired"/>
    <n v="21"/>
    <n v="1"/>
    <n v="2037.85"/>
    <d v="2024-11-04T08:10:34"/>
    <n v="16"/>
    <s v="Monday"/>
    <n v="2.57693407326457"/>
    <b v="1"/>
    <b v="0"/>
    <b v="1"/>
    <n v="1"/>
    <m/>
    <n v="1"/>
    <m/>
  </r>
  <r>
    <s v="TX000143"/>
    <s v="AC00163"/>
    <n v="227.14"/>
    <d v="2023-07-03T17:42:08"/>
    <s v="Debit"/>
    <x v="27"/>
    <s v="D000439"/>
    <s v="197.162.55.147"/>
    <s v="M057"/>
    <s v="ATM"/>
    <n v="18"/>
    <s v="Student"/>
    <n v="294"/>
    <n v="1"/>
    <n v="341.94"/>
    <d v="2024-11-04T08:11:34"/>
    <n v="17"/>
    <s v="Monday"/>
    <n v="-0.24132448854275501"/>
    <b v="0"/>
    <b v="0"/>
    <b v="1"/>
    <n v="0"/>
    <m/>
    <n v="0"/>
    <m/>
  </r>
  <r>
    <s v="TX000144"/>
    <s v="AC00108"/>
    <n v="233.74"/>
    <d v="2023-10-24T16:41:00"/>
    <s v="Credit"/>
    <x v="5"/>
    <s v="D000600"/>
    <s v="96.115.67.230"/>
    <s v="M030"/>
    <s v="Online"/>
    <n v="66"/>
    <s v="Retired"/>
    <n v="17"/>
    <n v="1"/>
    <n v="1066.5899999999999"/>
    <d v="2024-11-04T08:11:17"/>
    <n v="16"/>
    <s v="Tuesday"/>
    <n v="-0.218717586931233"/>
    <b v="0"/>
    <b v="0"/>
    <b v="1"/>
    <n v="0"/>
    <m/>
    <n v="0"/>
    <m/>
  </r>
  <r>
    <s v="TX000145"/>
    <s v="AC00397"/>
    <n v="113.02"/>
    <d v="2023-09-25T16:54:22"/>
    <s v="Credit"/>
    <x v="36"/>
    <s v="D000369"/>
    <s v="33.212.169.157"/>
    <s v="M019"/>
    <s v="Branch"/>
    <n v="69"/>
    <s v="Retired"/>
    <n v="166"/>
    <n v="1"/>
    <n v="6077.96"/>
    <d v="2024-11-04T08:07:21"/>
    <n v="16"/>
    <s v="Monday"/>
    <n v="-0.63221836913471596"/>
    <b v="0"/>
    <b v="0"/>
    <b v="1"/>
    <n v="0"/>
    <m/>
    <n v="0"/>
    <m/>
  </r>
  <r>
    <s v="TX000146"/>
    <s v="AC00434"/>
    <n v="45.85"/>
    <d v="2023-02-16T17:57:10"/>
    <s v="Debit"/>
    <x v="16"/>
    <s v="D000241"/>
    <s v="163.129.70.210"/>
    <s v="M085"/>
    <s v="ATM"/>
    <n v="20"/>
    <s v="Student"/>
    <n v="92"/>
    <n v="1"/>
    <n v="1659.15"/>
    <d v="2024-11-04T08:07:24"/>
    <n v="17"/>
    <s v="Thursday"/>
    <n v="-0.86229497235380004"/>
    <b v="0"/>
    <b v="0"/>
    <b v="1"/>
    <n v="0"/>
    <m/>
    <n v="0"/>
    <m/>
  </r>
  <r>
    <s v="TX000147"/>
    <s v="AC00385"/>
    <n v="973.39"/>
    <d v="2023-08-30T17:23:20"/>
    <s v="Debit"/>
    <x v="30"/>
    <s v="D000292"/>
    <s v="202.194.199.70"/>
    <s v="M026"/>
    <s v="Branch"/>
    <n v="77"/>
    <s v="Retired"/>
    <n v="296"/>
    <n v="1"/>
    <n v="2042.22"/>
    <d v="2024-11-04T08:11:44"/>
    <n v="17"/>
    <s v="Wednesday"/>
    <n v="2.3147967732146002"/>
    <b v="1"/>
    <b v="0"/>
    <b v="1"/>
    <n v="1"/>
    <m/>
    <n v="1"/>
    <m/>
  </r>
  <r>
    <s v="TX000148"/>
    <s v="AC00161"/>
    <n v="514.95000000000005"/>
    <d v="2023-04-13T18:37:48"/>
    <s v="Debit"/>
    <x v="22"/>
    <s v="D000109"/>
    <s v="23.92.205.75"/>
    <s v="M056"/>
    <s v="Online"/>
    <n v="41"/>
    <s v="Doctor"/>
    <n v="142"/>
    <n v="5"/>
    <n v="421.93"/>
    <d v="2024-11-04T08:10:01"/>
    <n v="18"/>
    <s v="Thursday"/>
    <n v="0.74450768612576801"/>
    <b v="0"/>
    <b v="1"/>
    <b v="1"/>
    <n v="1"/>
    <m/>
    <n v="0"/>
    <m/>
  </r>
  <r>
    <s v="TX000149"/>
    <s v="AC00333"/>
    <n v="415.5"/>
    <d v="2023-07-28T16:29:23"/>
    <s v="Debit"/>
    <x v="11"/>
    <s v="D000330"/>
    <s v="140.212.253.222"/>
    <s v="M077"/>
    <s v="ATM"/>
    <n v="66"/>
    <s v="Doctor"/>
    <n v="141"/>
    <n v="1"/>
    <n v="10113.66"/>
    <d v="2024-11-04T08:10:23"/>
    <n v="16"/>
    <s v="Friday"/>
    <n v="0.40386278229760098"/>
    <b v="0"/>
    <b v="0"/>
    <b v="1"/>
    <n v="0"/>
    <m/>
    <n v="0"/>
    <m/>
  </r>
  <r>
    <s v="TX000150"/>
    <s v="AC00279"/>
    <n v="265.76"/>
    <d v="2023-02-06T17:48:55"/>
    <s v="Debit"/>
    <x v="26"/>
    <s v="D000158"/>
    <s v="3.157.63.220"/>
    <s v="M049"/>
    <s v="Online"/>
    <n v="54"/>
    <s v="Retired"/>
    <n v="92"/>
    <n v="1"/>
    <n v="4446.17"/>
    <d v="2024-11-04T08:12:18"/>
    <n v="17"/>
    <s v="Monday"/>
    <n v="-0.10903986123412"/>
    <b v="0"/>
    <b v="0"/>
    <b v="1"/>
    <n v="0"/>
    <m/>
    <n v="0"/>
    <m/>
  </r>
  <r>
    <s v="TX000151"/>
    <s v="AC00072"/>
    <n v="69.400000000000006"/>
    <d v="2023-07-24T18:08:43"/>
    <s v="Debit"/>
    <x v="33"/>
    <s v="D000413"/>
    <s v="216.151.64.40"/>
    <s v="M073"/>
    <s v="Online"/>
    <n v="80"/>
    <s v="Retired"/>
    <n v="113"/>
    <n v="1"/>
    <n v="6452.77"/>
    <d v="2024-11-04T08:09:04"/>
    <n v="18"/>
    <s v="Monday"/>
    <n v="-0.78162943705814103"/>
    <b v="0"/>
    <b v="0"/>
    <b v="1"/>
    <n v="0"/>
    <m/>
    <n v="0"/>
    <m/>
  </r>
  <r>
    <s v="TX000152"/>
    <s v="AC00242"/>
    <n v="332.93"/>
    <d v="2023-11-20T16:29:48"/>
    <s v="Credit"/>
    <x v="10"/>
    <s v="D000548"/>
    <s v="113.115.81.178"/>
    <s v="M039"/>
    <s v="Branch"/>
    <n v="35"/>
    <s v="Engineer"/>
    <n v="293"/>
    <n v="1"/>
    <n v="2788.2"/>
    <d v="2024-11-04T08:08:14"/>
    <n v="16"/>
    <s v="Monday"/>
    <n v="0.121036741984964"/>
    <b v="0"/>
    <b v="0"/>
    <b v="1"/>
    <n v="0"/>
    <m/>
    <n v="0"/>
    <m/>
  </r>
  <r>
    <s v="TX000153"/>
    <s v="AC00303"/>
    <n v="267.89999999999998"/>
    <d v="2023-10-09T16:52:47"/>
    <s v="Debit"/>
    <x v="25"/>
    <s v="D000605"/>
    <s v="216.32.4.105"/>
    <s v="M078"/>
    <s v="Online"/>
    <n v="20"/>
    <s v="Student"/>
    <n v="160"/>
    <n v="1"/>
    <n v="596.16"/>
    <d v="2024-11-04T08:08:34"/>
    <n v="16"/>
    <s v="Monday"/>
    <n v="-0.10170974465099"/>
    <b v="0"/>
    <b v="0"/>
    <b v="1"/>
    <n v="0"/>
    <m/>
    <n v="0"/>
    <m/>
  </r>
  <r>
    <s v="TX000154"/>
    <s v="AC00442"/>
    <n v="496.03"/>
    <d v="2023-11-03T16:45:52"/>
    <s v="Debit"/>
    <x v="23"/>
    <s v="D000070"/>
    <s v="210.160.90.52"/>
    <s v="M009"/>
    <s v="Branch"/>
    <n v="61"/>
    <s v="Doctor"/>
    <n v="265"/>
    <n v="1"/>
    <n v="12904.66"/>
    <d v="2024-11-04T08:09:41"/>
    <n v="16"/>
    <s v="Friday"/>
    <n v="0.67970123483940403"/>
    <b v="0"/>
    <b v="0"/>
    <b v="1"/>
    <n v="0"/>
    <m/>
    <n v="0"/>
    <m/>
  </r>
  <r>
    <s v="TX000155"/>
    <s v="AC00087"/>
    <n v="376.26"/>
    <d v="2023-02-15T16:41:11"/>
    <s v="Debit"/>
    <x v="28"/>
    <s v="D000481"/>
    <s v="82.88.241.226"/>
    <s v="M081"/>
    <s v="ATM"/>
    <n v="37"/>
    <s v="Engineer"/>
    <n v="245"/>
    <n v="1"/>
    <n v="9062.4"/>
    <d v="2024-11-04T08:09:58"/>
    <n v="16"/>
    <s v="Wednesday"/>
    <n v="0.26945447635273101"/>
    <b v="0"/>
    <b v="0"/>
    <b v="1"/>
    <n v="0"/>
    <m/>
    <n v="0"/>
    <m/>
  </r>
  <r>
    <s v="TX000156"/>
    <s v="AC00174"/>
    <n v="83.02"/>
    <d v="2023-09-04T17:59:51"/>
    <s v="Credit"/>
    <x v="6"/>
    <s v="D000226"/>
    <s v="34.92.221.183"/>
    <s v="M058"/>
    <s v="Online"/>
    <n v="36"/>
    <s v="Engineer"/>
    <n v="171"/>
    <n v="1"/>
    <n v="9009.56"/>
    <d v="2024-11-04T08:11:01"/>
    <n v="17"/>
    <s v="Monday"/>
    <n v="-0.73497701282345396"/>
    <b v="0"/>
    <b v="0"/>
    <b v="1"/>
    <n v="0"/>
    <m/>
    <n v="0"/>
    <m/>
  </r>
  <r>
    <s v="TX000157"/>
    <s v="AC00421"/>
    <n v="93.26"/>
    <d v="2023-07-27T16:22:52"/>
    <s v="Credit"/>
    <x v="22"/>
    <s v="D000436"/>
    <s v="182.225.2.156"/>
    <s v="M092"/>
    <s v="Online"/>
    <n v="20"/>
    <s v="Student"/>
    <n v="72"/>
    <n v="1"/>
    <n v="1152.2"/>
    <d v="2024-11-04T08:12:04"/>
    <n v="16"/>
    <s v="Thursday"/>
    <n v="-0.69990206244436404"/>
    <b v="0"/>
    <b v="0"/>
    <b v="1"/>
    <n v="0"/>
    <m/>
    <n v="0"/>
    <m/>
  </r>
  <r>
    <s v="TX000158"/>
    <s v="AC00111"/>
    <n v="803.37"/>
    <d v="2023-04-17T16:08:34"/>
    <s v="Credit"/>
    <x v="11"/>
    <s v="D000108"/>
    <s v="191.91.45.159"/>
    <s v="M030"/>
    <s v="Branch"/>
    <n v="68"/>
    <s v="Doctor"/>
    <n v="129"/>
    <n v="1"/>
    <n v="12168.37"/>
    <d v="2024-11-04T08:08:40"/>
    <n v="16"/>
    <s v="Monday"/>
    <n v="1.7324292865492901"/>
    <b v="0"/>
    <b v="0"/>
    <b v="1"/>
    <n v="0"/>
    <m/>
    <n v="0"/>
    <m/>
  </r>
  <r>
    <s v="TX000159"/>
    <s v="AC00275"/>
    <n v="35.76"/>
    <d v="2023-09-19T17:38:18"/>
    <s v="Debit"/>
    <x v="27"/>
    <s v="D000678"/>
    <s v="111.78.64.133"/>
    <s v="M057"/>
    <s v="Branch"/>
    <n v="23"/>
    <s v="Student"/>
    <n v="122"/>
    <n v="1"/>
    <n v="611.86"/>
    <d v="2024-11-04T08:11:40"/>
    <n v="17"/>
    <s v="Tuesday"/>
    <n v="-0.89685612951444604"/>
    <b v="0"/>
    <b v="0"/>
    <b v="1"/>
    <n v="0"/>
    <m/>
    <n v="0"/>
    <m/>
  </r>
  <r>
    <s v="TX000160"/>
    <s v="AC00492"/>
    <n v="28.53"/>
    <d v="2023-05-31T16:37:39"/>
    <s v="Debit"/>
    <x v="38"/>
    <s v="D000310"/>
    <s v="215.97.143.157"/>
    <s v="M035"/>
    <s v="Online"/>
    <n v="62"/>
    <s v="Doctor"/>
    <n v="99"/>
    <n v="1"/>
    <n v="8670.5300000000007"/>
    <d v="2024-11-04T08:06:30"/>
    <n v="16"/>
    <s v="Wednesday"/>
    <n v="-0.92162096264343196"/>
    <b v="0"/>
    <b v="0"/>
    <b v="1"/>
    <n v="0"/>
    <m/>
    <n v="0"/>
    <m/>
  </r>
  <r>
    <s v="TX000161"/>
    <s v="AC00380"/>
    <n v="139.53"/>
    <d v="2023-10-09T17:20:09"/>
    <s v="Credit"/>
    <x v="12"/>
    <s v="D000491"/>
    <s v="167.104.180.235"/>
    <s v="M002"/>
    <s v="Online"/>
    <n v="53"/>
    <s v="Doctor"/>
    <n v="177"/>
    <n v="1"/>
    <n v="10098.86"/>
    <d v="2024-11-04T08:07:31"/>
    <n v="17"/>
    <s v="Monday"/>
    <n v="-0.54141398099510096"/>
    <b v="0"/>
    <b v="0"/>
    <b v="1"/>
    <n v="0"/>
    <m/>
    <n v="0"/>
    <m/>
  </r>
  <r>
    <s v="TX000162"/>
    <s v="AC00227"/>
    <n v="307.57"/>
    <d v="2023-01-09T16:12:01"/>
    <s v="Debit"/>
    <x v="8"/>
    <s v="D000076"/>
    <s v="128.16.32.183"/>
    <s v="M049"/>
    <s v="Branch"/>
    <n v="33"/>
    <s v="Doctor"/>
    <n v="285"/>
    <n v="1"/>
    <n v="5307.74"/>
    <d v="2024-11-04T08:06:33"/>
    <n v="16"/>
    <s v="Monday"/>
    <n v="3.4171435186750997E-2"/>
    <b v="0"/>
    <b v="0"/>
    <b v="1"/>
    <n v="0"/>
    <m/>
    <n v="0"/>
    <m/>
  </r>
  <r>
    <s v="TX000163"/>
    <s v="AC00257"/>
    <n v="60.65"/>
    <d v="2023-05-26T18:15:08"/>
    <s v="Credit"/>
    <x v="28"/>
    <s v="D000456"/>
    <s v="10.144.131.89"/>
    <s v="M085"/>
    <s v="Branch"/>
    <n v="56"/>
    <s v="Retired"/>
    <n v="53"/>
    <n v="1"/>
    <n v="1047.28"/>
    <d v="2024-11-04T08:09:22"/>
    <n v="18"/>
    <s v="Friday"/>
    <n v="-0.81160070813402296"/>
    <b v="0"/>
    <b v="0"/>
    <b v="1"/>
    <n v="0"/>
    <m/>
    <n v="0"/>
    <m/>
  </r>
  <r>
    <s v="TX000164"/>
    <s v="AC00062"/>
    <n v="74.86"/>
    <d v="2023-08-14T17:43:17"/>
    <s v="Debit"/>
    <x v="9"/>
    <s v="D000115"/>
    <s v="161.168.126.136"/>
    <s v="M028"/>
    <s v="Branch"/>
    <n v="70"/>
    <s v="Doctor"/>
    <n v="125"/>
    <n v="1"/>
    <n v="6921.48"/>
    <d v="2024-11-04T08:07:39"/>
    <n v="17"/>
    <s v="Monday"/>
    <n v="-0.76292736390678995"/>
    <b v="0"/>
    <b v="0"/>
    <b v="1"/>
    <n v="0"/>
    <m/>
    <n v="0"/>
    <m/>
  </r>
  <r>
    <s v="TX000165"/>
    <s v="AC00383"/>
    <n v="117.97"/>
    <d v="2023-11-24T18:51:32"/>
    <s v="Debit"/>
    <x v="31"/>
    <s v="D000281"/>
    <s v="198.39.35.23"/>
    <s v="M100"/>
    <s v="Branch"/>
    <n v="51"/>
    <s v="Retired"/>
    <n v="137"/>
    <n v="1"/>
    <n v="1475.46"/>
    <d v="2024-11-04T08:09:21"/>
    <n v="18"/>
    <s v="Friday"/>
    <n v="-0.61526319292607401"/>
    <b v="0"/>
    <b v="0"/>
    <b v="1"/>
    <n v="0"/>
    <m/>
    <n v="0"/>
    <m/>
  </r>
  <r>
    <s v="TX000166"/>
    <s v="AC00182"/>
    <n v="231.91"/>
    <d v="2023-01-31T18:31:22"/>
    <s v="Debit"/>
    <x v="11"/>
    <s v="D000371"/>
    <s v="161.71.2.223"/>
    <s v="M044"/>
    <s v="ATM"/>
    <n v="34"/>
    <s v="Engineer"/>
    <n v="165"/>
    <n v="1"/>
    <n v="112.76"/>
    <d v="2024-11-04T08:12:15"/>
    <n v="18"/>
    <s v="Tuesday"/>
    <n v="-0.224985864196246"/>
    <b v="0"/>
    <b v="0"/>
    <b v="1"/>
    <n v="0"/>
    <m/>
    <n v="0"/>
    <m/>
  </r>
  <r>
    <s v="TX000167"/>
    <s v="AC00478"/>
    <n v="126.21"/>
    <d v="2023-02-14T16:07:01"/>
    <s v="Debit"/>
    <x v="21"/>
    <s v="D000001"/>
    <s v="141.121.30.32"/>
    <s v="M001"/>
    <s v="Branch"/>
    <n v="75"/>
    <s v="Retired"/>
    <n v="268"/>
    <n v="1"/>
    <n v="5669.66"/>
    <d v="2024-11-04T08:08:42"/>
    <n v="16"/>
    <s v="Tuesday"/>
    <n v="-0.58703881879289999"/>
    <b v="0"/>
    <b v="0"/>
    <b v="1"/>
    <n v="0"/>
    <m/>
    <n v="0"/>
    <m/>
  </r>
  <r>
    <s v="TX000168"/>
    <s v="AC00332"/>
    <n v="506.28"/>
    <d v="2023-05-02T17:03:29"/>
    <s v="Credit"/>
    <x v="29"/>
    <s v="D000606"/>
    <s v="110.150.1.201"/>
    <s v="M010"/>
    <s v="Online"/>
    <n v="53"/>
    <s v="Retired"/>
    <n v="162"/>
    <n v="2"/>
    <n v="1309.95"/>
    <d v="2024-11-04T08:09:09"/>
    <n v="17"/>
    <s v="Tuesday"/>
    <n v="0.714810438099723"/>
    <b v="0"/>
    <b v="1"/>
    <b v="1"/>
    <n v="1"/>
    <m/>
    <n v="0"/>
    <m/>
  </r>
  <r>
    <s v="TX000169"/>
    <s v="AC00202"/>
    <n v="304.35000000000002"/>
    <d v="2023-12-04T17:07:34"/>
    <s v="Debit"/>
    <x v="1"/>
    <s v="D000281"/>
    <s v="183.39.94.209"/>
    <s v="M007"/>
    <s v="Branch"/>
    <n v="31"/>
    <s v="Engineer"/>
    <n v="36"/>
    <n v="1"/>
    <n v="4057.1"/>
    <d v="2024-11-04T08:08:45"/>
    <n v="17"/>
    <s v="Monday"/>
    <n v="2.3142007430826599E-2"/>
    <b v="0"/>
    <b v="0"/>
    <b v="1"/>
    <n v="0"/>
    <m/>
    <n v="0"/>
    <m/>
  </r>
  <r>
    <s v="TX000170"/>
    <s v="AC00331"/>
    <n v="281.85000000000002"/>
    <d v="2023-05-16T17:26:37"/>
    <s v="Debit"/>
    <x v="8"/>
    <s v="D000148"/>
    <s v="219.193.239.152"/>
    <s v="M013"/>
    <s v="ATM"/>
    <n v="22"/>
    <s v="Student"/>
    <n v="109"/>
    <n v="1"/>
    <n v="1585.98"/>
    <d v="2024-11-04T08:07:38"/>
    <n v="17"/>
    <s v="Tuesday"/>
    <n v="-5.3926975335726997E-2"/>
    <b v="0"/>
    <b v="0"/>
    <b v="1"/>
    <n v="0"/>
    <m/>
    <n v="0"/>
    <m/>
  </r>
  <r>
    <s v="TX000171"/>
    <s v="AC00474"/>
    <n v="777.88"/>
    <d v="2023-03-20T16:58:12"/>
    <s v="Debit"/>
    <x v="1"/>
    <s v="D000436"/>
    <s v="139.23.212.102"/>
    <s v="M018"/>
    <s v="Branch"/>
    <n v="31"/>
    <s v="Engineer"/>
    <n v="17"/>
    <n v="1"/>
    <n v="6825.55"/>
    <d v="2024-11-04T08:09:15"/>
    <n v="16"/>
    <s v="Monday"/>
    <n v="1.64511869229509"/>
    <b v="0"/>
    <b v="0"/>
    <b v="1"/>
    <n v="0"/>
    <m/>
    <n v="0"/>
    <m/>
  </r>
  <r>
    <s v="TX000172"/>
    <s v="AC00268"/>
    <n v="119.18"/>
    <d v="2023-08-25T18:01:38"/>
    <s v="Debit"/>
    <x v="16"/>
    <s v="D000309"/>
    <s v="7.105.184.86"/>
    <s v="M093"/>
    <s v="Branch"/>
    <n v="56"/>
    <s v="Retired"/>
    <n v="96"/>
    <n v="1"/>
    <n v="5516.5"/>
    <d v="2024-11-04T08:07:34"/>
    <n v="18"/>
    <s v="Friday"/>
    <n v="-0.61111859429729498"/>
    <b v="0"/>
    <b v="0"/>
    <b v="1"/>
    <n v="0"/>
    <m/>
    <n v="0"/>
    <m/>
  </r>
  <r>
    <s v="TX000173"/>
    <s v="AC00247"/>
    <n v="177.19"/>
    <d v="2023-05-15T17:25:28"/>
    <s v="Debit"/>
    <x v="29"/>
    <s v="D000666"/>
    <s v="130.92.201.49"/>
    <s v="M088"/>
    <s v="Online"/>
    <n v="76"/>
    <s v="Retired"/>
    <n v="43"/>
    <n v="1"/>
    <n v="5343.3"/>
    <d v="2024-11-04T08:06:30"/>
    <n v="17"/>
    <s v="Monday"/>
    <n v="-0.41241763028450501"/>
    <b v="0"/>
    <b v="0"/>
    <b v="1"/>
    <n v="0"/>
    <m/>
    <n v="0"/>
    <m/>
  </r>
  <r>
    <s v="TX000174"/>
    <s v="AC00298"/>
    <n v="260.88"/>
    <d v="2023-05-29T16:50:10"/>
    <s v="Debit"/>
    <x v="13"/>
    <s v="D000327"/>
    <s v="184.59.28.72"/>
    <s v="M094"/>
    <s v="Branch"/>
    <n v="22"/>
    <s v="Student"/>
    <n v="36"/>
    <n v="1"/>
    <n v="903.05"/>
    <d v="2024-11-04T08:06:52"/>
    <n v="16"/>
    <s v="Monday"/>
    <n v="-0.12575526727415501"/>
    <b v="0"/>
    <b v="0"/>
    <b v="1"/>
    <n v="0"/>
    <m/>
    <n v="0"/>
    <m/>
  </r>
  <r>
    <s v="TX000175"/>
    <s v="AC00106"/>
    <n v="169.47"/>
    <d v="2023-03-22T16:10:14"/>
    <s v="Debit"/>
    <x v="29"/>
    <s v="D000061"/>
    <s v="120.170.93.69"/>
    <s v="M046"/>
    <s v="Online"/>
    <n v="24"/>
    <s v="Student"/>
    <n v="19"/>
    <n v="1"/>
    <n v="1806.16"/>
    <d v="2024-11-04T08:07:37"/>
    <n v="16"/>
    <s v="Wednesday"/>
    <n v="-0.43886085459374002"/>
    <b v="0"/>
    <b v="0"/>
    <b v="1"/>
    <n v="0"/>
    <m/>
    <n v="0"/>
    <m/>
  </r>
  <r>
    <s v="TX000176"/>
    <s v="AC00035"/>
    <n v="73.23"/>
    <d v="2023-05-19T16:52:53"/>
    <s v="Debit"/>
    <x v="42"/>
    <s v="D000059"/>
    <s v="155.37.19.43"/>
    <s v="M022"/>
    <s v="Branch"/>
    <n v="26"/>
    <s v="Student"/>
    <n v="14"/>
    <n v="1"/>
    <n v="787.74"/>
    <d v="2024-11-04T08:11:12"/>
    <n v="16"/>
    <s v="Friday"/>
    <n v="-0.76851058354721202"/>
    <b v="0"/>
    <b v="0"/>
    <b v="1"/>
    <n v="0"/>
    <m/>
    <n v="0"/>
    <m/>
  </r>
  <r>
    <s v="TX000177"/>
    <s v="AC00363"/>
    <n v="1362.55"/>
    <d v="2023-02-10T18:07:07"/>
    <s v="Debit"/>
    <x v="39"/>
    <s v="D000213"/>
    <s v="93.52.44.101"/>
    <s v="M001"/>
    <s v="ATM"/>
    <n v="29"/>
    <s v="Engineer"/>
    <n v="106"/>
    <n v="1"/>
    <n v="2429.6799999999998"/>
    <d v="2024-11-04T08:11:05"/>
    <n v="18"/>
    <s v="Friday"/>
    <n v="3.6477818991449098"/>
    <b v="1"/>
    <b v="0"/>
    <b v="1"/>
    <n v="1"/>
    <m/>
    <n v="1"/>
    <m/>
  </r>
  <r>
    <s v="TX000178"/>
    <s v="AC00273"/>
    <n v="792.57"/>
    <d v="2023-05-22T16:22:36"/>
    <s v="Debit"/>
    <x v="21"/>
    <s v="D000424"/>
    <s v="110.235.207.187"/>
    <s v="M059"/>
    <s v="ATM"/>
    <n v="19"/>
    <s v="Student"/>
    <n v="164"/>
    <n v="1"/>
    <n v="770.37"/>
    <d v="2024-11-04T08:10:39"/>
    <n v="16"/>
    <s v="Monday"/>
    <n v="1.69543617482135"/>
    <b v="0"/>
    <b v="0"/>
    <b v="1"/>
    <n v="0"/>
    <m/>
    <n v="0"/>
    <m/>
  </r>
  <r>
    <s v="TX000179"/>
    <s v="AC00156"/>
    <n v="237.06"/>
    <d v="2023-12-18T16:47:17"/>
    <s v="Debit"/>
    <x v="37"/>
    <s v="D000455"/>
    <s v="61.95.76.233"/>
    <s v="M049"/>
    <s v="Online"/>
    <n v="71"/>
    <s v="Retired"/>
    <n v="46"/>
    <n v="1"/>
    <n v="1182.77"/>
    <d v="2024-11-04T08:07:50"/>
    <n v="16"/>
    <s v="Monday"/>
    <n v="-0.20734563036301301"/>
    <b v="0"/>
    <b v="0"/>
    <b v="1"/>
    <n v="0"/>
    <m/>
    <n v="0"/>
    <m/>
  </r>
  <r>
    <s v="TX000180"/>
    <s v="AC00010"/>
    <n v="34.17"/>
    <d v="2023-11-21T16:57:43"/>
    <s v="Credit"/>
    <x v="26"/>
    <s v="D000036"/>
    <s v="177.116.108.246"/>
    <s v="M091"/>
    <s v="Online"/>
    <n v="54"/>
    <s v="Engineer"/>
    <n v="54"/>
    <n v="1"/>
    <n v="726.55"/>
    <d v="2024-11-04T08:06:29"/>
    <n v="16"/>
    <s v="Tuesday"/>
    <n v="-0.90230233762994905"/>
    <b v="0"/>
    <b v="0"/>
    <b v="1"/>
    <n v="0"/>
    <m/>
    <n v="0"/>
    <m/>
  </r>
  <r>
    <s v="TX000181"/>
    <s v="AC00036"/>
    <n v="740.25"/>
    <d v="2023-07-19T17:03:58"/>
    <s v="Debit"/>
    <x v="26"/>
    <s v="D000030"/>
    <s v="1.198.76.182"/>
    <s v="M010"/>
    <s v="Online"/>
    <n v="41"/>
    <s v="Doctor"/>
    <n v="123"/>
    <n v="1"/>
    <n v="14464.3"/>
    <d v="2024-11-04T08:08:27"/>
    <n v="17"/>
    <s v="Wednesday"/>
    <n v="1.5162251002281899"/>
    <b v="0"/>
    <b v="0"/>
    <b v="1"/>
    <n v="0"/>
    <m/>
    <n v="0"/>
    <m/>
  </r>
  <r>
    <s v="TX000182"/>
    <s v="AC00149"/>
    <n v="453.54"/>
    <d v="2023-04-19T16:36:03"/>
    <s v="Debit"/>
    <x v="10"/>
    <s v="D000150"/>
    <s v="223.32.70.156"/>
    <s v="M017"/>
    <s v="ATM"/>
    <n v="58"/>
    <s v="Doctor"/>
    <n v="82"/>
    <n v="1"/>
    <n v="12046.3"/>
    <d v="2024-11-04T08:12:06"/>
    <n v="16"/>
    <s v="Wednesday"/>
    <n v="0.53416074249492096"/>
    <b v="0"/>
    <b v="0"/>
    <b v="1"/>
    <n v="0"/>
    <m/>
    <n v="0"/>
    <m/>
  </r>
  <r>
    <s v="TX000183"/>
    <s v="AC00225"/>
    <n v="300.47000000000003"/>
    <d v="2023-11-13T16:11:52"/>
    <s v="Debit"/>
    <x v="36"/>
    <s v="D000272"/>
    <s v="156.173.170.140"/>
    <s v="M065"/>
    <s v="Branch"/>
    <n v="73"/>
    <s v="Retired"/>
    <n v="100"/>
    <n v="1"/>
    <n v="7885.64"/>
    <d v="2024-11-04T08:08:00"/>
    <n v="16"/>
    <s v="Monday"/>
    <n v="9.8518895137498404E-3"/>
    <b v="0"/>
    <b v="0"/>
    <b v="1"/>
    <n v="0"/>
    <m/>
    <n v="0"/>
    <m/>
  </r>
  <r>
    <s v="TX000184"/>
    <s v="AC00077"/>
    <n v="110.93"/>
    <d v="2023-04-07T16:38:15"/>
    <s v="Credit"/>
    <x v="33"/>
    <s v="D000142"/>
    <s v="101.223.82.253"/>
    <s v="M036"/>
    <s v="Branch"/>
    <n v="19"/>
    <s v="Student"/>
    <n v="201"/>
    <n v="1"/>
    <n v="1952.35"/>
    <d v="2024-11-04T08:10:53"/>
    <n v="16"/>
    <s v="Friday"/>
    <n v="-0.63937722131169805"/>
    <b v="0"/>
    <b v="0"/>
    <b v="1"/>
    <n v="0"/>
    <m/>
    <n v="0"/>
    <m/>
  </r>
  <r>
    <s v="TX000185"/>
    <s v="AC00440"/>
    <n v="201.69"/>
    <d v="2023-01-03T16:46:36"/>
    <s v="Debit"/>
    <x v="17"/>
    <s v="D000626"/>
    <s v="193.108.17.115"/>
    <s v="M019"/>
    <s v="ATM"/>
    <n v="59"/>
    <s v="Doctor"/>
    <n v="299"/>
    <n v="1"/>
    <n v="7328.52"/>
    <d v="2024-11-04T08:10:16"/>
    <n v="16"/>
    <s v="Tuesday"/>
    <n v="-0.32849807127203501"/>
    <b v="0"/>
    <b v="0"/>
    <b v="1"/>
    <n v="0"/>
    <m/>
    <n v="0"/>
    <m/>
  </r>
  <r>
    <s v="TX000186"/>
    <s v="AC00321"/>
    <n v="399.21"/>
    <d v="2023-01-30T16:15:49"/>
    <s v="Debit"/>
    <x v="42"/>
    <s v="D000301"/>
    <s v="30.229.179.194"/>
    <s v="M062"/>
    <s v="ATM"/>
    <n v="59"/>
    <s v="Engineer"/>
    <n v="109"/>
    <n v="1"/>
    <n v="3210.39"/>
    <d v="2024-11-04T08:08:21"/>
    <n v="16"/>
    <s v="Monday"/>
    <n v="0.34806483877461603"/>
    <b v="0"/>
    <b v="0"/>
    <b v="1"/>
    <n v="0"/>
    <m/>
    <n v="0"/>
    <m/>
  </r>
  <r>
    <s v="TX000187"/>
    <s v="AC00099"/>
    <n v="1041.8800000000001"/>
    <d v="2023-09-06T16:44:02"/>
    <s v="Debit"/>
    <x v="36"/>
    <s v="D000208"/>
    <s v="32.240.176.64"/>
    <s v="M032"/>
    <s v="Online"/>
    <n v="78"/>
    <s v="Retired"/>
    <n v="57"/>
    <n v="1"/>
    <n v="5726.2"/>
    <d v="2024-11-04T08:06:44"/>
    <n v="16"/>
    <s v="Wednesday"/>
    <n v="2.5493947567559898"/>
    <b v="1"/>
    <b v="0"/>
    <b v="1"/>
    <n v="1"/>
    <m/>
    <n v="1"/>
    <m/>
  </r>
  <r>
    <s v="TX000188"/>
    <s v="AC00258"/>
    <n v="630.36"/>
    <d v="2023-03-02T16:11:53"/>
    <s v="Debit"/>
    <x v="2"/>
    <s v="D000091"/>
    <s v="200.22.195.243"/>
    <s v="M084"/>
    <s v="ATM"/>
    <n v="62"/>
    <s v="Retired"/>
    <n v="52"/>
    <n v="1"/>
    <n v="1363.65"/>
    <d v="2024-11-04T08:12:15"/>
    <n v="16"/>
    <s v="Thursday"/>
    <n v="1.1398201883963399"/>
    <b v="0"/>
    <b v="0"/>
    <b v="1"/>
    <n v="0"/>
    <m/>
    <n v="0"/>
    <m/>
  </r>
  <r>
    <s v="TX000189"/>
    <s v="AC00132"/>
    <n v="10.94"/>
    <d v="2023-10-23T17:24:07"/>
    <s v="Credit"/>
    <x v="26"/>
    <s v="D000503"/>
    <s v="10.191.172.154"/>
    <s v="M083"/>
    <s v="ATM"/>
    <n v="60"/>
    <s v="Engineer"/>
    <n v="245"/>
    <n v="1"/>
    <n v="1241.99"/>
    <d v="2024-11-04T08:11:53"/>
    <n v="17"/>
    <s v="Monday"/>
    <n v="-0.98187178072626202"/>
    <b v="0"/>
    <b v="0"/>
    <b v="1"/>
    <n v="0"/>
    <m/>
    <n v="0"/>
    <m/>
  </r>
  <r>
    <s v="TX000190"/>
    <s v="AC00113"/>
    <n v="215.9"/>
    <d v="2023-01-04T16:02:09"/>
    <s v="Debit"/>
    <x v="16"/>
    <s v="D000414"/>
    <s v="147.119.62.178"/>
    <s v="M083"/>
    <s v="ATM"/>
    <n v="38"/>
    <s v="Doctor"/>
    <n v="235"/>
    <n v="1"/>
    <n v="7873.28"/>
    <d v="2024-11-04T08:10:23"/>
    <n v="16"/>
    <s v="Wednesday"/>
    <n v="-0.27982472704480299"/>
    <b v="0"/>
    <b v="0"/>
    <b v="1"/>
    <n v="0"/>
    <m/>
    <n v="0"/>
    <m/>
  </r>
  <r>
    <s v="TX000191"/>
    <s v="AC00396"/>
    <n v="1422.55"/>
    <d v="2023-07-10T17:49:18"/>
    <s v="Debit"/>
    <x v="38"/>
    <s v="D000569"/>
    <s v="188.124.181.12"/>
    <s v="M072"/>
    <s v="Branch"/>
    <n v="79"/>
    <s v="Retired"/>
    <n v="165"/>
    <n v="1"/>
    <n v="5674.32"/>
    <d v="2024-11-04T08:06:50"/>
    <n v="17"/>
    <s v="Monday"/>
    <n v="3.8532991865223898"/>
    <b v="1"/>
    <b v="0"/>
    <b v="1"/>
    <n v="1"/>
    <m/>
    <n v="1"/>
    <m/>
  </r>
  <r>
    <s v="TX000192"/>
    <s v="AC00099"/>
    <n v="226.37"/>
    <d v="2023-09-18T17:07:08"/>
    <s v="Credit"/>
    <x v="12"/>
    <s v="D000631"/>
    <s v="206.62.122.93"/>
    <s v="M041"/>
    <s v="Branch"/>
    <n v="49"/>
    <s v="Doctor"/>
    <n v="141"/>
    <n v="1"/>
    <n v="9840.0400000000009"/>
    <d v="2024-11-04T08:09:56"/>
    <n v="17"/>
    <s v="Monday"/>
    <n v="-0.24396196039743301"/>
    <b v="0"/>
    <b v="0"/>
    <b v="1"/>
    <n v="0"/>
    <m/>
    <n v="0"/>
    <m/>
  </r>
  <r>
    <s v="TX000193"/>
    <s v="AC00265"/>
    <n v="444.89"/>
    <d v="2023-09-11T16:27:39"/>
    <s v="Credit"/>
    <x v="17"/>
    <s v="D000173"/>
    <s v="42.61.10.112"/>
    <s v="M060"/>
    <s v="Branch"/>
    <n v="43"/>
    <s v="Doctor"/>
    <n v="101"/>
    <n v="1"/>
    <n v="10328.23"/>
    <d v="2024-11-04T08:11:50"/>
    <n v="16"/>
    <s v="Monday"/>
    <n v="0.50453200023133504"/>
    <b v="0"/>
    <b v="0"/>
    <b v="1"/>
    <n v="0"/>
    <m/>
    <n v="0"/>
    <m/>
  </r>
  <r>
    <s v="TX000194"/>
    <s v="AC00047"/>
    <n v="280.57"/>
    <d v="2023-01-27T17:35:05"/>
    <s v="Credit"/>
    <x v="33"/>
    <s v="D000538"/>
    <s v="170.225.23.251"/>
    <s v="M017"/>
    <s v="Online"/>
    <n v="25"/>
    <s v="Student"/>
    <n v="24"/>
    <n v="1"/>
    <n v="293.24"/>
    <d v="2024-11-04T08:10:24"/>
    <n v="17"/>
    <s v="Friday"/>
    <n v="-5.8311344133113202E-2"/>
    <b v="0"/>
    <b v="0"/>
    <b v="1"/>
    <n v="0"/>
    <m/>
    <n v="0"/>
    <m/>
  </r>
  <r>
    <s v="TX000195"/>
    <s v="AC00005"/>
    <n v="488.54"/>
    <d v="2023-07-03T17:47:49"/>
    <s v="Debit"/>
    <x v="36"/>
    <s v="D000466"/>
    <s v="198.24.183.157"/>
    <s v="M036"/>
    <s v="Branch"/>
    <n v="52"/>
    <s v="Engineer"/>
    <n v="132"/>
    <n v="1"/>
    <n v="7486.63"/>
    <d v="2024-11-04T08:07:26"/>
    <n v="17"/>
    <s v="Monday"/>
    <n v="0.65404582679844903"/>
    <b v="0"/>
    <b v="0"/>
    <b v="1"/>
    <n v="0"/>
    <m/>
    <n v="0"/>
    <m/>
  </r>
  <r>
    <s v="TX000196"/>
    <s v="AC00363"/>
    <n v="3.3"/>
    <d v="2023-03-27T16:42:16"/>
    <s v="Credit"/>
    <x v="16"/>
    <s v="D000215"/>
    <s v="116.44.12.250"/>
    <s v="M085"/>
    <s v="Branch"/>
    <n v="50"/>
    <s v="Doctor"/>
    <n v="131"/>
    <n v="1"/>
    <n v="11385.37"/>
    <d v="2024-11-04T08:10:11"/>
    <n v="16"/>
    <s v="Monday"/>
    <n v="-1.0080409819856599"/>
    <b v="0"/>
    <b v="0"/>
    <b v="1"/>
    <n v="0"/>
    <m/>
    <n v="0"/>
    <m/>
  </r>
  <r>
    <s v="TX000197"/>
    <s v="AC00426"/>
    <n v="199.39"/>
    <d v="2023-08-21T16:16:22"/>
    <s v="Debit"/>
    <x v="40"/>
    <s v="D000304"/>
    <s v="194.88.79.54"/>
    <s v="M023"/>
    <s v="Branch"/>
    <n v="69"/>
    <s v="Retired"/>
    <n v="165"/>
    <n v="1"/>
    <n v="7264.79"/>
    <d v="2024-11-04T08:09:06"/>
    <n v="16"/>
    <s v="Monday"/>
    <n v="-0.33637623395483801"/>
    <b v="0"/>
    <b v="0"/>
    <b v="1"/>
    <n v="0"/>
    <m/>
    <n v="0"/>
    <m/>
  </r>
  <r>
    <s v="TX000198"/>
    <s v="AC00107"/>
    <n v="20.36"/>
    <d v="2023-07-24T17:02:18"/>
    <s v="Debit"/>
    <x v="28"/>
    <s v="D000082"/>
    <s v="96.115.67.230"/>
    <s v="M069"/>
    <s v="Branch"/>
    <n v="62"/>
    <s v="Retired"/>
    <n v="75"/>
    <n v="1"/>
    <n v="2762.48"/>
    <d v="2024-11-04T08:11:15"/>
    <n v="17"/>
    <s v="Monday"/>
    <n v="-0.949605566607998"/>
    <b v="0"/>
    <b v="0"/>
    <b v="1"/>
    <n v="0"/>
    <m/>
    <n v="0"/>
    <m/>
  </r>
  <r>
    <s v="TX000199"/>
    <s v="AC00237"/>
    <n v="113.64"/>
    <d v="2023-10-24T17:09:41"/>
    <s v="Debit"/>
    <x v="8"/>
    <s v="D000022"/>
    <s v="31.127.129.152"/>
    <s v="M038"/>
    <s v="Online"/>
    <n v="62"/>
    <s v="Retired"/>
    <n v="32"/>
    <n v="1"/>
    <n v="6675.03"/>
    <d v="2024-11-04T08:07:55"/>
    <n v="17"/>
    <s v="Tuesday"/>
    <n v="-0.63009469049848199"/>
    <b v="0"/>
    <b v="0"/>
    <b v="1"/>
    <n v="0"/>
    <m/>
    <n v="0"/>
    <m/>
  </r>
  <r>
    <s v="TX000200"/>
    <s v="AC00358"/>
    <n v="493.11"/>
    <d v="2023-07-31T16:25:26"/>
    <s v="Debit"/>
    <x v="40"/>
    <s v="D000232"/>
    <s v="35.220.238.127"/>
    <s v="M022"/>
    <s v="Branch"/>
    <n v="53"/>
    <s v="Retired"/>
    <n v="236"/>
    <n v="1"/>
    <n v="7432.99"/>
    <d v="2024-11-04T08:08:01"/>
    <n v="16"/>
    <s v="Monday"/>
    <n v="0.669699393520367"/>
    <b v="0"/>
    <b v="0"/>
    <b v="1"/>
    <n v="0"/>
    <m/>
    <n v="0"/>
    <m/>
  </r>
  <r>
    <s v="TX000201"/>
    <s v="AC00113"/>
    <n v="307.41000000000003"/>
    <d v="2023-06-12T17:32:52"/>
    <s v="Debit"/>
    <x v="16"/>
    <s v="D000014"/>
    <s v="1.7.29.72"/>
    <s v="M007"/>
    <s v="ATM"/>
    <n v="19"/>
    <s v="Student"/>
    <n v="14"/>
    <n v="1"/>
    <n v="1057"/>
    <d v="2024-11-04T08:09:48"/>
    <n v="17"/>
    <s v="Monday"/>
    <n v="3.3623389087077897E-2"/>
    <b v="0"/>
    <b v="0"/>
    <b v="1"/>
    <n v="0"/>
    <m/>
    <n v="0"/>
    <m/>
  </r>
  <r>
    <s v="TX000202"/>
    <s v="AC00010"/>
    <n v="11.18"/>
    <d v="2023-11-30T16:52:42"/>
    <s v="Debit"/>
    <x v="4"/>
    <s v="D000129"/>
    <s v="16.51.235.240"/>
    <s v="M017"/>
    <s v="Online"/>
    <n v="43"/>
    <s v="Doctor"/>
    <n v="161"/>
    <n v="1"/>
    <n v="5956.89"/>
    <d v="2024-11-04T08:10:20"/>
    <n v="16"/>
    <s v="Thursday"/>
    <n v="-0.98104971157675203"/>
    <b v="0"/>
    <b v="0"/>
    <b v="1"/>
    <n v="0"/>
    <m/>
    <n v="0"/>
    <m/>
  </r>
  <r>
    <s v="TX000203"/>
    <s v="AC00499"/>
    <n v="313.82"/>
    <d v="2023-11-15T18:57:38"/>
    <s v="Debit"/>
    <x v="28"/>
    <s v="D000357"/>
    <s v="179.43.245.131"/>
    <s v="M097"/>
    <s v="Branch"/>
    <n v="59"/>
    <s v="Engineer"/>
    <n v="151"/>
    <n v="1"/>
    <n v="7261.59"/>
    <d v="2024-11-04T08:08:42"/>
    <n v="18"/>
    <s v="Wednesday"/>
    <n v="5.5579485955238199E-2"/>
    <b v="0"/>
    <b v="0"/>
    <b v="1"/>
    <n v="0"/>
    <m/>
    <n v="0"/>
    <m/>
  </r>
  <r>
    <s v="TX000204"/>
    <s v="AC00380"/>
    <n v="51"/>
    <d v="2023-01-30T16:00:38"/>
    <s v="Debit"/>
    <x v="6"/>
    <s v="D000199"/>
    <s v="193.217.248.188"/>
    <s v="M063"/>
    <s v="Branch"/>
    <n v="64"/>
    <s v="Retired"/>
    <n v="107"/>
    <n v="1"/>
    <n v="4943.16"/>
    <d v="2024-11-04T08:08:23"/>
    <n v="16"/>
    <s v="Monday"/>
    <n v="-0.84465473852056705"/>
    <b v="0"/>
    <b v="0"/>
    <b v="1"/>
    <n v="0"/>
    <m/>
    <n v="0"/>
    <m/>
  </r>
  <r>
    <s v="TX000205"/>
    <s v="AC00452"/>
    <n v="140.97999999999999"/>
    <d v="2023-05-25T16:34:22"/>
    <s v="Debit"/>
    <x v="11"/>
    <s v="D000374"/>
    <s v="192.95.36.246"/>
    <s v="M059"/>
    <s v="Branch"/>
    <n v="60"/>
    <s v="Engineer"/>
    <n v="100"/>
    <n v="1"/>
    <n v="8127.48"/>
    <d v="2024-11-04T08:12:13"/>
    <n v="16"/>
    <s v="Thursday"/>
    <n v="-0.53644731321681205"/>
    <b v="0"/>
    <b v="0"/>
    <b v="1"/>
    <n v="0"/>
    <m/>
    <n v="0"/>
    <m/>
  </r>
  <r>
    <s v="TX000206"/>
    <s v="AC00020"/>
    <n v="288.04000000000002"/>
    <d v="2023-08-24T16:47:21"/>
    <s v="Debit"/>
    <x v="13"/>
    <s v="D000582"/>
    <s v="205.69.66.135"/>
    <s v="M092"/>
    <s v="ATM"/>
    <n v="68"/>
    <s v="Retired"/>
    <n v="63"/>
    <n v="1"/>
    <n v="1748.02"/>
    <d v="2024-11-04T08:10:00"/>
    <n v="16"/>
    <s v="Thursday"/>
    <n v="-3.27244418546173E-2"/>
    <b v="0"/>
    <b v="0"/>
    <b v="1"/>
    <n v="0"/>
    <m/>
    <n v="0"/>
    <m/>
  </r>
  <r>
    <s v="TX000207"/>
    <s v="AC00181"/>
    <n v="800.55"/>
    <d v="2023-05-04T16:21:31"/>
    <s v="Debit"/>
    <x v="5"/>
    <s v="D000657"/>
    <s v="8.244.162.185"/>
    <s v="M062"/>
    <s v="ATM"/>
    <n v="31"/>
    <s v="Engineer"/>
    <n v="108"/>
    <n v="1"/>
    <n v="9660.2199999999993"/>
    <d v="2024-11-04T08:06:49"/>
    <n v="16"/>
    <s v="Thursday"/>
    <n v="1.7227699740425499"/>
    <b v="0"/>
    <b v="0"/>
    <b v="1"/>
    <n v="0"/>
    <m/>
    <n v="0"/>
    <m/>
  </r>
  <r>
    <s v="TX000208"/>
    <s v="AC00370"/>
    <n v="485.54"/>
    <d v="2023-02-06T17:46:59"/>
    <s v="Debit"/>
    <x v="1"/>
    <s v="D000589"/>
    <s v="140.212.253.222"/>
    <s v="M061"/>
    <s v="ATM"/>
    <n v="46"/>
    <s v="Engineer"/>
    <n v="143"/>
    <n v="1"/>
    <n v="6371.51"/>
    <d v="2024-11-04T08:11:46"/>
    <n v="17"/>
    <s v="Monday"/>
    <n v="0.64376996242957496"/>
    <b v="0"/>
    <b v="0"/>
    <b v="1"/>
    <n v="0"/>
    <m/>
    <n v="0"/>
    <m/>
  </r>
  <r>
    <s v="TX000209"/>
    <s v="AC00453"/>
    <n v="521.15"/>
    <d v="2023-02-17T18:16:05"/>
    <s v="Debit"/>
    <x v="31"/>
    <s v="D000108"/>
    <s v="166.7.230.111"/>
    <s v="M084"/>
    <s v="ATM"/>
    <n v="54"/>
    <s v="Doctor"/>
    <n v="214"/>
    <n v="1"/>
    <n v="9442.4699999999993"/>
    <d v="2024-11-04T08:07:31"/>
    <n v="18"/>
    <s v="Friday"/>
    <n v="0.76574447248810695"/>
    <b v="0"/>
    <b v="0"/>
    <b v="1"/>
    <n v="0"/>
    <m/>
    <n v="0"/>
    <m/>
  </r>
  <r>
    <s v="TX000210"/>
    <s v="AC00339"/>
    <n v="321.79000000000002"/>
    <d v="2023-08-07T17:30:33"/>
    <s v="Credit"/>
    <x v="3"/>
    <s v="D000537"/>
    <s v="86.103.2.29"/>
    <s v="M056"/>
    <s v="ATM"/>
    <n v="63"/>
    <s v="Retired"/>
    <n v="61"/>
    <n v="1"/>
    <n v="5959.2"/>
    <d v="2024-11-04T08:10:01"/>
    <n v="17"/>
    <s v="Monday"/>
    <n v="8.2879032295212998E-2"/>
    <b v="0"/>
    <b v="0"/>
    <b v="1"/>
    <n v="0"/>
    <m/>
    <n v="0"/>
    <m/>
  </r>
  <r>
    <s v="TX000211"/>
    <s v="AC00249"/>
    <n v="304.93"/>
    <d v="2023-02-24T16:23:22"/>
    <s v="Debit"/>
    <x v="42"/>
    <s v="D000700"/>
    <s v="21.190.11.223"/>
    <s v="M098"/>
    <s v="ATM"/>
    <n v="65"/>
    <s v="Doctor"/>
    <n v="158"/>
    <n v="1"/>
    <n v="13531.22"/>
    <d v="2024-11-04T08:08:15"/>
    <n v="16"/>
    <s v="Friday"/>
    <n v="2.5128674542142099E-2"/>
    <b v="0"/>
    <b v="0"/>
    <b v="1"/>
    <n v="0"/>
    <m/>
    <n v="0"/>
    <m/>
  </r>
  <r>
    <s v="TX000212"/>
    <s v="AC00479"/>
    <n v="432.08"/>
    <d v="2023-07-31T16:04:55"/>
    <s v="Debit"/>
    <x v="39"/>
    <s v="D000073"/>
    <s v="40.192.99.27"/>
    <s v="M044"/>
    <s v="ATM"/>
    <n v="40"/>
    <s v="Doctor"/>
    <n v="145"/>
    <n v="1"/>
    <n v="11500.62"/>
    <d v="2024-11-04T08:11:46"/>
    <n v="16"/>
    <s v="Monday"/>
    <n v="0.46065405937624399"/>
    <b v="0"/>
    <b v="0"/>
    <b v="1"/>
    <n v="0"/>
    <m/>
    <n v="0"/>
    <m/>
  </r>
  <r>
    <s v="TX000213"/>
    <s v="AC00301"/>
    <n v="694.2"/>
    <d v="2023-12-07T16:20:08"/>
    <s v="Debit"/>
    <x v="20"/>
    <s v="D000007"/>
    <s v="27.143.109.203"/>
    <s v="M035"/>
    <s v="ATM"/>
    <n v="61"/>
    <s v="Retired"/>
    <n v="72"/>
    <n v="1"/>
    <n v="1389.37"/>
    <d v="2024-11-04T08:07:23"/>
    <n v="16"/>
    <s v="Thursday"/>
    <n v="1.3584905821659701"/>
    <b v="0"/>
    <b v="0"/>
    <b v="1"/>
    <n v="0"/>
    <m/>
    <n v="0"/>
    <m/>
  </r>
  <r>
    <s v="TX000214"/>
    <s v="AC00380"/>
    <n v="116.86"/>
    <d v="2023-03-20T18:28:48"/>
    <s v="Debit"/>
    <x v="12"/>
    <s v="D000531"/>
    <s v="184.146.10.88"/>
    <s v="M088"/>
    <s v="ATM"/>
    <n v="55"/>
    <s v="Engineer"/>
    <n v="171"/>
    <n v="1"/>
    <n v="6706.56"/>
    <d v="2024-11-04T08:12:15"/>
    <n v="18"/>
    <s v="Monday"/>
    <n v="-0.61906526274255702"/>
    <b v="0"/>
    <b v="0"/>
    <b v="1"/>
    <n v="0"/>
    <m/>
    <n v="0"/>
    <m/>
  </r>
  <r>
    <s v="TX000215"/>
    <s v="AC00130"/>
    <n v="386.81"/>
    <d v="2023-03-03T18:02:52"/>
    <s v="Credit"/>
    <x v="8"/>
    <s v="D000248"/>
    <s v="34.169.232.37"/>
    <s v="M039"/>
    <s v="Online"/>
    <n v="57"/>
    <s v="Doctor"/>
    <n v="149"/>
    <n v="1"/>
    <n v="7175.29"/>
    <d v="2024-11-04T08:10:50"/>
    <n v="18"/>
    <s v="Friday"/>
    <n v="0.30559126604993803"/>
    <b v="0"/>
    <b v="0"/>
    <b v="1"/>
    <n v="0"/>
    <m/>
    <n v="0"/>
    <m/>
  </r>
  <r>
    <s v="TX000216"/>
    <s v="AC00006"/>
    <n v="74.88"/>
    <d v="2023-05-24T16:25:50"/>
    <s v="Debit"/>
    <x v="4"/>
    <s v="D000139"/>
    <s v="161.161.26.115"/>
    <s v="M026"/>
    <s v="ATM"/>
    <n v="25"/>
    <s v="Student"/>
    <n v="202"/>
    <n v="1"/>
    <n v="420.67"/>
    <d v="2024-11-04T08:07:46"/>
    <n v="16"/>
    <s v="Wednesday"/>
    <n v="-0.76285885814433096"/>
    <b v="0"/>
    <b v="0"/>
    <b v="1"/>
    <n v="0"/>
    <m/>
    <n v="0"/>
    <m/>
  </r>
  <r>
    <s v="TX000217"/>
    <s v="AC00096"/>
    <n v="195.76"/>
    <d v="2023-05-22T16:17:19"/>
    <s v="Debit"/>
    <x v="26"/>
    <s v="D000517"/>
    <s v="119.163.214.161"/>
    <s v="M056"/>
    <s v="Branch"/>
    <n v="75"/>
    <s v="Retired"/>
    <n v="99"/>
    <n v="1"/>
    <n v="7323.53"/>
    <d v="2024-11-04T08:09:48"/>
    <n v="16"/>
    <s v="Monday"/>
    <n v="-0.34881002984117598"/>
    <b v="0"/>
    <b v="0"/>
    <b v="1"/>
    <n v="0"/>
    <m/>
    <n v="0"/>
    <m/>
  </r>
  <r>
    <s v="TX000218"/>
    <s v="AC00108"/>
    <n v="134.69999999999999"/>
    <d v="2023-08-21T16:03:18"/>
    <s v="Debit"/>
    <x v="18"/>
    <s v="D000637"/>
    <s v="155.19.119.0"/>
    <s v="M074"/>
    <s v="ATM"/>
    <n v="50"/>
    <s v="Doctor"/>
    <n v="106"/>
    <n v="1"/>
    <n v="8395.85"/>
    <d v="2024-11-04T08:11:07"/>
    <n v="16"/>
    <s v="Monday"/>
    <n v="-0.55795812262898703"/>
    <b v="0"/>
    <b v="0"/>
    <b v="1"/>
    <n v="0"/>
    <m/>
    <n v="0"/>
    <m/>
  </r>
  <r>
    <s v="TX000219"/>
    <s v="AC00070"/>
    <n v="890.24"/>
    <d v="2023-07-07T18:03:43"/>
    <s v="Credit"/>
    <x v="17"/>
    <s v="D000223"/>
    <s v="28.149.72.129"/>
    <s v="M029"/>
    <s v="Online"/>
    <n v="33"/>
    <s v="Engineer"/>
    <n v="161"/>
    <n v="1"/>
    <n v="5140.93"/>
    <d v="2024-11-04T08:07:32"/>
    <n v="18"/>
    <s v="Friday"/>
    <n v="2.02998406579065"/>
    <b v="0"/>
    <b v="0"/>
    <b v="1"/>
    <n v="0"/>
    <m/>
    <n v="0"/>
    <m/>
  </r>
  <r>
    <s v="TX000220"/>
    <s v="AC00417"/>
    <n v="361.27"/>
    <d v="2023-01-06T17:01:53"/>
    <s v="Debit"/>
    <x v="32"/>
    <s v="D000676"/>
    <s v="78.100.105.143"/>
    <s v="M088"/>
    <s v="ATM"/>
    <n v="63"/>
    <s v="Doctor"/>
    <n v="180"/>
    <n v="1"/>
    <n v="7945.57"/>
    <d v="2024-11-04T08:10:07"/>
    <n v="17"/>
    <s v="Friday"/>
    <n v="0.218109407389592"/>
    <b v="0"/>
    <b v="0"/>
    <b v="1"/>
    <n v="0"/>
    <m/>
    <n v="0"/>
    <m/>
  </r>
  <r>
    <s v="TX000221"/>
    <s v="AC00391"/>
    <n v="131.56"/>
    <d v="2023-10-19T16:42:37"/>
    <s v="Debit"/>
    <x v="27"/>
    <s v="D000203"/>
    <s v="27.215.118.94"/>
    <s v="M014"/>
    <s v="Branch"/>
    <n v="44"/>
    <s v="Doctor"/>
    <n v="42"/>
    <n v="1"/>
    <n v="5873.54"/>
    <d v="2024-11-04T08:07:12"/>
    <n v="16"/>
    <s v="Thursday"/>
    <n v="-0.56871352733507496"/>
    <b v="0"/>
    <b v="0"/>
    <b v="1"/>
    <n v="0"/>
    <m/>
    <n v="0"/>
    <m/>
  </r>
  <r>
    <s v="TX000222"/>
    <s v="AC00414"/>
    <n v="485.51"/>
    <d v="2023-11-28T16:49:27"/>
    <s v="Credit"/>
    <x v="20"/>
    <s v="D000460"/>
    <s v="91.204.200.167"/>
    <s v="M097"/>
    <s v="Online"/>
    <n v="76"/>
    <s v="Retired"/>
    <n v="37"/>
    <n v="1"/>
    <n v="3074.45"/>
    <d v="2024-11-04T08:08:02"/>
    <n v="16"/>
    <s v="Tuesday"/>
    <n v="0.64366720378588604"/>
    <b v="0"/>
    <b v="0"/>
    <b v="1"/>
    <n v="0"/>
    <m/>
    <n v="0"/>
    <m/>
  </r>
  <r>
    <s v="TX000223"/>
    <s v="AC00004"/>
    <n v="547.87"/>
    <d v="2023-07-10T17:15:27"/>
    <s v="Debit"/>
    <x v="15"/>
    <s v="D000183"/>
    <s v="188.205.152.176"/>
    <s v="M064"/>
    <s v="ATM"/>
    <n v="64"/>
    <s v="Retired"/>
    <n v="131"/>
    <n v="1"/>
    <n v="6155.76"/>
    <d v="2024-11-04T08:10:31"/>
    <n v="17"/>
    <s v="Monday"/>
    <n v="0.85726817113354303"/>
    <b v="0"/>
    <b v="0"/>
    <b v="1"/>
    <n v="0"/>
    <m/>
    <n v="0"/>
    <m/>
  </r>
  <r>
    <s v="TX000224"/>
    <s v="AC00047"/>
    <n v="457.3"/>
    <d v="2023-06-26T18:25:21"/>
    <s v="Debit"/>
    <x v="33"/>
    <s v="D000214"/>
    <s v="62.27.235.199"/>
    <s v="M042"/>
    <s v="Online"/>
    <n v="28"/>
    <s v="Engineer"/>
    <n v="15"/>
    <n v="1"/>
    <n v="8318.2900000000009"/>
    <d v="2024-11-04T08:07:53"/>
    <n v="18"/>
    <s v="Monday"/>
    <n v="0.54703982583724298"/>
    <b v="0"/>
    <b v="0"/>
    <b v="1"/>
    <n v="0"/>
    <m/>
    <n v="0"/>
    <m/>
  </r>
  <r>
    <s v="TX000225"/>
    <s v="AC00198"/>
    <n v="506.24"/>
    <d v="2023-01-13T16:44:26"/>
    <s v="Debit"/>
    <x v="29"/>
    <s v="D000315"/>
    <s v="136.104.90.223"/>
    <s v="M077"/>
    <s v="ATM"/>
    <n v="58"/>
    <s v="Engineer"/>
    <n v="64"/>
    <n v="1"/>
    <n v="230.09"/>
    <d v="2024-11-04T08:11:40"/>
    <n v="16"/>
    <s v="Friday"/>
    <n v="0.71467342657480404"/>
    <b v="0"/>
    <b v="0"/>
    <b v="1"/>
    <n v="0"/>
    <m/>
    <n v="0"/>
    <m/>
  </r>
  <r>
    <s v="TX000226"/>
    <s v="AC00314"/>
    <n v="486.59"/>
    <d v="2023-12-19T16:55:17"/>
    <s v="Debit"/>
    <x v="7"/>
    <s v="D000029"/>
    <s v="129.102.184.189"/>
    <s v="M017"/>
    <s v="Branch"/>
    <n v="57"/>
    <s v="Retired"/>
    <n v="119"/>
    <n v="1"/>
    <n v="2513.56"/>
    <d v="2024-11-04T08:10:02"/>
    <n v="16"/>
    <s v="Tuesday"/>
    <n v="0.64736651495868103"/>
    <b v="0"/>
    <b v="0"/>
    <b v="1"/>
    <n v="0"/>
    <m/>
    <n v="0"/>
    <m/>
  </r>
  <r>
    <s v="TX000227"/>
    <s v="AC00212"/>
    <n v="163.68"/>
    <d v="2023-09-28T16:20:57"/>
    <s v="Debit"/>
    <x v="0"/>
    <s v="D000440"/>
    <s v="35.67.21.23"/>
    <s v="M087"/>
    <s v="Branch"/>
    <n v="41"/>
    <s v="Doctor"/>
    <n v="292"/>
    <n v="1"/>
    <n v="10090.049999999999"/>
    <d v="2024-11-04T08:11:01"/>
    <n v="16"/>
    <s v="Thursday"/>
    <n v="-0.45869327282566602"/>
    <b v="0"/>
    <b v="0"/>
    <b v="1"/>
    <n v="0"/>
    <m/>
    <n v="0"/>
    <m/>
  </r>
  <r>
    <s v="TX000228"/>
    <s v="AC00115"/>
    <n v="581.65"/>
    <d v="2023-01-09T16:54:58"/>
    <s v="Debit"/>
    <x v="35"/>
    <s v="D000666"/>
    <s v="80.92.209.207"/>
    <s v="M009"/>
    <s v="ATM"/>
    <n v="22"/>
    <s v="Student"/>
    <n v="176"/>
    <n v="1"/>
    <n v="480.19"/>
    <d v="2024-11-04T08:09:39"/>
    <n v="16"/>
    <s v="Monday"/>
    <n v="0.97297440392706303"/>
    <b v="0"/>
    <b v="0"/>
    <b v="1"/>
    <n v="0"/>
    <m/>
    <n v="0"/>
    <m/>
  </r>
  <r>
    <s v="TX000229"/>
    <s v="AC00055"/>
    <n v="52.01"/>
    <d v="2023-11-07T16:46:04"/>
    <s v="Debit"/>
    <x v="2"/>
    <s v="D000652"/>
    <s v="178.34.103.183"/>
    <s v="M019"/>
    <s v="ATM"/>
    <n v="48"/>
    <s v="Doctor"/>
    <n v="85"/>
    <n v="1"/>
    <n v="1120.8800000000001"/>
    <d v="2024-11-04T08:11:27"/>
    <n v="16"/>
    <s v="Tuesday"/>
    <n v="-0.84119519751637895"/>
    <b v="0"/>
    <b v="0"/>
    <b v="1"/>
    <n v="0"/>
    <m/>
    <n v="0"/>
    <m/>
  </r>
  <r>
    <s v="TX000230"/>
    <s v="AC00427"/>
    <n v="630.24"/>
    <d v="2023-11-29T18:10:30"/>
    <s v="Debit"/>
    <x v="35"/>
    <s v="D000548"/>
    <s v="12.246.170.239"/>
    <s v="M054"/>
    <s v="ATM"/>
    <n v="21"/>
    <s v="Student"/>
    <n v="62"/>
    <n v="1"/>
    <n v="370.81"/>
    <d v="2024-11-04T08:11:52"/>
    <n v="18"/>
    <s v="Wednesday"/>
    <n v="1.13940915382158"/>
    <b v="0"/>
    <b v="0"/>
    <b v="1"/>
    <n v="0"/>
    <m/>
    <n v="0"/>
    <m/>
  </r>
  <r>
    <s v="TX000231"/>
    <s v="AC00401"/>
    <n v="523.74"/>
    <d v="2023-11-02T16:36:37"/>
    <s v="Debit"/>
    <x v="5"/>
    <s v="D000551"/>
    <s v="216.151.64.40"/>
    <s v="M099"/>
    <s v="ATM"/>
    <n v="43"/>
    <s v="Doctor"/>
    <n v="159"/>
    <n v="1"/>
    <n v="13498.55"/>
    <d v="2024-11-04T08:06:52"/>
    <n v="16"/>
    <s v="Thursday"/>
    <n v="0.77461596872656802"/>
    <b v="0"/>
    <b v="0"/>
    <b v="1"/>
    <n v="0"/>
    <m/>
    <n v="0"/>
    <m/>
  </r>
  <r>
    <s v="TX000232"/>
    <s v="AC00430"/>
    <n v="705.6"/>
    <d v="2023-02-20T18:41:43"/>
    <s v="Debit"/>
    <x v="37"/>
    <s v="D000103"/>
    <s v="205.45.234.42"/>
    <s v="M071"/>
    <s v="Branch"/>
    <n v="40"/>
    <s v="Doctor"/>
    <n v="124"/>
    <n v="3"/>
    <n v="14804.7"/>
    <d v="2024-11-04T08:09:04"/>
    <n v="18"/>
    <s v="Monday"/>
    <n v="1.39753886676769"/>
    <b v="0"/>
    <b v="1"/>
    <b v="1"/>
    <n v="1"/>
    <m/>
    <n v="0"/>
    <m/>
  </r>
  <r>
    <s v="TX000233"/>
    <s v="AC00299"/>
    <n v="217.5"/>
    <d v="2023-10-23T18:54:48"/>
    <s v="Credit"/>
    <x v="13"/>
    <s v="D000485"/>
    <s v="101.90.40.193"/>
    <s v="M043"/>
    <s v="Branch"/>
    <n v="46"/>
    <s v="Engineer"/>
    <n v="35"/>
    <n v="1"/>
    <n v="3057.4"/>
    <d v="2024-11-04T08:06:58"/>
    <n v="18"/>
    <s v="Monday"/>
    <n v="-0.27434426604807"/>
    <b v="0"/>
    <b v="0"/>
    <b v="1"/>
    <n v="0"/>
    <m/>
    <n v="0"/>
    <m/>
  </r>
  <r>
    <s v="TX000234"/>
    <s v="AC00345"/>
    <n v="91.48"/>
    <d v="2023-01-23T16:50:31"/>
    <s v="Debit"/>
    <x v="18"/>
    <s v="D000295"/>
    <s v="160.74.183.38"/>
    <s v="M081"/>
    <s v="ATM"/>
    <n v="51"/>
    <s v="Doctor"/>
    <n v="141"/>
    <n v="1"/>
    <n v="14942.78"/>
    <d v="2024-11-04T08:09:17"/>
    <n v="16"/>
    <s v="Monday"/>
    <n v="-0.70599907530322903"/>
    <b v="0"/>
    <b v="0"/>
    <b v="1"/>
    <n v="0"/>
    <m/>
    <n v="0"/>
    <m/>
  </r>
  <r>
    <s v="TX000235"/>
    <s v="AC00430"/>
    <n v="5.25"/>
    <d v="2023-11-13T18:26:24"/>
    <s v="Debit"/>
    <x v="24"/>
    <s v="D000571"/>
    <s v="93.170.203.44"/>
    <s v="M010"/>
    <s v="ATM"/>
    <n v="39"/>
    <s v="Doctor"/>
    <n v="49"/>
    <n v="1"/>
    <n v="14143.32"/>
    <d v="2024-11-04T08:12:22"/>
    <n v="18"/>
    <s v="Monday"/>
    <n v="-1.0013616701458901"/>
    <b v="0"/>
    <b v="0"/>
    <b v="1"/>
    <n v="0"/>
    <m/>
    <n v="0"/>
    <m/>
  </r>
  <r>
    <s v="TX000236"/>
    <s v="AC00175"/>
    <n v="54.03"/>
    <d v="2023-09-19T17:16:46"/>
    <s v="Credit"/>
    <x v="20"/>
    <s v="D000519"/>
    <s v="161.25.82.11"/>
    <s v="M087"/>
    <s v="ATM"/>
    <n v="56"/>
    <s v="Retired"/>
    <n v="161"/>
    <n v="1"/>
    <n v="6736.3"/>
    <d v="2024-11-04T08:07:36"/>
    <n v="17"/>
    <s v="Tuesday"/>
    <n v="-0.83427611550800396"/>
    <b v="0"/>
    <b v="0"/>
    <b v="1"/>
    <n v="0"/>
    <m/>
    <n v="0"/>
    <m/>
  </r>
  <r>
    <s v="TX000237"/>
    <s v="AC00177"/>
    <n v="736.73"/>
    <d v="2023-11-27T16:05:27"/>
    <s v="Debit"/>
    <x v="11"/>
    <s v="D000167"/>
    <s v="107.247.202.71"/>
    <s v="M037"/>
    <s v="Branch"/>
    <n v="48"/>
    <s v="Engineer"/>
    <n v="10"/>
    <n v="1"/>
    <n v="3313.07"/>
    <d v="2024-11-04T08:10:54"/>
    <n v="16"/>
    <s v="Monday"/>
    <n v="1.5041680860353801"/>
    <b v="0"/>
    <b v="0"/>
    <b v="1"/>
    <n v="0"/>
    <m/>
    <n v="0"/>
    <m/>
  </r>
  <r>
    <s v="TX000238"/>
    <s v="AC00225"/>
    <n v="368.91"/>
    <d v="2023-03-10T17:49:57"/>
    <s v="Debit"/>
    <x v="33"/>
    <s v="D000221"/>
    <s v="218.238.171.184"/>
    <s v="M082"/>
    <s v="Branch"/>
    <n v="54"/>
    <s v="Doctor"/>
    <n v="14"/>
    <n v="1"/>
    <n v="829.71"/>
    <d v="2024-11-04T08:10:28"/>
    <n v="17"/>
    <s v="Friday"/>
    <n v="0.24427860864899101"/>
    <b v="0"/>
    <b v="0"/>
    <b v="1"/>
    <n v="0"/>
    <m/>
    <n v="0"/>
    <m/>
  </r>
  <r>
    <s v="TX000239"/>
    <s v="AC00394"/>
    <n v="33.06"/>
    <d v="2023-01-17T16:03:41"/>
    <s v="Credit"/>
    <x v="18"/>
    <s v="D000417"/>
    <s v="63.67.150.226"/>
    <s v="M045"/>
    <s v="Online"/>
    <n v="53"/>
    <s v="Retired"/>
    <n v="170"/>
    <n v="1"/>
    <n v="1540.87"/>
    <d v="2024-11-04T08:06:43"/>
    <n v="16"/>
    <s v="Tuesday"/>
    <n v="-0.90610440744643195"/>
    <b v="0"/>
    <b v="0"/>
    <b v="1"/>
    <n v="0"/>
    <m/>
    <n v="0"/>
    <m/>
  </r>
  <r>
    <s v="TX000240"/>
    <s v="AC00026"/>
    <n v="66.5"/>
    <d v="2023-05-04T16:44:56"/>
    <s v="Credit"/>
    <x v="12"/>
    <s v="D000419"/>
    <s v="13.88.251.53"/>
    <s v="M098"/>
    <s v="Online"/>
    <n v="32"/>
    <s v="Engineer"/>
    <n v="144"/>
    <n v="1"/>
    <n v="6820.23"/>
    <d v="2024-11-04T08:08:06"/>
    <n v="16"/>
    <s v="Thursday"/>
    <n v="-0.79156277261471897"/>
    <b v="0"/>
    <b v="0"/>
    <b v="1"/>
    <n v="0"/>
    <m/>
    <n v="0"/>
    <m/>
  </r>
  <r>
    <s v="TX000241"/>
    <s v="AC00076"/>
    <n v="177.08"/>
    <d v="2023-01-06T17:16:44"/>
    <s v="Debit"/>
    <x v="17"/>
    <s v="D000450"/>
    <s v="176.96.83.253"/>
    <s v="M014"/>
    <s v="Online"/>
    <n v="35"/>
    <s v="Doctor"/>
    <n v="85"/>
    <n v="1"/>
    <n v="13475.14"/>
    <d v="2024-11-04T08:12:21"/>
    <n v="17"/>
    <s v="Friday"/>
    <n v="-0.41279441197803002"/>
    <b v="0"/>
    <b v="0"/>
    <b v="1"/>
    <n v="0"/>
    <m/>
    <n v="0"/>
    <m/>
  </r>
  <r>
    <s v="TX000242"/>
    <s v="AC00215"/>
    <n v="588.54"/>
    <d v="2023-02-06T17:57:28"/>
    <s v="Debit"/>
    <x v="42"/>
    <s v="D000609"/>
    <s v="211.97.88.141"/>
    <s v="M031"/>
    <s v="Branch"/>
    <n v="32"/>
    <s v="Engineer"/>
    <n v="130"/>
    <n v="1"/>
    <n v="714.45"/>
    <d v="2024-11-04T08:10:37"/>
    <n v="17"/>
    <s v="Monday"/>
    <n v="0.99657463909424304"/>
    <b v="0"/>
    <b v="0"/>
    <b v="1"/>
    <n v="0"/>
    <m/>
    <n v="0"/>
    <m/>
  </r>
  <r>
    <s v="TX000243"/>
    <s v="AC00202"/>
    <n v="173.5"/>
    <d v="2023-10-23T17:16:20"/>
    <s v="Debit"/>
    <x v="9"/>
    <s v="D000235"/>
    <s v="32.13.122.242"/>
    <s v="M052"/>
    <s v="ATM"/>
    <n v="21"/>
    <s v="Student"/>
    <n v="282"/>
    <n v="1"/>
    <n v="1306.9100000000001"/>
    <d v="2024-11-04T08:11:52"/>
    <n v="17"/>
    <s v="Monday"/>
    <n v="-0.42505694345821898"/>
    <b v="0"/>
    <b v="0"/>
    <b v="1"/>
    <n v="0"/>
    <m/>
    <n v="0"/>
    <m/>
  </r>
  <r>
    <s v="TX000244"/>
    <s v="AC00400"/>
    <n v="78.33"/>
    <d v="2023-07-31T16:13:12"/>
    <s v="Credit"/>
    <x v="11"/>
    <s v="D000191"/>
    <s v="85.240.254.83"/>
    <s v="M069"/>
    <s v="Online"/>
    <n v="56"/>
    <s v="Engineer"/>
    <n v="189"/>
    <n v="1"/>
    <n v="7255.33"/>
    <d v="2024-11-04T08:08:18"/>
    <n v="16"/>
    <s v="Monday"/>
    <n v="-0.75104161412012604"/>
    <b v="0"/>
    <b v="0"/>
    <b v="1"/>
    <n v="0"/>
    <m/>
    <n v="0"/>
    <m/>
  </r>
  <r>
    <s v="TX000245"/>
    <s v="AC00004"/>
    <n v="40.659999999999997"/>
    <d v="2024-01-01T16:08:49"/>
    <s v="Debit"/>
    <x v="12"/>
    <s v="D000214"/>
    <s v="148.25.159.90"/>
    <s v="M061"/>
    <s v="Branch"/>
    <n v="59"/>
    <s v="Retired"/>
    <n v="156"/>
    <n v="1"/>
    <n v="1153.8399999999999"/>
    <d v="2024-11-04T08:11:28"/>
    <n v="16"/>
    <s v="Monday"/>
    <n v="-0.88007221771195199"/>
    <b v="0"/>
    <b v="0"/>
    <b v="1"/>
    <n v="0"/>
    <m/>
    <n v="0"/>
    <m/>
  </r>
  <r>
    <s v="TX000246"/>
    <s v="AC00260"/>
    <n v="97.22"/>
    <d v="2023-02-20T17:30:19"/>
    <s v="Credit"/>
    <x v="4"/>
    <s v="D000507"/>
    <s v="188.205.152.176"/>
    <s v="M063"/>
    <s v="Branch"/>
    <n v="77"/>
    <s v="Retired"/>
    <n v="55"/>
    <n v="1"/>
    <n v="6647.73"/>
    <d v="2024-11-04T08:11:17"/>
    <n v="17"/>
    <s v="Monday"/>
    <n v="-0.68633792147745099"/>
    <b v="0"/>
    <b v="0"/>
    <b v="1"/>
    <n v="0"/>
    <m/>
    <n v="0"/>
    <m/>
  </r>
  <r>
    <s v="TX000247"/>
    <s v="AC00415"/>
    <n v="34.07"/>
    <d v="2023-11-06T17:22:58"/>
    <s v="Debit"/>
    <x v="26"/>
    <s v="D000158"/>
    <s v="29.168.185.63"/>
    <s v="M080"/>
    <s v="Branch"/>
    <n v="22"/>
    <s v="Student"/>
    <n v="81"/>
    <n v="1"/>
    <n v="8709.77"/>
    <d v="2024-11-04T08:07:21"/>
    <n v="17"/>
    <s v="Monday"/>
    <n v="-0.90264486644224495"/>
    <b v="0"/>
    <b v="0"/>
    <b v="1"/>
    <n v="0"/>
    <m/>
    <n v="0"/>
    <m/>
  </r>
  <r>
    <s v="TX000248"/>
    <s v="AC00337"/>
    <n v="492.06"/>
    <d v="2023-10-19T16:14:15"/>
    <s v="Debit"/>
    <x v="41"/>
    <s v="D000411"/>
    <s v="60.166.231.236"/>
    <s v="M012"/>
    <s v="Online"/>
    <n v="23"/>
    <s v="Student"/>
    <n v="74"/>
    <n v="1"/>
    <n v="857.9"/>
    <d v="2024-11-04T08:09:56"/>
    <n v="16"/>
    <s v="Thursday"/>
    <n v="0.66610284099126105"/>
    <b v="0"/>
    <b v="0"/>
    <b v="1"/>
    <n v="0"/>
    <m/>
    <n v="0"/>
    <m/>
  </r>
  <r>
    <s v="TX000249"/>
    <s v="AC00253"/>
    <n v="842.01"/>
    <d v="2023-09-12T16:43:27"/>
    <s v="Credit"/>
    <x v="33"/>
    <s v="D000209"/>
    <s v="62.152.134.92"/>
    <s v="M015"/>
    <s v="Online"/>
    <n v="53"/>
    <s v="Doctor"/>
    <n v="185"/>
    <n v="1"/>
    <n v="509.45"/>
    <d v="2024-11-04T08:08:33"/>
    <n v="16"/>
    <s v="Tuesday"/>
    <n v="1.8647824196203899"/>
    <b v="0"/>
    <b v="0"/>
    <b v="1"/>
    <n v="0"/>
    <m/>
    <n v="0"/>
    <m/>
  </r>
  <r>
    <s v="TX000250"/>
    <s v="AC00126"/>
    <n v="73.55"/>
    <d v="2023-01-09T16:09:48"/>
    <s v="Debit"/>
    <x v="4"/>
    <s v="D000210"/>
    <s v="196.121.240.10"/>
    <s v="M086"/>
    <s v="ATM"/>
    <n v="51"/>
    <s v="Engineer"/>
    <n v="158"/>
    <n v="1"/>
    <n v="2812.06"/>
    <d v="2024-11-04T08:11:21"/>
    <n v="16"/>
    <s v="Monday"/>
    <n v="-0.76741449134786499"/>
    <b v="0"/>
    <b v="0"/>
    <b v="1"/>
    <n v="0"/>
    <m/>
    <n v="0"/>
    <m/>
  </r>
  <r>
    <s v="TX000251"/>
    <s v="AC00304"/>
    <n v="760.53"/>
    <d v="2023-09-04T18:13:25"/>
    <s v="Debit"/>
    <x v="37"/>
    <s v="D000651"/>
    <s v="177.116.108.246"/>
    <s v="M005"/>
    <s v="Online"/>
    <n v="57"/>
    <s v="Engineer"/>
    <n v="118"/>
    <n v="1"/>
    <n v="6179.91"/>
    <d v="2024-11-04T08:09:35"/>
    <n v="18"/>
    <s v="Monday"/>
    <n v="1.5856899433617699"/>
    <b v="0"/>
    <b v="0"/>
    <b v="1"/>
    <n v="0"/>
    <m/>
    <n v="0"/>
    <m/>
  </r>
  <r>
    <s v="TX000252"/>
    <s v="AC00470"/>
    <n v="273.08"/>
    <d v="2023-01-30T16:09:08"/>
    <s v="Credit"/>
    <x v="1"/>
    <s v="D000534"/>
    <s v="150.231.20.169"/>
    <s v="M007"/>
    <s v="Branch"/>
    <n v="26"/>
    <s v="Engineer"/>
    <n v="134"/>
    <n v="1"/>
    <n v="6609.3"/>
    <d v="2024-11-04T08:07:57"/>
    <n v="16"/>
    <s v="Monday"/>
    <n v="-8.3966752174068196E-2"/>
    <b v="0"/>
    <b v="0"/>
    <b v="1"/>
    <n v="0"/>
    <m/>
    <n v="0"/>
    <m/>
  </r>
  <r>
    <s v="TX000253"/>
    <s v="AC00041"/>
    <n v="371.69"/>
    <d v="2023-12-22T16:27:49"/>
    <s v="Debit"/>
    <x v="23"/>
    <s v="D000374"/>
    <s v="124.180.225.109"/>
    <s v="M020"/>
    <s v="Branch"/>
    <n v="67"/>
    <s v="Retired"/>
    <n v="143"/>
    <n v="1"/>
    <n v="3484.32"/>
    <d v="2024-11-04T08:09:59"/>
    <n v="16"/>
    <s v="Friday"/>
    <n v="0.25380090963081398"/>
    <b v="0"/>
    <b v="0"/>
    <b v="1"/>
    <n v="0"/>
    <m/>
    <n v="0"/>
    <m/>
  </r>
  <r>
    <s v="TX000254"/>
    <s v="AC00442"/>
    <n v="218.96"/>
    <d v="2023-08-30T16:11:47"/>
    <s v="Debit"/>
    <x v="6"/>
    <s v="D000556"/>
    <s v="52.196.112.199"/>
    <s v="M021"/>
    <s v="ATM"/>
    <n v="18"/>
    <s v="Student"/>
    <n v="13"/>
    <n v="1"/>
    <n v="754.21"/>
    <d v="2024-11-04T08:10:35"/>
    <n v="16"/>
    <s v="Wednesday"/>
    <n v="-0.26934334538855098"/>
    <b v="0"/>
    <b v="0"/>
    <b v="1"/>
    <n v="0"/>
    <m/>
    <n v="0"/>
    <m/>
  </r>
  <r>
    <s v="TX000255"/>
    <s v="AC00430"/>
    <n v="227.39"/>
    <d v="2023-12-25T16:58:19"/>
    <s v="Debit"/>
    <x v="4"/>
    <s v="D000207"/>
    <s v="96.115.67.230"/>
    <s v="M010"/>
    <s v="Online"/>
    <n v="18"/>
    <s v="Student"/>
    <n v="65"/>
    <n v="1"/>
    <n v="751.09"/>
    <d v="2024-11-04T08:11:36"/>
    <n v="16"/>
    <s v="Monday"/>
    <n v="-0.240468166512016"/>
    <b v="0"/>
    <b v="0"/>
    <b v="1"/>
    <n v="0"/>
    <m/>
    <n v="0"/>
    <m/>
  </r>
  <r>
    <s v="TX000256"/>
    <s v="AC00258"/>
    <n v="237.99"/>
    <d v="2023-05-08T16:45:11"/>
    <s v="Credit"/>
    <x v="31"/>
    <s v="D000563"/>
    <s v="168.55.35.243"/>
    <s v="M043"/>
    <s v="Branch"/>
    <n v="39"/>
    <s v="Doctor"/>
    <n v="86"/>
    <n v="1"/>
    <n v="8510.09"/>
    <d v="2024-11-04T08:11:36"/>
    <n v="16"/>
    <s v="Monday"/>
    <n v="-0.204160112408662"/>
    <b v="0"/>
    <b v="0"/>
    <b v="1"/>
    <n v="0"/>
    <m/>
    <n v="0"/>
    <m/>
  </r>
  <r>
    <s v="TX000257"/>
    <s v="AC00073"/>
    <n v="186.6"/>
    <d v="2023-07-04T16:27:23"/>
    <s v="Debit"/>
    <x v="38"/>
    <s v="D000149"/>
    <s v="52.1.78.30"/>
    <s v="M037"/>
    <s v="Online"/>
    <n v="58"/>
    <s v="Doctor"/>
    <n v="13"/>
    <n v="1"/>
    <n v="1508.72"/>
    <d v="2024-11-04T08:06:24"/>
    <n v="16"/>
    <s v="Tuesday"/>
    <n v="-0.38018566904746998"/>
    <b v="0"/>
    <b v="0"/>
    <b v="1"/>
    <n v="0"/>
    <m/>
    <n v="0"/>
    <m/>
  </r>
  <r>
    <s v="TX000258"/>
    <s v="AC00430"/>
    <n v="341.15"/>
    <d v="2023-02-13T17:18:15"/>
    <s v="Debit"/>
    <x v="24"/>
    <s v="D000453"/>
    <s v="6.44.165.160"/>
    <s v="M042"/>
    <s v="Online"/>
    <n v="18"/>
    <s v="Student"/>
    <n v="148"/>
    <n v="1"/>
    <n v="511.37"/>
    <d v="2024-11-04T08:10:09"/>
    <n v="17"/>
    <s v="Monday"/>
    <n v="0.14919261035567799"/>
    <b v="0"/>
    <b v="0"/>
    <b v="1"/>
    <n v="0"/>
    <m/>
    <n v="0"/>
    <m/>
  </r>
  <r>
    <s v="TX000259"/>
    <s v="AC00363"/>
    <n v="434.58"/>
    <d v="2023-09-06T16:28:38"/>
    <s v="Debit"/>
    <x v="11"/>
    <s v="D000136"/>
    <s v="80.92.209.207"/>
    <s v="M091"/>
    <s v="ATM"/>
    <n v="59"/>
    <s v="Doctor"/>
    <n v="215"/>
    <n v="1"/>
    <n v="12648.32"/>
    <d v="2024-11-04T08:08:15"/>
    <n v="16"/>
    <s v="Wednesday"/>
    <n v="0.46921727968363802"/>
    <b v="0"/>
    <b v="0"/>
    <b v="1"/>
    <n v="0"/>
    <m/>
    <n v="0"/>
    <m/>
  </r>
  <r>
    <s v="TX000260"/>
    <s v="AC00307"/>
    <n v="312.88"/>
    <d v="2023-05-26T18:12:50"/>
    <s v="Credit"/>
    <x v="42"/>
    <s v="D000503"/>
    <s v="201.114.165.141"/>
    <s v="M040"/>
    <s v="Branch"/>
    <n v="54"/>
    <s v="Engineer"/>
    <n v="44"/>
    <n v="1"/>
    <n v="233.21"/>
    <d v="2024-11-04T08:07:23"/>
    <n v="18"/>
    <s v="Friday"/>
    <n v="5.2359715119657702E-2"/>
    <b v="0"/>
    <b v="0"/>
    <b v="1"/>
    <n v="0"/>
    <m/>
    <n v="0"/>
    <m/>
  </r>
  <r>
    <s v="TX000261"/>
    <s v="AC00085"/>
    <n v="75.150000000000006"/>
    <d v="2023-09-18T17:31:23"/>
    <s v="Debit"/>
    <x v="35"/>
    <s v="D000014"/>
    <s v="135.29.211.116"/>
    <s v="M094"/>
    <s v="ATM"/>
    <n v="23"/>
    <s v="Student"/>
    <n v="154"/>
    <n v="1"/>
    <n v="1092.92"/>
    <d v="2024-11-04T08:11:00"/>
    <n v="17"/>
    <s v="Monday"/>
    <n v="-0.76193403035113305"/>
    <b v="0"/>
    <b v="0"/>
    <b v="1"/>
    <n v="0"/>
    <m/>
    <n v="0"/>
    <m/>
  </r>
  <r>
    <s v="TX000262"/>
    <s v="AC00448"/>
    <n v="23.3"/>
    <d v="2023-08-14T18:13:38"/>
    <s v="Debit"/>
    <x v="16"/>
    <s v="D000385"/>
    <s v="111.226.226.202"/>
    <s v="M061"/>
    <s v="ATM"/>
    <n v="59"/>
    <s v="Engineer"/>
    <n v="161"/>
    <n v="1"/>
    <n v="6711.15"/>
    <d v="2024-11-04T08:08:06"/>
    <n v="18"/>
    <s v="Monday"/>
    <n v="-0.93953521952650199"/>
    <b v="0"/>
    <b v="0"/>
    <b v="1"/>
    <n v="0"/>
    <m/>
    <n v="0"/>
    <m/>
  </r>
  <r>
    <s v="TX000263"/>
    <s v="AC00194"/>
    <n v="47.38"/>
    <d v="2023-02-08T18:18:07"/>
    <s v="Credit"/>
    <x v="6"/>
    <s v="D000388"/>
    <s v="150.231.20.169"/>
    <s v="M061"/>
    <s v="Online"/>
    <n v="25"/>
    <s v="Student"/>
    <n v="61"/>
    <n v="1"/>
    <n v="459.37"/>
    <d v="2024-11-04T08:07:05"/>
    <n v="18"/>
    <s v="Wednesday"/>
    <n v="-0.85705428152567498"/>
    <b v="0"/>
    <b v="0"/>
    <b v="1"/>
    <n v="0"/>
    <m/>
    <n v="0"/>
    <m/>
  </r>
  <r>
    <s v="TX000264"/>
    <s v="AC00319"/>
    <n v="512.80999999999995"/>
    <d v="2023-07-19T16:57:01"/>
    <s v="Debit"/>
    <x v="30"/>
    <s v="D000611"/>
    <s v="82.75.200.117"/>
    <s v="M004"/>
    <s v="Branch"/>
    <n v="79"/>
    <s v="Retired"/>
    <n v="30"/>
    <n v="1"/>
    <n v="6994.34"/>
    <d v="2024-11-04T08:11:58"/>
    <n v="16"/>
    <s v="Wednesday"/>
    <n v="0.73717756954263802"/>
    <b v="0"/>
    <b v="0"/>
    <b v="1"/>
    <n v="0"/>
    <m/>
    <n v="0"/>
    <m/>
  </r>
  <r>
    <s v="TX000265"/>
    <s v="AC00366"/>
    <n v="488.15"/>
    <d v="2023-07-31T16:01:00"/>
    <s v="Debit"/>
    <x v="12"/>
    <s v="D000257"/>
    <s v="81.102.230.41"/>
    <s v="M098"/>
    <s v="Branch"/>
    <n v="43"/>
    <s v="Engineer"/>
    <n v="168"/>
    <n v="1"/>
    <n v="7071.09"/>
    <d v="2024-11-04T08:11:13"/>
    <n v="16"/>
    <s v="Monday"/>
    <n v="0.652709964430495"/>
    <b v="0"/>
    <b v="0"/>
    <b v="1"/>
    <n v="0"/>
    <m/>
    <n v="0"/>
    <m/>
  </r>
  <r>
    <s v="TX000266"/>
    <s v="AC00338"/>
    <n v="12.82"/>
    <d v="2023-04-05T18:37:10"/>
    <s v="Debit"/>
    <x v="18"/>
    <s v="D000482"/>
    <s v="152.234.65.155"/>
    <s v="M055"/>
    <s v="ATM"/>
    <n v="44"/>
    <s v="Engineer"/>
    <n v="156"/>
    <n v="1"/>
    <n v="9045.19"/>
    <d v="2024-11-04T08:08:25"/>
    <n v="18"/>
    <s v="Wednesday"/>
    <n v="-0.97543223905510101"/>
    <b v="0"/>
    <b v="0"/>
    <b v="1"/>
    <n v="0"/>
    <m/>
    <n v="0"/>
    <m/>
  </r>
  <r>
    <s v="TX000267"/>
    <s v="AC00178"/>
    <n v="66.900000000000006"/>
    <d v="2023-04-17T16:50:45"/>
    <s v="Credit"/>
    <x v="27"/>
    <s v="D000221"/>
    <s v="138.210.196.19"/>
    <s v="M021"/>
    <s v="Online"/>
    <n v="79"/>
    <s v="Retired"/>
    <n v="129"/>
    <n v="4"/>
    <n v="5238.71"/>
    <d v="2024-11-04T08:10:39"/>
    <n v="16"/>
    <s v="Monday"/>
    <n v="-0.79019265736553601"/>
    <b v="0"/>
    <b v="1"/>
    <b v="1"/>
    <n v="1"/>
    <m/>
    <n v="0"/>
    <m/>
  </r>
  <r>
    <s v="TX000268"/>
    <s v="AC00424"/>
    <n v="535.91"/>
    <d v="2023-07-07T16:38:12"/>
    <s v="Debit"/>
    <x v="17"/>
    <s v="D000583"/>
    <s v="104.80.232.55"/>
    <s v="M097"/>
    <s v="Online"/>
    <n v="43"/>
    <s v="Engineer"/>
    <n v="22"/>
    <n v="1"/>
    <n v="9642.1200000000008"/>
    <d v="2024-11-04T08:10:49"/>
    <n v="16"/>
    <s v="Friday"/>
    <n v="0.81630172518296595"/>
    <b v="0"/>
    <b v="0"/>
    <b v="1"/>
    <n v="0"/>
    <m/>
    <n v="0"/>
    <m/>
  </r>
  <r>
    <s v="TX000269"/>
    <s v="AC00147"/>
    <n v="270.72000000000003"/>
    <d v="2023-07-03T18:01:00"/>
    <s v="Credit"/>
    <x v="38"/>
    <s v="D000508"/>
    <s v="26.240.219.199"/>
    <s v="M094"/>
    <s v="Online"/>
    <n v="26"/>
    <s v="Engineer"/>
    <n v="53"/>
    <n v="1"/>
    <n v="6263.96"/>
    <d v="2024-11-04T08:11:05"/>
    <n v="18"/>
    <s v="Monday"/>
    <n v="-9.2050432144248795E-2"/>
    <b v="0"/>
    <b v="0"/>
    <b v="1"/>
    <n v="0"/>
    <m/>
    <n v="0"/>
    <m/>
  </r>
  <r>
    <s v="TX000270"/>
    <s v="AC00171"/>
    <n v="97.98"/>
    <d v="2023-02-06T16:09:48"/>
    <s v="Debit"/>
    <x v="13"/>
    <s v="D000470"/>
    <s v="211.42.9.0"/>
    <s v="M033"/>
    <s v="Branch"/>
    <n v="72"/>
    <s v="Retired"/>
    <n v="18"/>
    <n v="1"/>
    <n v="7460.33"/>
    <d v="2024-11-04T08:08:43"/>
    <n v="16"/>
    <s v="Monday"/>
    <n v="-0.68373470250400303"/>
    <b v="0"/>
    <b v="0"/>
    <b v="1"/>
    <n v="0"/>
    <m/>
    <n v="0"/>
    <m/>
  </r>
  <r>
    <s v="TX000271"/>
    <s v="AC00023"/>
    <n v="196.08"/>
    <d v="2023-08-25T16:52:28"/>
    <s v="Debit"/>
    <x v="23"/>
    <s v="D000623"/>
    <s v="198.73.211.114"/>
    <s v="M088"/>
    <s v="Online"/>
    <n v="61"/>
    <s v="Retired"/>
    <n v="98"/>
    <n v="1"/>
    <n v="4233.82"/>
    <d v="2024-11-04T08:06:31"/>
    <n v="16"/>
    <s v="Friday"/>
    <n v="-0.34771393764182901"/>
    <b v="0"/>
    <b v="0"/>
    <b v="1"/>
    <n v="0"/>
    <m/>
    <n v="0"/>
    <m/>
  </r>
  <r>
    <s v="TX000272"/>
    <s v="AC00263"/>
    <n v="251.18"/>
    <d v="2023-06-01T16:51:11"/>
    <s v="Debit"/>
    <x v="24"/>
    <s v="D000056"/>
    <s v="134.222.122.238"/>
    <s v="M058"/>
    <s v="ATM"/>
    <n v="42"/>
    <s v="Engineer"/>
    <n v="246"/>
    <n v="1"/>
    <n v="8303.9"/>
    <d v="2024-11-04T08:07:55"/>
    <n v="16"/>
    <s v="Thursday"/>
    <n v="-0.15898056206684699"/>
    <b v="0"/>
    <b v="0"/>
    <b v="1"/>
    <n v="0"/>
    <m/>
    <n v="0"/>
    <m/>
  </r>
  <r>
    <s v="TX000273"/>
    <s v="AC00423"/>
    <n v="44.52"/>
    <d v="2023-03-28T18:30:25"/>
    <s v="Debit"/>
    <x v="39"/>
    <s v="D000618"/>
    <s v="89.21.156.229"/>
    <s v="M081"/>
    <s v="Online"/>
    <n v="28"/>
    <s v="Student"/>
    <n v="205"/>
    <n v="1"/>
    <n v="314.27999999999997"/>
    <d v="2024-11-04T08:10:28"/>
    <n v="18"/>
    <s v="Tuesday"/>
    <n v="-0.86685060555733395"/>
    <b v="0"/>
    <b v="0"/>
    <b v="1"/>
    <n v="0"/>
    <m/>
    <n v="0"/>
    <m/>
  </r>
  <r>
    <s v="TX000274"/>
    <s v="AC00455"/>
    <n v="178.87"/>
    <d v="2023-05-23T16:03:54"/>
    <s v="Debit"/>
    <x v="21"/>
    <s v="D000663"/>
    <s v="134.247.5.188"/>
    <s v="M001"/>
    <s v="Online"/>
    <n v="35"/>
    <s v="Doctor"/>
    <n v="180"/>
    <n v="1"/>
    <n v="5241.2299999999996"/>
    <d v="2024-11-04T08:10:16"/>
    <n v="16"/>
    <s v="Tuesday"/>
    <n v="-0.40666314623793498"/>
    <b v="0"/>
    <b v="0"/>
    <b v="1"/>
    <n v="0"/>
    <m/>
    <n v="0"/>
    <m/>
  </r>
  <r>
    <s v="TX000275"/>
    <s v="AC00454"/>
    <n v="1176.28"/>
    <d v="2023-12-20T16:08:02"/>
    <s v="Credit"/>
    <x v="31"/>
    <s v="D000476"/>
    <s v="50.202.8.53"/>
    <s v="M074"/>
    <s v="ATM"/>
    <n v="54"/>
    <s v="Engineer"/>
    <n v="174"/>
    <n v="5"/>
    <n v="323.69"/>
    <d v="2024-11-04T08:11:44"/>
    <n v="16"/>
    <s v="Wednesday"/>
    <n v="3.0097534804815398"/>
    <b v="1"/>
    <b v="1"/>
    <b v="1"/>
    <n v="2"/>
    <m/>
    <n v="1"/>
    <m/>
  </r>
  <r>
    <s v="TX000276"/>
    <s v="AC00055"/>
    <n v="386.68"/>
    <d v="2023-10-31T16:48:01"/>
    <s v="Debit"/>
    <x v="22"/>
    <s v="D000453"/>
    <s v="207.157.126.125"/>
    <s v="M019"/>
    <s v="Branch"/>
    <n v="46"/>
    <s v="Doctor"/>
    <n v="128"/>
    <n v="1"/>
    <n v="6863.06"/>
    <d v="2024-11-04T08:06:28"/>
    <n v="16"/>
    <s v="Tuesday"/>
    <n v="0.30514597859395298"/>
    <b v="0"/>
    <b v="0"/>
    <b v="1"/>
    <n v="0"/>
    <m/>
    <n v="0"/>
    <m/>
  </r>
  <r>
    <s v="TX000277"/>
    <s v="AC00403"/>
    <n v="167.14"/>
    <d v="2023-04-24T18:33:29"/>
    <s v="Debit"/>
    <x v="13"/>
    <s v="D000231"/>
    <s v="125.89.163.224"/>
    <s v="M049"/>
    <s v="Online"/>
    <n v="76"/>
    <s v="Retired"/>
    <n v="20"/>
    <n v="1"/>
    <n v="3877.73"/>
    <d v="2024-11-04T08:06:26"/>
    <n v="18"/>
    <s v="Monday"/>
    <n v="-0.446841775920232"/>
    <b v="0"/>
    <b v="0"/>
    <b v="1"/>
    <n v="0"/>
    <m/>
    <n v="0"/>
    <m/>
  </r>
  <r>
    <s v="TX000278"/>
    <s v="AC00220"/>
    <n v="345.22"/>
    <d v="2023-09-05T16:55:47"/>
    <s v="Debit"/>
    <x v="41"/>
    <s v="D000217"/>
    <s v="164.75.163.220"/>
    <s v="M025"/>
    <s v="Branch"/>
    <n v="69"/>
    <s v="Retired"/>
    <n v="253"/>
    <n v="1"/>
    <n v="4046.58"/>
    <d v="2024-11-04T08:07:36"/>
    <n v="16"/>
    <s v="Tuesday"/>
    <n v="0.16313353301611699"/>
    <b v="0"/>
    <b v="0"/>
    <b v="1"/>
    <n v="0"/>
    <m/>
    <n v="0"/>
    <m/>
  </r>
  <r>
    <s v="TX000279"/>
    <s v="AC00009"/>
    <n v="74.849999999999994"/>
    <d v="2023-12-25T17:19:08"/>
    <s v="Debit"/>
    <x v="3"/>
    <s v="D000526"/>
    <s v="191.82.103.198"/>
    <s v="M091"/>
    <s v="ATM"/>
    <n v="72"/>
    <s v="Retired"/>
    <n v="117"/>
    <n v="1"/>
    <n v="2409.73"/>
    <d v="2024-11-04T08:11:49"/>
    <n v="17"/>
    <s v="Monday"/>
    <n v="-0.76296161678801999"/>
    <b v="0"/>
    <b v="0"/>
    <b v="1"/>
    <n v="0"/>
    <m/>
    <n v="0"/>
    <m/>
  </r>
  <r>
    <s v="TX000280"/>
    <s v="AC00445"/>
    <n v="671.73"/>
    <d v="2023-10-16T16:15:54"/>
    <s v="Debit"/>
    <x v="38"/>
    <s v="D000641"/>
    <s v="112.56.160.202"/>
    <s v="M071"/>
    <s v="Branch"/>
    <n v="58"/>
    <s v="Engineer"/>
    <n v="54"/>
    <n v="1"/>
    <n v="5211.88"/>
    <d v="2024-11-04T08:12:04"/>
    <n v="16"/>
    <s v="Monday"/>
    <n v="1.2815243580431099"/>
    <b v="0"/>
    <b v="0"/>
    <b v="1"/>
    <n v="0"/>
    <m/>
    <n v="0"/>
    <m/>
  </r>
  <r>
    <s v="TX000281"/>
    <s v="AC00133"/>
    <n v="255.04"/>
    <d v="2023-11-23T16:15:59"/>
    <s v="Debit"/>
    <x v="6"/>
    <s v="D000206"/>
    <s v="98.39.212.221"/>
    <s v="M084"/>
    <s v="ATM"/>
    <n v="45"/>
    <s v="Engineer"/>
    <n v="152"/>
    <n v="1"/>
    <n v="6217.86"/>
    <d v="2024-11-04T08:11:38"/>
    <n v="16"/>
    <s v="Thursday"/>
    <n v="-0.14575894991222901"/>
    <b v="0"/>
    <b v="0"/>
    <b v="1"/>
    <n v="0"/>
    <m/>
    <n v="0"/>
    <m/>
  </r>
  <r>
    <s v="TX000282"/>
    <s v="AC00362"/>
    <n v="45.77"/>
    <d v="2023-02-09T17:50:23"/>
    <s v="Debit"/>
    <x v="26"/>
    <s v="D000484"/>
    <s v="85.239.236.80"/>
    <s v="M066"/>
    <s v="Online"/>
    <n v="25"/>
    <s v="Student"/>
    <n v="109"/>
    <n v="1"/>
    <n v="5978.12"/>
    <d v="2024-11-04T08:08:01"/>
    <n v="17"/>
    <s v="Thursday"/>
    <n v="-0.86256899540363696"/>
    <b v="0"/>
    <b v="0"/>
    <b v="1"/>
    <n v="0"/>
    <m/>
    <n v="0"/>
    <m/>
  </r>
  <r>
    <s v="TX000283"/>
    <s v="AC00026"/>
    <n v="329.69"/>
    <d v="2023-01-09T16:54:30"/>
    <s v="Credit"/>
    <x v="25"/>
    <s v="D000278"/>
    <s v="146.69.70.214"/>
    <s v="M088"/>
    <s v="Online"/>
    <n v="26"/>
    <s v="Student"/>
    <n v="66"/>
    <n v="1"/>
    <n v="1671.66"/>
    <d v="2024-11-04T08:09:49"/>
    <n v="16"/>
    <s v="Monday"/>
    <n v="0.10993880846658"/>
    <b v="0"/>
    <b v="0"/>
    <b v="1"/>
    <n v="0"/>
    <m/>
    <n v="0"/>
    <m/>
  </r>
  <r>
    <s v="TX000284"/>
    <s v="AC00387"/>
    <n v="362.04"/>
    <d v="2023-07-10T16:37:11"/>
    <s v="Credit"/>
    <x v="26"/>
    <s v="D000145"/>
    <s v="52.1.78.30"/>
    <s v="M059"/>
    <s v="Branch"/>
    <n v="58"/>
    <s v="Doctor"/>
    <n v="198"/>
    <n v="2"/>
    <n v="8421.8799999999992"/>
    <d v="2024-11-04T08:08:47"/>
    <n v="16"/>
    <s v="Monday"/>
    <n v="0.22074687924427"/>
    <b v="0"/>
    <b v="1"/>
    <b v="1"/>
    <n v="1"/>
    <m/>
    <n v="0"/>
    <m/>
  </r>
  <r>
    <s v="TX000285"/>
    <s v="AC00451"/>
    <n v="11.92"/>
    <d v="2023-10-09T17:48:55"/>
    <s v="Debit"/>
    <x v="0"/>
    <s v="D000678"/>
    <s v="192.95.36.246"/>
    <s v="M063"/>
    <s v="Branch"/>
    <n v="53"/>
    <s v="Doctor"/>
    <n v="52"/>
    <n v="1"/>
    <n v="14611.9"/>
    <d v="2024-11-04T08:11:22"/>
    <n v="17"/>
    <s v="Monday"/>
    <n v="-0.97851499836576294"/>
    <b v="0"/>
    <b v="0"/>
    <b v="1"/>
    <n v="0"/>
    <m/>
    <n v="0"/>
    <m/>
  </r>
  <r>
    <s v="TX000286"/>
    <s v="AC00033"/>
    <n v="47.42"/>
    <d v="2023-12-19T16:46:08"/>
    <s v="Debit"/>
    <x v="0"/>
    <s v="D000249"/>
    <s v="41.0.10.107"/>
    <s v="M012"/>
    <s v="ATM"/>
    <n v="64"/>
    <s v="Doctor"/>
    <n v="28"/>
    <n v="1"/>
    <n v="8253.52"/>
    <d v="2024-11-04T08:08:56"/>
    <n v="16"/>
    <s v="Tuesday"/>
    <n v="-0.85691727000075602"/>
    <b v="0"/>
    <b v="0"/>
    <b v="1"/>
    <n v="0"/>
    <m/>
    <n v="0"/>
    <m/>
  </r>
  <r>
    <s v="TX000287"/>
    <s v="AC00087"/>
    <n v="35.99"/>
    <d v="2023-01-19T16:14:12"/>
    <s v="Debit"/>
    <x v="19"/>
    <s v="D000270"/>
    <s v="162.207.77.170"/>
    <s v="M023"/>
    <s v="Branch"/>
    <n v="63"/>
    <s v="Retired"/>
    <n v="129"/>
    <n v="1"/>
    <n v="4489.79"/>
    <d v="2024-11-04T08:09:17"/>
    <n v="16"/>
    <s v="Thursday"/>
    <n v="-0.89606831324616598"/>
    <b v="0"/>
    <b v="0"/>
    <b v="1"/>
    <n v="0"/>
    <m/>
    <n v="0"/>
    <m/>
  </r>
  <r>
    <s v="TX000288"/>
    <s v="AC00159"/>
    <n v="151.19"/>
    <d v="2023-05-05T16:04:36"/>
    <s v="Credit"/>
    <x v="22"/>
    <s v="D000658"/>
    <s v="217.233.219.196"/>
    <s v="M061"/>
    <s v="Branch"/>
    <n v="37"/>
    <s v="Doctor"/>
    <n v="96"/>
    <n v="1"/>
    <n v="11903.82"/>
    <d v="2024-11-04T08:11:16"/>
    <n v="16"/>
    <s v="Friday"/>
    <n v="-0.50147512148141105"/>
    <b v="0"/>
    <b v="0"/>
    <b v="1"/>
    <n v="0"/>
    <m/>
    <n v="0"/>
    <m/>
  </r>
  <r>
    <s v="TX000289"/>
    <s v="AC00177"/>
    <n v="242.62"/>
    <d v="2023-07-10T16:40:15"/>
    <s v="Credit"/>
    <x v="23"/>
    <s v="D000332"/>
    <s v="138.87.180.254"/>
    <s v="M094"/>
    <s v="Online"/>
    <n v="22"/>
    <s v="Student"/>
    <n v="234"/>
    <n v="1"/>
    <n v="483.02"/>
    <d v="2024-11-04T08:07:09"/>
    <n v="16"/>
    <s v="Monday"/>
    <n v="-0.18830102839936699"/>
    <b v="0"/>
    <b v="0"/>
    <b v="1"/>
    <n v="0"/>
    <m/>
    <n v="0"/>
    <m/>
  </r>
  <r>
    <s v="TX000290"/>
    <s v="AC00093"/>
    <n v="48.72"/>
    <d v="2023-09-29T18:54:28"/>
    <s v="Debit"/>
    <x v="33"/>
    <s v="D000567"/>
    <s v="158.135.64.240"/>
    <s v="M063"/>
    <s v="Branch"/>
    <n v="21"/>
    <s v="Student"/>
    <n v="17"/>
    <n v="1"/>
    <n v="816.08"/>
    <d v="2024-11-04T08:07:27"/>
    <n v="18"/>
    <s v="Friday"/>
    <n v="-0.85246439544091102"/>
    <b v="0"/>
    <b v="0"/>
    <b v="1"/>
    <n v="0"/>
    <m/>
    <n v="0"/>
    <m/>
  </r>
  <r>
    <s v="TX000291"/>
    <s v="AC00427"/>
    <n v="43.46"/>
    <d v="2023-07-21T17:02:42"/>
    <s v="Debit"/>
    <x v="35"/>
    <s v="D000263"/>
    <s v="21.190.11.223"/>
    <s v="M020"/>
    <s v="ATM"/>
    <n v="25"/>
    <s v="Student"/>
    <n v="80"/>
    <n v="1"/>
    <n v="578.05999999999995"/>
    <d v="2024-11-04T08:10:45"/>
    <n v="17"/>
    <s v="Friday"/>
    <n v="-0.87048141096766996"/>
    <b v="0"/>
    <b v="0"/>
    <b v="1"/>
    <n v="0"/>
    <m/>
    <n v="0"/>
    <m/>
  </r>
  <r>
    <s v="TX000292"/>
    <s v="AC00284"/>
    <n v="1036.21"/>
    <d v="2023-07-21T18:54:14"/>
    <s v="Debit"/>
    <x v="32"/>
    <s v="D000129"/>
    <s v="93.218.115.132"/>
    <s v="M067"/>
    <s v="Online"/>
    <n v="25"/>
    <s v="Student"/>
    <n v="126"/>
    <n v="1"/>
    <n v="477.3"/>
    <d v="2024-11-04T08:12:22"/>
    <n v="18"/>
    <s v="Friday"/>
    <n v="2.5299733730988199"/>
    <b v="1"/>
    <b v="0"/>
    <b v="1"/>
    <n v="1"/>
    <m/>
    <n v="1"/>
    <m/>
  </r>
  <r>
    <s v="TX000293"/>
    <s v="AC00189"/>
    <n v="443.79"/>
    <d v="2023-10-09T18:28:04"/>
    <s v="Debit"/>
    <x v="17"/>
    <s v="D000407"/>
    <s v="198.39.35.23"/>
    <s v="M099"/>
    <s v="ATM"/>
    <n v="53"/>
    <s v="Retired"/>
    <n v="87"/>
    <n v="1"/>
    <n v="3133.85"/>
    <d v="2024-11-04T08:11:16"/>
    <n v="18"/>
    <s v="Monday"/>
    <n v="0.50076418329608097"/>
    <b v="0"/>
    <b v="0"/>
    <b v="1"/>
    <n v="0"/>
    <m/>
    <n v="0"/>
    <m/>
  </r>
  <r>
    <s v="TX000294"/>
    <s v="AC00495"/>
    <n v="365.14"/>
    <d v="2023-12-01T18:46:28"/>
    <s v="Debit"/>
    <x v="34"/>
    <s v="D000640"/>
    <s v="173.232.121.213"/>
    <s v="M002"/>
    <s v="Online"/>
    <n v="68"/>
    <s v="Retired"/>
    <n v="57"/>
    <n v="1"/>
    <n v="5894.09"/>
    <d v="2024-11-04T08:07:25"/>
    <n v="18"/>
    <s v="Friday"/>
    <n v="0.231365272425439"/>
    <b v="0"/>
    <b v="0"/>
    <b v="1"/>
    <n v="0"/>
    <m/>
    <n v="0"/>
    <m/>
  </r>
  <r>
    <s v="TX000295"/>
    <s v="AC00148"/>
    <n v="757.41"/>
    <d v="2023-05-05T16:31:53"/>
    <s v="Debit"/>
    <x v="16"/>
    <s v="D000383"/>
    <s v="125.89.163.224"/>
    <s v="M048"/>
    <s v="ATM"/>
    <n v="22"/>
    <s v="Student"/>
    <n v="37"/>
    <n v="1"/>
    <n v="9532.42"/>
    <d v="2024-11-04T08:09:03"/>
    <n v="16"/>
    <s v="Friday"/>
    <n v="1.57500304441815"/>
    <b v="0"/>
    <b v="0"/>
    <b v="1"/>
    <n v="0"/>
    <m/>
    <n v="0"/>
    <m/>
  </r>
  <r>
    <s v="TX000296"/>
    <s v="AC00272"/>
    <n v="20.54"/>
    <d v="2023-08-21T18:09:24"/>
    <s v="Debit"/>
    <x v="18"/>
    <s v="D000348"/>
    <s v="171.101.134.74"/>
    <s v="M055"/>
    <s v="Branch"/>
    <n v="51"/>
    <s v="Engineer"/>
    <n v="72"/>
    <n v="1"/>
    <n v="5327.03"/>
    <d v="2024-11-04T08:07:28"/>
    <n v="18"/>
    <s v="Monday"/>
    <n v="-0.94898901474586606"/>
    <b v="0"/>
    <b v="0"/>
    <b v="1"/>
    <n v="0"/>
    <m/>
    <n v="0"/>
    <m/>
  </r>
  <r>
    <s v="TX000297"/>
    <s v="AC00381"/>
    <n v="475.36"/>
    <d v="2023-10-02T16:03:09"/>
    <s v="Debit"/>
    <x v="37"/>
    <s v="D000540"/>
    <s v="132.127.5.187"/>
    <s v="M018"/>
    <s v="ATM"/>
    <n v="34"/>
    <s v="Engineer"/>
    <n v="105"/>
    <n v="1"/>
    <n v="2000.6"/>
    <d v="2024-11-04T08:06:59"/>
    <n v="16"/>
    <s v="Monday"/>
    <n v="0.60890052933786298"/>
    <b v="0"/>
    <b v="0"/>
    <b v="1"/>
    <n v="0"/>
    <m/>
    <n v="0"/>
    <m/>
  </r>
  <r>
    <s v="TX000298"/>
    <s v="AC00110"/>
    <n v="34.74"/>
    <d v="2023-06-26T16:40:21"/>
    <s v="Debit"/>
    <x v="23"/>
    <s v="D000320"/>
    <s v="82.88.241.226"/>
    <s v="M072"/>
    <s v="ATM"/>
    <n v="56"/>
    <s v="Retired"/>
    <n v="24"/>
    <n v="1"/>
    <n v="6827.57"/>
    <d v="2024-11-04T08:11:03"/>
    <n v="16"/>
    <s v="Monday"/>
    <n v="-0.90034992339986297"/>
    <b v="0"/>
    <b v="0"/>
    <b v="1"/>
    <n v="0"/>
    <m/>
    <n v="0"/>
    <m/>
  </r>
  <r>
    <s v="TX000299"/>
    <s v="AC00495"/>
    <n v="689.54"/>
    <d v="2023-03-06T16:46:57"/>
    <s v="Debit"/>
    <x v="5"/>
    <s v="D000395"/>
    <s v="89.6.100.149"/>
    <s v="M038"/>
    <s v="Branch"/>
    <n v="27"/>
    <s v="Student"/>
    <n v="93"/>
    <n v="1"/>
    <n v="1633.76"/>
    <d v="2024-11-04T08:08:53"/>
    <n v="16"/>
    <s v="Monday"/>
    <n v="1.3425287395129899"/>
    <b v="0"/>
    <b v="0"/>
    <b v="1"/>
    <n v="0"/>
    <m/>
    <n v="0"/>
    <m/>
  </r>
  <r>
    <s v="TX000300"/>
    <s v="AC00035"/>
    <n v="211.18"/>
    <d v="2023-10-16T16:09:47"/>
    <s v="Debit"/>
    <x v="38"/>
    <s v="D000428"/>
    <s v="64.89.183.39"/>
    <s v="M059"/>
    <s v="ATM"/>
    <n v="73"/>
    <s v="Retired"/>
    <n v="90"/>
    <n v="1"/>
    <n v="4069.17"/>
    <d v="2024-11-04T08:11:50"/>
    <n v="16"/>
    <s v="Monday"/>
    <n v="-0.29599208698516399"/>
    <b v="0"/>
    <b v="0"/>
    <b v="1"/>
    <n v="0"/>
    <m/>
    <n v="0"/>
    <m/>
  </r>
  <r>
    <s v="TX000301"/>
    <s v="AC00119"/>
    <n v="211.36"/>
    <d v="2023-11-21T16:23:41"/>
    <s v="Credit"/>
    <x v="18"/>
    <s v="D000700"/>
    <s v="63.67.150.226"/>
    <s v="M041"/>
    <s v="Branch"/>
    <n v="51"/>
    <s v="Engineer"/>
    <n v="286"/>
    <n v="1"/>
    <n v="7943.47"/>
    <d v="2024-11-04T08:11:10"/>
    <n v="16"/>
    <s v="Tuesday"/>
    <n v="-0.295375535123032"/>
    <b v="0"/>
    <b v="0"/>
    <b v="1"/>
    <n v="0"/>
    <m/>
    <n v="0"/>
    <m/>
  </r>
  <r>
    <s v="TX000302"/>
    <s v="AC00488"/>
    <n v="744.41"/>
    <d v="2023-07-31T16:35:59"/>
    <s v="Credit"/>
    <x v="1"/>
    <s v="D000115"/>
    <s v="24.181.236.233"/>
    <s v="M095"/>
    <s v="Online"/>
    <n v="39"/>
    <s v="Engineer"/>
    <n v="107"/>
    <n v="1"/>
    <n v="8842.4699999999993"/>
    <d v="2024-11-04T08:11:27"/>
    <n v="16"/>
    <s v="Monday"/>
    <n v="1.53047429881969"/>
    <b v="0"/>
    <b v="0"/>
    <b v="1"/>
    <n v="0"/>
    <m/>
    <n v="0"/>
    <m/>
  </r>
  <r>
    <s v="TX000303"/>
    <s v="AC00466"/>
    <n v="61.43"/>
    <d v="2023-06-29T16:16:37"/>
    <s v="Debit"/>
    <x v="37"/>
    <s v="D000084"/>
    <s v="14.200.197.126"/>
    <s v="M035"/>
    <s v="Online"/>
    <n v="24"/>
    <s v="Student"/>
    <n v="170"/>
    <n v="1"/>
    <n v="1882.77"/>
    <d v="2024-11-04T08:08:18"/>
    <n v="16"/>
    <s v="Thursday"/>
    <n v="-0.80892898339811603"/>
    <b v="0"/>
    <b v="0"/>
    <b v="1"/>
    <n v="0"/>
    <m/>
    <n v="0"/>
    <m/>
  </r>
  <r>
    <s v="TX000304"/>
    <s v="AC00489"/>
    <n v="167.44"/>
    <d v="2023-09-25T16:11:18"/>
    <s v="Debit"/>
    <x v="2"/>
    <s v="D000483"/>
    <s v="166.7.230.111"/>
    <s v="M087"/>
    <s v="Branch"/>
    <n v="37"/>
    <s v="Doctor"/>
    <n v="82"/>
    <n v="1"/>
    <n v="12526.71"/>
    <d v="2024-11-04T08:10:49"/>
    <n v="16"/>
    <s v="Monday"/>
    <n v="-0.445814189483344"/>
    <b v="0"/>
    <b v="0"/>
    <b v="1"/>
    <n v="0"/>
    <m/>
    <n v="0"/>
    <m/>
  </r>
  <r>
    <s v="TX000305"/>
    <s v="AC00306"/>
    <n v="361.46"/>
    <d v="2023-04-07T17:23:05"/>
    <s v="Debit"/>
    <x v="9"/>
    <s v="D000169"/>
    <s v="171.150.178.172"/>
    <s v="M093"/>
    <s v="Online"/>
    <n v="21"/>
    <s v="Student"/>
    <n v="83"/>
    <n v="1"/>
    <n v="4737.84"/>
    <d v="2024-11-04T08:10:42"/>
    <n v="17"/>
    <s v="Friday"/>
    <n v="0.21876021213295399"/>
    <b v="0"/>
    <b v="0"/>
    <b v="1"/>
    <n v="0"/>
    <m/>
    <n v="0"/>
    <m/>
  </r>
  <r>
    <s v="TX000306"/>
    <s v="AC00431"/>
    <n v="378.85"/>
    <d v="2023-06-16T17:21:15"/>
    <s v="Debit"/>
    <x v="33"/>
    <s v="D000043"/>
    <s v="192.95.36.246"/>
    <s v="M089"/>
    <s v="Branch"/>
    <n v="78"/>
    <s v="Retired"/>
    <n v="126"/>
    <n v="1"/>
    <n v="2300.5300000000002"/>
    <d v="2024-11-04T08:09:07"/>
    <n v="17"/>
    <s v="Friday"/>
    <n v="0.27832597259119302"/>
    <b v="0"/>
    <b v="0"/>
    <b v="1"/>
    <n v="0"/>
    <m/>
    <n v="0"/>
    <m/>
  </r>
  <r>
    <s v="TX000307"/>
    <s v="AC00233"/>
    <n v="241.11"/>
    <d v="2023-06-16T16:41:23"/>
    <s v="Debit"/>
    <x v="15"/>
    <s v="D000443"/>
    <s v="195.164.171.146"/>
    <s v="M063"/>
    <s v="Branch"/>
    <n v="30"/>
    <s v="Doctor"/>
    <n v="55"/>
    <n v="1"/>
    <n v="12385.05"/>
    <d v="2024-11-04T08:10:49"/>
    <n v="16"/>
    <s v="Friday"/>
    <n v="-0.19347321346503299"/>
    <b v="0"/>
    <b v="0"/>
    <b v="1"/>
    <n v="0"/>
    <m/>
    <n v="0"/>
    <m/>
  </r>
  <r>
    <s v="TX000308"/>
    <s v="AC00389"/>
    <n v="131.93"/>
    <d v="2023-09-11T17:31:10"/>
    <s v="Credit"/>
    <x v="18"/>
    <s v="D000245"/>
    <s v="216.32.4.105"/>
    <s v="M049"/>
    <s v="Branch"/>
    <n v="31"/>
    <s v="Engineer"/>
    <n v="13"/>
    <n v="1"/>
    <n v="4547.0600000000004"/>
    <d v="2024-11-04T08:06:50"/>
    <n v="17"/>
    <s v="Monday"/>
    <n v="-0.56744617072958103"/>
    <b v="0"/>
    <b v="0"/>
    <b v="1"/>
    <n v="0"/>
    <m/>
    <n v="0"/>
    <m/>
  </r>
  <r>
    <s v="TX000309"/>
    <s v="AC00067"/>
    <n v="20.28"/>
    <d v="2023-07-19T17:42:38"/>
    <s v="Debit"/>
    <x v="5"/>
    <s v="D000585"/>
    <s v="150.83.4.238"/>
    <s v="M047"/>
    <s v="Online"/>
    <n v="36"/>
    <s v="Engineer"/>
    <n v="213"/>
    <n v="1"/>
    <n v="2047.83"/>
    <d v="2024-11-04T08:10:02"/>
    <n v="17"/>
    <s v="Wednesday"/>
    <n v="-0.94987958965783503"/>
    <b v="0"/>
    <b v="0"/>
    <b v="1"/>
    <n v="0"/>
    <m/>
    <n v="0"/>
    <m/>
  </r>
  <r>
    <s v="TX000310"/>
    <s v="AC00300"/>
    <n v="415.88"/>
    <d v="2023-04-27T17:30:16"/>
    <s v="Debit"/>
    <x v="0"/>
    <s v="D000146"/>
    <s v="152.140.239.181"/>
    <s v="M005"/>
    <s v="Branch"/>
    <n v="70"/>
    <s v="Doctor"/>
    <n v="170"/>
    <n v="1"/>
    <n v="10008.33"/>
    <d v="2024-11-04T08:08:01"/>
    <n v="17"/>
    <s v="Thursday"/>
    <n v="0.40516439178432501"/>
    <b v="0"/>
    <b v="0"/>
    <b v="1"/>
    <n v="0"/>
    <m/>
    <n v="0"/>
    <m/>
  </r>
  <r>
    <s v="TX000311"/>
    <s v="AC00386"/>
    <n v="49.99"/>
    <d v="2023-02-09T17:53:59"/>
    <s v="Debit"/>
    <x v="32"/>
    <s v="D000668"/>
    <s v="155.140.33.42"/>
    <s v="M062"/>
    <s v="ATM"/>
    <n v="62"/>
    <s v="Retired"/>
    <n v="139"/>
    <n v="1"/>
    <n v="2299.64"/>
    <d v="2024-11-04T08:08:15"/>
    <n v="17"/>
    <s v="Thursday"/>
    <n v="-0.84811427952475404"/>
    <b v="0"/>
    <b v="0"/>
    <b v="1"/>
    <n v="0"/>
    <m/>
    <n v="0"/>
    <m/>
  </r>
  <r>
    <s v="TX000312"/>
    <s v="AC00285"/>
    <n v="1221.6500000000001"/>
    <d v="2023-09-27T16:55:35"/>
    <s v="Debit"/>
    <x v="13"/>
    <s v="D000098"/>
    <s v="83.207.115.164"/>
    <s v="M091"/>
    <s v="Online"/>
    <n v="27"/>
    <s v="Student"/>
    <n v="153"/>
    <n v="1"/>
    <n v="243.92"/>
    <d v="2024-11-04T08:10:41"/>
    <n v="16"/>
    <s v="Wednesday"/>
    <n v="3.16515880262014"/>
    <b v="1"/>
    <b v="0"/>
    <b v="1"/>
    <n v="1"/>
    <m/>
    <n v="1"/>
    <m/>
  </r>
  <r>
    <s v="TX000313"/>
    <s v="AC00219"/>
    <n v="100.66"/>
    <d v="2023-06-16T18:58:50"/>
    <s v="Debit"/>
    <x v="34"/>
    <s v="D000511"/>
    <s v="86.220.59.252"/>
    <s v="M024"/>
    <s v="Branch"/>
    <n v="50"/>
    <s v="Doctor"/>
    <n v="144"/>
    <n v="1"/>
    <n v="14473.33"/>
    <d v="2024-11-04T08:11:54"/>
    <n v="18"/>
    <s v="Friday"/>
    <n v="-0.674554930334476"/>
    <b v="0"/>
    <b v="0"/>
    <b v="1"/>
    <n v="0"/>
    <m/>
    <n v="0"/>
    <m/>
  </r>
  <r>
    <s v="TX000314"/>
    <s v="AC00445"/>
    <n v="485.54"/>
    <d v="2023-12-08T16:47:48"/>
    <s v="Debit"/>
    <x v="12"/>
    <s v="D000343"/>
    <s v="121.67.144.20"/>
    <s v="M080"/>
    <s v="Online"/>
    <n v="19"/>
    <s v="Student"/>
    <n v="148"/>
    <n v="1"/>
    <n v="1533.32"/>
    <d v="2024-11-04T08:11:09"/>
    <n v="16"/>
    <s v="Friday"/>
    <n v="0.64376996242957496"/>
    <b v="0"/>
    <b v="0"/>
    <b v="1"/>
    <n v="0"/>
    <m/>
    <n v="0"/>
    <m/>
  </r>
  <r>
    <s v="TX000315"/>
    <s v="AC00371"/>
    <n v="321.14999999999998"/>
    <d v="2023-02-10T17:06:40"/>
    <s v="Debit"/>
    <x v="16"/>
    <s v="D000151"/>
    <s v="200.164.13.160"/>
    <s v="M037"/>
    <s v="Branch"/>
    <n v="46"/>
    <s v="Doctor"/>
    <n v="179"/>
    <n v="1"/>
    <n v="7005.05"/>
    <d v="2024-11-04T08:06:33"/>
    <n v="17"/>
    <s v="Friday"/>
    <n v="8.0686847896519795E-2"/>
    <b v="0"/>
    <b v="0"/>
    <b v="1"/>
    <n v="0"/>
    <m/>
    <n v="0"/>
    <m/>
  </r>
  <r>
    <s v="TX000316"/>
    <s v="AC00164"/>
    <n v="711.3"/>
    <d v="2023-06-26T18:57:37"/>
    <s v="Debit"/>
    <x v="24"/>
    <s v="D000581"/>
    <s v="109.42.41.157"/>
    <s v="M076"/>
    <s v="Branch"/>
    <n v="21"/>
    <s v="Student"/>
    <n v="51"/>
    <n v="1"/>
    <n v="955.4"/>
    <d v="2024-11-04T08:09:32"/>
    <n v="18"/>
    <s v="Monday"/>
    <n v="1.4170630090685501"/>
    <b v="0"/>
    <b v="0"/>
    <b v="1"/>
    <n v="0"/>
    <m/>
    <n v="0"/>
    <m/>
  </r>
  <r>
    <s v="TX000317"/>
    <s v="AC00200"/>
    <n v="12.23"/>
    <d v="2023-10-12T16:02:13"/>
    <s v="Debit"/>
    <x v="1"/>
    <s v="D000177"/>
    <s v="23.92.205.75"/>
    <s v="M065"/>
    <s v="ATM"/>
    <n v="42"/>
    <s v="Engineer"/>
    <n v="139"/>
    <n v="1"/>
    <n v="7844.88"/>
    <d v="2024-11-04T08:07:29"/>
    <n v="16"/>
    <s v="Thursday"/>
    <n v="-0.97745315904764596"/>
    <b v="0"/>
    <b v="0"/>
    <b v="1"/>
    <n v="0"/>
    <m/>
    <n v="0"/>
    <m/>
  </r>
  <r>
    <s v="TX000318"/>
    <s v="AC00310"/>
    <n v="350.94"/>
    <d v="2023-10-30T17:17:51"/>
    <s v="Debit"/>
    <x v="40"/>
    <s v="D000154"/>
    <s v="100.137.90.188"/>
    <s v="M013"/>
    <s v="ATM"/>
    <n v="20"/>
    <s v="Student"/>
    <n v="64"/>
    <n v="1"/>
    <n v="221.56"/>
    <d v="2024-11-04T08:10:35"/>
    <n v="17"/>
    <s v="Monday"/>
    <n v="0.182726181079436"/>
    <b v="0"/>
    <b v="0"/>
    <b v="1"/>
    <n v="0"/>
    <m/>
    <n v="0"/>
    <m/>
  </r>
  <r>
    <s v="TX000319"/>
    <s v="AC00106"/>
    <n v="301.85000000000002"/>
    <d v="2023-04-18T17:43:50"/>
    <s v="Debit"/>
    <x v="15"/>
    <s v="D000433"/>
    <s v="55.154.161.250"/>
    <s v="M062"/>
    <s v="Online"/>
    <n v="54"/>
    <s v="Engineer"/>
    <n v="25"/>
    <n v="1"/>
    <n v="6586.19"/>
    <d v="2024-11-04T08:10:05"/>
    <n v="17"/>
    <s v="Tuesday"/>
    <n v="1.45787871234317E-2"/>
    <b v="0"/>
    <b v="0"/>
    <b v="1"/>
    <n v="0"/>
    <m/>
    <n v="0"/>
    <m/>
  </r>
  <r>
    <s v="TX000320"/>
    <s v="AC00444"/>
    <n v="29.34"/>
    <d v="2023-03-09T17:37:08"/>
    <s v="Debit"/>
    <x v="12"/>
    <s v="D000029"/>
    <s v="40.198.240.246"/>
    <s v="M087"/>
    <s v="Online"/>
    <n v="65"/>
    <s v="Retired"/>
    <n v="30"/>
    <n v="1"/>
    <n v="3944.82"/>
    <d v="2024-11-04T08:11:42"/>
    <n v="17"/>
    <s v="Thursday"/>
    <n v="-0.918846479263836"/>
    <b v="0"/>
    <b v="0"/>
    <b v="1"/>
    <n v="0"/>
    <m/>
    <n v="0"/>
    <m/>
  </r>
  <r>
    <s v="TX000321"/>
    <s v="AC00441"/>
    <n v="231.71"/>
    <d v="2023-04-24T17:01:08"/>
    <s v="Debit"/>
    <x v="3"/>
    <s v="D000315"/>
    <s v="26.105.49.129"/>
    <s v="M060"/>
    <s v="Branch"/>
    <n v="27"/>
    <s v="Student"/>
    <n v="148"/>
    <n v="1"/>
    <n v="1127.98"/>
    <d v="2024-11-04T08:07:02"/>
    <n v="17"/>
    <s v="Monday"/>
    <n v="-0.22567092182083801"/>
    <b v="0"/>
    <b v="0"/>
    <b v="1"/>
    <n v="0"/>
    <m/>
    <n v="0"/>
    <m/>
  </r>
  <r>
    <s v="TX000322"/>
    <s v="AC00300"/>
    <n v="179.43"/>
    <d v="2023-08-11T18:20:48"/>
    <s v="Debit"/>
    <x v="5"/>
    <s v="D000421"/>
    <s v="189.198.67.252"/>
    <s v="M004"/>
    <s v="ATM"/>
    <n v="58"/>
    <s v="Retired"/>
    <n v="244"/>
    <n v="1"/>
    <n v="2626.63"/>
    <d v="2024-11-04T08:10:00"/>
    <n v="18"/>
    <s v="Friday"/>
    <n v="-0.40474498488907901"/>
    <b v="0"/>
    <b v="0"/>
    <b v="1"/>
    <n v="0"/>
    <m/>
    <n v="0"/>
    <m/>
  </r>
  <r>
    <s v="TX000323"/>
    <s v="AC00194"/>
    <n v="36.71"/>
    <d v="2023-01-30T17:11:53"/>
    <s v="Debit"/>
    <x v="36"/>
    <s v="D000671"/>
    <s v="166.7.230.111"/>
    <s v="M095"/>
    <s v="Branch"/>
    <n v="48"/>
    <s v="Doctor"/>
    <n v="55"/>
    <n v="1"/>
    <n v="6459.38"/>
    <d v="2024-11-04T08:11:44"/>
    <n v="17"/>
    <s v="Monday"/>
    <n v="-0.89360210579763599"/>
    <b v="0"/>
    <b v="0"/>
    <b v="1"/>
    <n v="0"/>
    <m/>
    <n v="0"/>
    <m/>
  </r>
  <r>
    <s v="TX000324"/>
    <s v="AC00248"/>
    <n v="138.12"/>
    <d v="2023-04-11T17:18:50"/>
    <s v="Credit"/>
    <x v="16"/>
    <s v="D000182"/>
    <s v="45.182.28.148"/>
    <s v="M067"/>
    <s v="Branch"/>
    <n v="53"/>
    <s v="Doctor"/>
    <n v="281"/>
    <n v="1"/>
    <n v="1649.69"/>
    <d v="2024-11-04T08:11:23"/>
    <n v="17"/>
    <s v="Tuesday"/>
    <n v="-0.54624363724847103"/>
    <b v="0"/>
    <b v="0"/>
    <b v="1"/>
    <n v="0"/>
    <m/>
    <n v="0"/>
    <m/>
  </r>
  <r>
    <s v="TX000325"/>
    <s v="AC00286"/>
    <n v="233.24"/>
    <d v="2023-04-17T16:56:06"/>
    <s v="Debit"/>
    <x v="12"/>
    <s v="D000351"/>
    <s v="45.241.13.208"/>
    <s v="M070"/>
    <s v="ATM"/>
    <n v="33"/>
    <s v="Engineer"/>
    <n v="72"/>
    <n v="1"/>
    <n v="6939.23"/>
    <d v="2024-11-04T08:07:39"/>
    <n v="16"/>
    <s v="Monday"/>
    <n v="-0.220430230992712"/>
    <b v="0"/>
    <b v="0"/>
    <b v="1"/>
    <n v="0"/>
    <m/>
    <n v="0"/>
    <m/>
  </r>
  <r>
    <s v="TX000326"/>
    <s v="AC00049"/>
    <n v="609.14"/>
    <d v="2023-11-23T16:09:39"/>
    <s v="Debit"/>
    <x v="28"/>
    <s v="D000224"/>
    <s v="201.113.165.203"/>
    <s v="M086"/>
    <s v="ATM"/>
    <n v="39"/>
    <s v="Engineer"/>
    <n v="177"/>
    <n v="1"/>
    <n v="9033.8700000000008"/>
    <d v="2024-11-04T08:11:33"/>
    <n v="16"/>
    <s v="Thursday"/>
    <n v="1.06713557442717"/>
    <b v="0"/>
    <b v="0"/>
    <b v="1"/>
    <n v="0"/>
    <m/>
    <n v="0"/>
    <m/>
  </r>
  <r>
    <s v="TX000327"/>
    <s v="AC00471"/>
    <n v="436.64"/>
    <d v="2023-12-25T17:46:24"/>
    <s v="Debit"/>
    <x v="16"/>
    <s v="D000683"/>
    <s v="38.210.156.148"/>
    <s v="M033"/>
    <s v="Branch"/>
    <n v="31"/>
    <s v="Doctor"/>
    <n v="111"/>
    <n v="1"/>
    <n v="14365.18"/>
    <d v="2024-11-04T08:08:23"/>
    <n v="17"/>
    <s v="Monday"/>
    <n v="0.47627337321693197"/>
    <b v="0"/>
    <b v="0"/>
    <b v="1"/>
    <n v="0"/>
    <m/>
    <n v="0"/>
    <m/>
  </r>
  <r>
    <s v="TX000328"/>
    <s v="AC00434"/>
    <n v="870.43"/>
    <d v="2023-05-31T16:54:20"/>
    <s v="Debit"/>
    <x v="16"/>
    <s v="D000427"/>
    <s v="178.34.103.183"/>
    <s v="M037"/>
    <s v="Branch"/>
    <n v="29"/>
    <s v="Doctor"/>
    <n v="55"/>
    <n v="1"/>
    <n v="10115.18"/>
    <d v="2024-11-04T08:07:52"/>
    <n v="16"/>
    <s v="Wednesday"/>
    <n v="1.96212910807485"/>
    <b v="0"/>
    <b v="0"/>
    <b v="1"/>
    <n v="0"/>
    <m/>
    <n v="0"/>
    <m/>
  </r>
  <r>
    <s v="TX000329"/>
    <s v="AC00264"/>
    <n v="354.4"/>
    <d v="2023-11-06T17:23:08"/>
    <s v="Debit"/>
    <x v="29"/>
    <s v="D000416"/>
    <s v="87.234.36.48"/>
    <s v="M046"/>
    <s v="ATM"/>
    <n v="74"/>
    <s v="Retired"/>
    <n v="128"/>
    <n v="1"/>
    <n v="7358.65"/>
    <d v="2024-11-04T08:10:00"/>
    <n v="17"/>
    <s v="Monday"/>
    <n v="0.19457767798487099"/>
    <b v="0"/>
    <b v="0"/>
    <b v="1"/>
    <n v="0"/>
    <m/>
    <n v="0"/>
    <m/>
  </r>
  <r>
    <s v="TX000330"/>
    <s v="AC00316"/>
    <n v="22.63"/>
    <d v="2023-02-20T17:28:15"/>
    <s v="Debit"/>
    <x v="31"/>
    <s v="D000488"/>
    <s v="165.114.224.47"/>
    <s v="M052"/>
    <s v="Online"/>
    <n v="53"/>
    <s v="Engineer"/>
    <n v="112"/>
    <n v="1"/>
    <n v="4438.03"/>
    <d v="2024-11-04T08:10:56"/>
    <n v="17"/>
    <s v="Monday"/>
    <n v="-0.94183016256888397"/>
    <b v="0"/>
    <b v="0"/>
    <b v="1"/>
    <n v="0"/>
    <m/>
    <n v="0"/>
    <m/>
  </r>
  <r>
    <s v="TX000331"/>
    <s v="AC00087"/>
    <n v="182.19"/>
    <d v="2023-06-19T16:36:25"/>
    <s v="Debit"/>
    <x v="2"/>
    <s v="D000101"/>
    <s v="157.130.28.27"/>
    <s v="M007"/>
    <s v="Branch"/>
    <n v="26"/>
    <s v="Student"/>
    <n v="53"/>
    <n v="1"/>
    <n v="1176.0999999999999"/>
    <d v="2024-11-04T08:06:27"/>
    <n v="16"/>
    <s v="Monday"/>
    <n v="-0.39529118966971499"/>
    <b v="0"/>
    <b v="0"/>
    <b v="1"/>
    <n v="0"/>
    <m/>
    <n v="0"/>
    <m/>
  </r>
  <r>
    <s v="TX000332"/>
    <s v="AC00140"/>
    <n v="126.81"/>
    <d v="2023-10-30T16:58:01"/>
    <s v="Debit"/>
    <x v="26"/>
    <s v="D000693"/>
    <s v="57.232.212.116"/>
    <s v="M036"/>
    <s v="Branch"/>
    <n v="26"/>
    <s v="Engineer"/>
    <n v="290"/>
    <n v="1"/>
    <n v="5427.98"/>
    <d v="2024-11-04T08:12:22"/>
    <n v="16"/>
    <s v="Monday"/>
    <n v="-0.58498364591912599"/>
    <b v="0"/>
    <b v="0"/>
    <b v="1"/>
    <n v="0"/>
    <m/>
    <n v="0"/>
    <m/>
  </r>
  <r>
    <s v="TX000333"/>
    <s v="AC00418"/>
    <n v="288.17"/>
    <d v="2023-09-08T16:48:51"/>
    <s v="Debit"/>
    <x v="33"/>
    <s v="D000399"/>
    <s v="143.212.47.226"/>
    <s v="M012"/>
    <s v="Online"/>
    <n v="37"/>
    <s v="Engineer"/>
    <n v="50"/>
    <n v="1"/>
    <n v="3653.11"/>
    <d v="2024-11-04T08:10:16"/>
    <n v="16"/>
    <s v="Friday"/>
    <n v="-3.2279154398632798E-2"/>
    <b v="0"/>
    <b v="0"/>
    <b v="1"/>
    <n v="0"/>
    <m/>
    <n v="0"/>
    <m/>
  </r>
  <r>
    <s v="TX000334"/>
    <s v="AC00187"/>
    <n v="118.77"/>
    <d v="2023-10-02T17:44:05"/>
    <s v="Debit"/>
    <x v="4"/>
    <s v="D000310"/>
    <s v="104.80.232.55"/>
    <s v="M066"/>
    <s v="Branch"/>
    <n v="55"/>
    <s v="Engineer"/>
    <n v="123"/>
    <n v="1"/>
    <n v="2104.8200000000002"/>
    <d v="2024-11-04T08:10:29"/>
    <n v="17"/>
    <s v="Monday"/>
    <n v="-0.61252296242770699"/>
    <b v="0"/>
    <b v="0"/>
    <b v="1"/>
    <n v="0"/>
    <m/>
    <n v="0"/>
    <m/>
  </r>
  <r>
    <s v="TX000335"/>
    <s v="AC00077"/>
    <n v="651.82000000000005"/>
    <d v="2023-04-14T17:59:43"/>
    <s v="Debit"/>
    <x v="7"/>
    <s v="D000280"/>
    <s v="138.181.222.38"/>
    <s v="M094"/>
    <s v="ATM"/>
    <n v="21"/>
    <s v="Student"/>
    <n v="166"/>
    <n v="1"/>
    <n v="1802.77"/>
    <d v="2024-11-04T08:07:02"/>
    <n v="17"/>
    <s v="Friday"/>
    <n v="1.2133268715150201"/>
    <b v="0"/>
    <b v="0"/>
    <b v="1"/>
    <n v="0"/>
    <m/>
    <n v="0"/>
    <m/>
  </r>
  <r>
    <s v="TX000336"/>
    <s v="AC00141"/>
    <n v="66.650000000000006"/>
    <d v="2023-10-17T16:58:59"/>
    <s v="Debit"/>
    <x v="8"/>
    <s v="D000398"/>
    <s v="120.170.93.69"/>
    <s v="M100"/>
    <s v="ATM"/>
    <n v="37"/>
    <s v="Engineer"/>
    <n v="33"/>
    <n v="1"/>
    <n v="3559.96"/>
    <d v="2024-11-04T08:11:00"/>
    <n v="16"/>
    <s v="Tuesday"/>
    <n v="-0.79104897939627505"/>
    <b v="0"/>
    <b v="0"/>
    <b v="1"/>
    <n v="0"/>
    <m/>
    <n v="0"/>
    <m/>
  </r>
  <r>
    <s v="TX000337"/>
    <s v="AC00332"/>
    <n v="98.53"/>
    <d v="2023-01-16T16:31:48"/>
    <s v="Debit"/>
    <x v="13"/>
    <s v="D000684"/>
    <s v="119.163.214.161"/>
    <s v="M085"/>
    <s v="Branch"/>
    <n v="69"/>
    <s v="Retired"/>
    <n v="166"/>
    <n v="1"/>
    <n v="3564.8"/>
    <d v="2024-11-04T08:11:19"/>
    <n v="16"/>
    <s v="Monday"/>
    <n v="-0.68185079403637605"/>
    <b v="0"/>
    <b v="0"/>
    <b v="1"/>
    <n v="0"/>
    <m/>
    <n v="0"/>
    <m/>
  </r>
  <r>
    <s v="TX000338"/>
    <s v="AC00439"/>
    <n v="138.94999999999999"/>
    <d v="2023-06-02T16:48:43"/>
    <s v="Debit"/>
    <x v="38"/>
    <s v="D000675"/>
    <s v="104.155.121.252"/>
    <s v="M090"/>
    <s v="Online"/>
    <n v="71"/>
    <s v="Retired"/>
    <n v="30"/>
    <n v="1"/>
    <n v="6752.92"/>
    <d v="2024-11-04T08:08:37"/>
    <n v="16"/>
    <s v="Friday"/>
    <n v="-0.54340064810641597"/>
    <b v="0"/>
    <b v="0"/>
    <b v="1"/>
    <n v="0"/>
    <m/>
    <n v="0"/>
    <m/>
  </r>
  <r>
    <s v="TX000339"/>
    <s v="AC00055"/>
    <n v="33.89"/>
    <d v="2023-11-10T16:10:34"/>
    <s v="Debit"/>
    <x v="9"/>
    <s v="D000588"/>
    <s v="14.105.144.122"/>
    <s v="M079"/>
    <s v="Branch"/>
    <n v="26"/>
    <s v="Student"/>
    <n v="177"/>
    <n v="1"/>
    <n v="1444.75"/>
    <d v="2024-11-04T08:11:36"/>
    <n v="16"/>
    <s v="Friday"/>
    <n v="-0.90326141830437701"/>
    <b v="0"/>
    <b v="0"/>
    <b v="1"/>
    <n v="0"/>
    <m/>
    <n v="0"/>
    <m/>
  </r>
  <r>
    <s v="TX000340"/>
    <s v="AC00299"/>
    <n v="23.71"/>
    <d v="2023-09-18T16:04:52"/>
    <s v="Debit"/>
    <x v="4"/>
    <s v="D000284"/>
    <s v="2.61.10.58"/>
    <s v="M005"/>
    <s v="Branch"/>
    <n v="58"/>
    <s v="Doctor"/>
    <n v="164"/>
    <n v="1"/>
    <n v="10788.89"/>
    <d v="2024-11-04T08:09:16"/>
    <n v="16"/>
    <s v="Monday"/>
    <n v="-0.93813085139608898"/>
    <b v="0"/>
    <b v="0"/>
    <b v="1"/>
    <n v="0"/>
    <m/>
    <n v="0"/>
    <m/>
  </r>
  <r>
    <s v="TX000341"/>
    <s v="AC00107"/>
    <n v="1830"/>
    <d v="2023-03-01T16:31:58"/>
    <s v="Debit"/>
    <x v="25"/>
    <s v="D000436"/>
    <s v="62.27.235.199"/>
    <s v="M082"/>
    <s v="Online"/>
    <n v="55"/>
    <s v="Engineer"/>
    <n v="238"/>
    <n v="1"/>
    <n v="2235.6999999999998"/>
    <d v="2024-11-04T08:11:59"/>
    <n v="16"/>
    <s v="Wednesday"/>
    <n v="5.2489328322216"/>
    <b v="1"/>
    <b v="0"/>
    <b v="1"/>
    <n v="1"/>
    <m/>
    <n v="1"/>
    <m/>
  </r>
  <r>
    <s v="TX000342"/>
    <s v="AC00171"/>
    <n v="26.06"/>
    <d v="2023-12-21T17:01:24"/>
    <s v="Debit"/>
    <x v="0"/>
    <s v="D000689"/>
    <s v="140.212.253.222"/>
    <s v="M096"/>
    <s v="ATM"/>
    <n v="65"/>
    <s v="Doctor"/>
    <n v="283"/>
    <n v="1"/>
    <n v="12893.63"/>
    <d v="2024-11-04T08:12:00"/>
    <n v="17"/>
    <s v="Thursday"/>
    <n v="-0.93008142430713803"/>
    <b v="0"/>
    <b v="0"/>
    <b v="1"/>
    <n v="0"/>
    <m/>
    <n v="0"/>
    <m/>
  </r>
  <r>
    <s v="TX000343"/>
    <s v="AC00493"/>
    <n v="17.07"/>
    <d v="2023-05-01T17:17:12"/>
    <s v="Debit"/>
    <x v="16"/>
    <s v="D000597"/>
    <s v="47.82.77.181"/>
    <s v="M023"/>
    <s v="Branch"/>
    <n v="27"/>
    <s v="Engineer"/>
    <n v="44"/>
    <n v="1"/>
    <n v="2798.15"/>
    <d v="2024-11-04T08:11:25"/>
    <n v="17"/>
    <s v="Monday"/>
    <n v="-0.96087476453252996"/>
    <b v="0"/>
    <b v="0"/>
    <b v="1"/>
    <n v="0"/>
    <m/>
    <n v="0"/>
    <m/>
  </r>
  <r>
    <s v="TX000344"/>
    <s v="AC00232"/>
    <n v="703.89"/>
    <d v="2023-09-22T16:42:15"/>
    <s v="Debit"/>
    <x v="25"/>
    <s v="D000473"/>
    <s v="48.19.99.211"/>
    <s v="M074"/>
    <s v="Online"/>
    <n v="46"/>
    <s v="Engineer"/>
    <n v="62"/>
    <n v="1"/>
    <n v="3583.67"/>
    <d v="2024-11-04T08:06:44"/>
    <n v="16"/>
    <s v="Friday"/>
    <n v="1.3916816240774399"/>
    <b v="0"/>
    <b v="0"/>
    <b v="1"/>
    <n v="0"/>
    <m/>
    <n v="0"/>
    <m/>
  </r>
  <r>
    <s v="TX000345"/>
    <s v="AC00156"/>
    <n v="1271.9000000000001"/>
    <d v="2023-08-28T16:43:15"/>
    <s v="Debit"/>
    <x v="1"/>
    <s v="D000312"/>
    <s v="210.136.14.108"/>
    <s v="M073"/>
    <s v="ATM"/>
    <n v="47"/>
    <s v="Engineer"/>
    <n v="155"/>
    <n v="1"/>
    <n v="2120.8000000000002"/>
    <d v="2024-11-04T08:09:27"/>
    <n v="16"/>
    <s v="Monday"/>
    <n v="3.3372795307987801"/>
    <b v="1"/>
    <b v="0"/>
    <b v="1"/>
    <n v="1"/>
    <m/>
    <n v="1"/>
    <m/>
  </r>
  <r>
    <s v="TX000346"/>
    <s v="AC00442"/>
    <n v="26.55"/>
    <d v="2023-09-20T17:25:26"/>
    <s v="Debit"/>
    <x v="1"/>
    <s v="D000112"/>
    <s v="91.204.200.167"/>
    <s v="M099"/>
    <s v="ATM"/>
    <n v="77"/>
    <s v="Retired"/>
    <n v="228"/>
    <n v="1"/>
    <n v="3085.38"/>
    <d v="2024-11-04T08:07:23"/>
    <n v="17"/>
    <s v="Wednesday"/>
    <n v="-0.92840303312688799"/>
    <b v="0"/>
    <b v="0"/>
    <b v="1"/>
    <n v="0"/>
    <m/>
    <n v="0"/>
    <m/>
  </r>
  <r>
    <s v="TX000347"/>
    <s v="AC00375"/>
    <n v="147.4"/>
    <d v="2023-06-09T16:10:51"/>
    <s v="Debit"/>
    <x v="24"/>
    <s v="D000283"/>
    <s v="92.214.76.157"/>
    <s v="M067"/>
    <s v="Branch"/>
    <n v="42"/>
    <s v="Engineer"/>
    <n v="259"/>
    <n v="1"/>
    <n v="6797.71"/>
    <d v="2024-11-04T08:07:18"/>
    <n v="16"/>
    <s v="Friday"/>
    <n v="-0.51445696346742198"/>
    <b v="0"/>
    <b v="0"/>
    <b v="1"/>
    <n v="0"/>
    <m/>
    <n v="0"/>
    <m/>
  </r>
  <r>
    <s v="TX000348"/>
    <s v="AC00034"/>
    <n v="202.11"/>
    <d v="2023-03-30T16:09:26"/>
    <s v="Debit"/>
    <x v="11"/>
    <s v="D000072"/>
    <s v="59.208.79.116"/>
    <s v="M005"/>
    <s v="ATM"/>
    <n v="27"/>
    <s v="Student"/>
    <n v="18"/>
    <n v="1"/>
    <n v="746.47"/>
    <d v="2024-11-04T08:10:01"/>
    <n v="16"/>
    <s v="Thursday"/>
    <n v="-0.32705945026039301"/>
    <b v="0"/>
    <b v="0"/>
    <b v="1"/>
    <n v="0"/>
    <m/>
    <n v="0"/>
    <m/>
  </r>
  <r>
    <s v="TX000349"/>
    <s v="AC00376"/>
    <n v="308.42"/>
    <d v="2023-05-02T16:14:22"/>
    <s v="Debit"/>
    <x v="9"/>
    <s v="D000276"/>
    <s v="76.0.164.168"/>
    <s v="M077"/>
    <s v="Branch"/>
    <n v="75"/>
    <s v="Retired"/>
    <n v="39"/>
    <n v="1"/>
    <n v="5427.81"/>
    <d v="2024-11-04T08:06:34"/>
    <n v="16"/>
    <s v="Tuesday"/>
    <n v="3.7082930091265398E-2"/>
    <b v="0"/>
    <b v="0"/>
    <b v="1"/>
    <n v="0"/>
    <m/>
    <n v="0"/>
    <m/>
  </r>
  <r>
    <s v="TX000350"/>
    <s v="AC00029"/>
    <n v="11.18"/>
    <d v="2023-02-27T16:39:28"/>
    <s v="Debit"/>
    <x v="19"/>
    <s v="D000609"/>
    <s v="176.96.83.253"/>
    <s v="M035"/>
    <s v="ATM"/>
    <n v="53"/>
    <s v="Engineer"/>
    <n v="144"/>
    <n v="1"/>
    <n v="7467.3"/>
    <d v="2024-11-04T08:10:57"/>
    <n v="16"/>
    <s v="Monday"/>
    <n v="-0.98104971157675203"/>
    <b v="0"/>
    <b v="0"/>
    <b v="1"/>
    <n v="0"/>
    <m/>
    <n v="0"/>
    <m/>
  </r>
  <r>
    <s v="TX000351"/>
    <s v="AC00040"/>
    <n v="294.14999999999998"/>
    <d v="2023-02-02T16:19:31"/>
    <s v="Debit"/>
    <x v="41"/>
    <s v="D000504"/>
    <s v="112.86.148.212"/>
    <s v="M020"/>
    <s v="Online"/>
    <n v="38"/>
    <s v="Engineer"/>
    <n v="136"/>
    <n v="1"/>
    <n v="6362.16"/>
    <d v="2024-11-04T08:07:20"/>
    <n v="16"/>
    <s v="Thursday"/>
    <n v="-1.1795931423344499E-2"/>
    <b v="0"/>
    <b v="0"/>
    <b v="1"/>
    <n v="0"/>
    <m/>
    <n v="0"/>
    <m/>
  </r>
  <r>
    <s v="TX000352"/>
    <s v="AC00482"/>
    <n v="29.58"/>
    <d v="2023-10-30T17:54:19"/>
    <s v="Debit"/>
    <x v="40"/>
    <s v="D000230"/>
    <s v="173.252.44.183"/>
    <s v="M066"/>
    <s v="Branch"/>
    <n v="54"/>
    <s v="Engineer"/>
    <n v="121"/>
    <n v="1"/>
    <n v="8345.26"/>
    <d v="2024-11-04T08:11:01"/>
    <n v="17"/>
    <s v="Monday"/>
    <n v="-0.91802441011432601"/>
    <b v="0"/>
    <b v="0"/>
    <b v="1"/>
    <n v="0"/>
    <m/>
    <n v="0"/>
    <m/>
  </r>
  <r>
    <s v="TX000353"/>
    <s v="AC00365"/>
    <n v="139.44999999999999"/>
    <d v="2023-07-10T16:43:05"/>
    <s v="Debit"/>
    <x v="35"/>
    <s v="D000139"/>
    <s v="77.7.223.184"/>
    <s v="M004"/>
    <s v="Online"/>
    <n v="27"/>
    <s v="Student"/>
    <n v="31"/>
    <n v="1"/>
    <n v="1305.76"/>
    <d v="2024-11-04T08:10:08"/>
    <n v="16"/>
    <s v="Monday"/>
    <n v="-0.541688004044937"/>
    <b v="0"/>
    <b v="0"/>
    <b v="1"/>
    <n v="0"/>
    <m/>
    <n v="0"/>
    <m/>
  </r>
  <r>
    <s v="TX000354"/>
    <s v="AC00340"/>
    <n v="432.63"/>
    <d v="2023-06-30T17:10:38"/>
    <s v="Debit"/>
    <x v="40"/>
    <s v="D000469"/>
    <s v="116.237.223.50"/>
    <s v="M024"/>
    <s v="ATM"/>
    <n v="29"/>
    <s v="Doctor"/>
    <n v="137"/>
    <n v="1"/>
    <n v="13648.36"/>
    <d v="2024-11-04T08:10:24"/>
    <n v="17"/>
    <s v="Friday"/>
    <n v="0.46253796784387002"/>
    <b v="0"/>
    <b v="0"/>
    <b v="1"/>
    <n v="0"/>
    <m/>
    <n v="0"/>
    <m/>
  </r>
  <r>
    <s v="TX000355"/>
    <s v="AC00349"/>
    <n v="131.43"/>
    <d v="2023-02-01T18:47:20"/>
    <s v="Debit"/>
    <x v="27"/>
    <s v="D000391"/>
    <s v="77.7.223.184"/>
    <s v="M053"/>
    <s v="Online"/>
    <n v="43"/>
    <s v="Doctor"/>
    <n v="65"/>
    <n v="1"/>
    <n v="1337.5"/>
    <d v="2024-11-04T08:12:12"/>
    <n v="18"/>
    <s v="Wednesday"/>
    <n v="-0.56915881479106001"/>
    <b v="0"/>
    <b v="0"/>
    <b v="1"/>
    <n v="0"/>
    <m/>
    <n v="0"/>
    <m/>
  </r>
  <r>
    <s v="TX000356"/>
    <s v="AC00374"/>
    <n v="516.72"/>
    <d v="2023-10-09T18:43:04"/>
    <s v="Debit"/>
    <x v="2"/>
    <s v="D000489"/>
    <s v="197.187.216.106"/>
    <s v="M025"/>
    <s v="ATM"/>
    <n v="42"/>
    <s v="Engineer"/>
    <n v="128"/>
    <n v="1"/>
    <n v="2015.69"/>
    <d v="2024-11-04T08:11:35"/>
    <n v="18"/>
    <s v="Monday"/>
    <n v="0.75057044610340395"/>
    <b v="0"/>
    <b v="0"/>
    <b v="1"/>
    <n v="0"/>
    <m/>
    <n v="0"/>
    <m/>
  </r>
  <r>
    <s v="TX000357"/>
    <s v="AC00261"/>
    <n v="121.82"/>
    <d v="2023-02-07T17:20:24"/>
    <s v="Debit"/>
    <x v="40"/>
    <s v="D000095"/>
    <s v="186.54.68.246"/>
    <s v="M094"/>
    <s v="Online"/>
    <n v="69"/>
    <s v="Doctor"/>
    <n v="123"/>
    <n v="3"/>
    <n v="8354.5400000000009"/>
    <d v="2024-11-04T08:08:07"/>
    <n v="17"/>
    <s v="Tuesday"/>
    <n v="-0.60207583365268602"/>
    <b v="0"/>
    <b v="1"/>
    <b v="1"/>
    <n v="1"/>
    <m/>
    <n v="0"/>
    <m/>
  </r>
  <r>
    <s v="TX000358"/>
    <s v="AC00459"/>
    <n v="374.5"/>
    <d v="2023-07-24T16:45:31"/>
    <s v="Credit"/>
    <x v="23"/>
    <s v="D000045"/>
    <s v="9.230.41.239"/>
    <s v="M002"/>
    <s v="Branch"/>
    <n v="26"/>
    <s v="Student"/>
    <n v="178"/>
    <n v="1"/>
    <n v="1671.51"/>
    <d v="2024-11-04T08:08:37"/>
    <n v="16"/>
    <s v="Monday"/>
    <n v="0.263425969256326"/>
    <b v="0"/>
    <b v="0"/>
    <b v="1"/>
    <n v="0"/>
    <m/>
    <n v="0"/>
    <m/>
  </r>
  <r>
    <s v="TX000359"/>
    <s v="AC00331"/>
    <n v="166.13"/>
    <d v="2023-09-06T17:01:50"/>
    <s v="Debit"/>
    <x v="32"/>
    <s v="D000473"/>
    <s v="29.168.185.63"/>
    <s v="M013"/>
    <s v="ATM"/>
    <n v="68"/>
    <s v="Doctor"/>
    <n v="227"/>
    <n v="1"/>
    <n v="11822.53"/>
    <d v="2024-11-04T08:12:08"/>
    <n v="17"/>
    <s v="Wednesday"/>
    <n v="-0.45030131692441899"/>
    <b v="0"/>
    <b v="0"/>
    <b v="1"/>
    <n v="0"/>
    <m/>
    <n v="0"/>
    <m/>
  </r>
  <r>
    <s v="TX000360"/>
    <s v="AC00165"/>
    <n v="626.9"/>
    <d v="2023-10-10T16:42:09"/>
    <s v="Debit"/>
    <x v="29"/>
    <s v="D000686"/>
    <s v="59.12.96.11"/>
    <s v="M017"/>
    <s v="ATM"/>
    <n v="23"/>
    <s v="Student"/>
    <n v="146"/>
    <n v="1"/>
    <n v="587.11"/>
    <d v="2024-11-04T08:11:30"/>
    <n v="16"/>
    <s v="Tuesday"/>
    <n v="1.1279686914909"/>
    <b v="0"/>
    <b v="0"/>
    <b v="1"/>
    <n v="0"/>
    <m/>
    <n v="0"/>
    <m/>
  </r>
  <r>
    <s v="TX000361"/>
    <s v="AC00397"/>
    <n v="466.85"/>
    <d v="2023-07-17T16:57:14"/>
    <s v="Debit"/>
    <x v="14"/>
    <s v="D000016"/>
    <s v="136.104.90.223"/>
    <s v="M007"/>
    <s v="Branch"/>
    <n v="56"/>
    <s v="Retired"/>
    <n v="165"/>
    <n v="1"/>
    <n v="5422.53"/>
    <d v="2024-11-04T08:09:35"/>
    <n v="16"/>
    <s v="Monday"/>
    <n v="0.57975132741149105"/>
    <b v="0"/>
    <b v="0"/>
    <b v="1"/>
    <n v="0"/>
    <m/>
    <n v="0"/>
    <m/>
  </r>
  <r>
    <s v="TX000362"/>
    <s v="AC00192"/>
    <n v="788.84"/>
    <d v="2023-05-17T17:00:34"/>
    <s v="Debit"/>
    <x v="37"/>
    <s v="D000402"/>
    <s v="4.105.134.118"/>
    <s v="M055"/>
    <s v="Online"/>
    <n v="58"/>
    <s v="Retired"/>
    <n v="231"/>
    <n v="1"/>
    <n v="1913.73"/>
    <d v="2024-11-04T08:09:42"/>
    <n v="17"/>
    <s v="Wednesday"/>
    <n v="1.6826598501227099"/>
    <b v="0"/>
    <b v="0"/>
    <b v="1"/>
    <n v="0"/>
    <m/>
    <n v="0"/>
    <m/>
  </r>
  <r>
    <s v="TX000363"/>
    <s v="AC00063"/>
    <n v="873.65"/>
    <d v="2023-03-23T16:38:40"/>
    <s v="Credit"/>
    <x v="5"/>
    <s v="D000414"/>
    <s v="214.247.164.80"/>
    <s v="M050"/>
    <s v="Online"/>
    <n v="37"/>
    <s v="Doctor"/>
    <n v="59"/>
    <n v="1"/>
    <n v="12139.83"/>
    <d v="2024-11-04T08:09:57"/>
    <n v="16"/>
    <s v="Thursday"/>
    <n v="1.9731585358307799"/>
    <b v="0"/>
    <b v="0"/>
    <b v="1"/>
    <n v="0"/>
    <m/>
    <n v="0"/>
    <m/>
  </r>
  <r>
    <s v="TX000364"/>
    <s v="AC00478"/>
    <n v="525.28"/>
    <d v="2023-04-03T16:37:24"/>
    <s v="Debit"/>
    <x v="40"/>
    <s v="D000564"/>
    <s v="70.130.169.235"/>
    <s v="M011"/>
    <s v="ATM"/>
    <n v="69"/>
    <s v="Retired"/>
    <n v="134"/>
    <n v="1"/>
    <n v="4693.6000000000004"/>
    <d v="2024-11-04T08:09:39"/>
    <n v="16"/>
    <s v="Monday"/>
    <n v="0.77989091243592401"/>
    <b v="0"/>
    <b v="0"/>
    <b v="1"/>
    <n v="0"/>
    <m/>
    <n v="0"/>
    <m/>
  </r>
  <r>
    <s v="TX000365"/>
    <s v="AC00272"/>
    <n v="110.17"/>
    <d v="2023-09-07T16:08:12"/>
    <s v="Debit"/>
    <x v="3"/>
    <s v="D000046"/>
    <s v="156.235.3.171"/>
    <s v="M054"/>
    <s v="ATM"/>
    <n v="30"/>
    <s v="Engineer"/>
    <n v="137"/>
    <n v="1"/>
    <n v="464.2"/>
    <d v="2024-11-04T08:12:11"/>
    <n v="16"/>
    <s v="Thursday"/>
    <n v="-0.641980440285146"/>
    <b v="0"/>
    <b v="0"/>
    <b v="1"/>
    <n v="0"/>
    <m/>
    <n v="0"/>
    <m/>
  </r>
  <r>
    <s v="TX000366"/>
    <s v="AC00092"/>
    <n v="632.69000000000005"/>
    <d v="2023-09-12T16:28:38"/>
    <s v="Debit"/>
    <x v="13"/>
    <s v="D000455"/>
    <s v="211.97.88.141"/>
    <s v="M047"/>
    <s v="ATM"/>
    <n v="80"/>
    <s v="Retired"/>
    <n v="76"/>
    <n v="1"/>
    <n v="4363.74"/>
    <d v="2024-11-04T08:09:26"/>
    <n v="16"/>
    <s v="Tuesday"/>
    <n v="1.14780110972283"/>
    <b v="0"/>
    <b v="0"/>
    <b v="1"/>
    <n v="0"/>
    <m/>
    <n v="0"/>
    <m/>
  </r>
  <r>
    <s v="TX000367"/>
    <s v="AC00332"/>
    <n v="124.35"/>
    <d v="2023-12-08T16:39:15"/>
    <s v="Debit"/>
    <x v="5"/>
    <s v="D000082"/>
    <s v="49.20.211.229"/>
    <s v="M015"/>
    <s v="ATM"/>
    <n v="72"/>
    <s v="Retired"/>
    <n v="90"/>
    <n v="1"/>
    <n v="3319.76"/>
    <d v="2024-11-04T08:11:35"/>
    <n v="16"/>
    <s v="Friday"/>
    <n v="-0.59340985470160201"/>
    <b v="0"/>
    <b v="0"/>
    <b v="1"/>
    <n v="0"/>
    <m/>
    <n v="0"/>
    <m/>
  </r>
  <r>
    <s v="TX000368"/>
    <s v="AC00087"/>
    <n v="43.85"/>
    <d v="2023-03-13T16:25:34"/>
    <s v="Debit"/>
    <x v="41"/>
    <s v="D000092"/>
    <s v="117.67.192.211"/>
    <s v="M013"/>
    <s v="ATM"/>
    <n v="62"/>
    <s v="Retired"/>
    <n v="122"/>
    <n v="1"/>
    <n v="4356.9799999999996"/>
    <d v="2024-11-04T08:07:18"/>
    <n v="16"/>
    <s v="Monday"/>
    <n v="-0.86914554859971604"/>
    <b v="0"/>
    <b v="0"/>
    <b v="1"/>
    <n v="0"/>
    <m/>
    <n v="0"/>
    <m/>
  </r>
  <r>
    <s v="TX000369"/>
    <s v="AC00327"/>
    <n v="283.81"/>
    <d v="2023-03-09T16:31:54"/>
    <s v="Debit"/>
    <x v="0"/>
    <s v="D000364"/>
    <s v="64.57.44.102"/>
    <s v="M046"/>
    <s v="Branch"/>
    <n v="28"/>
    <s v="Student"/>
    <n v="29"/>
    <n v="1"/>
    <n v="1519.35"/>
    <d v="2024-11-04T08:10:46"/>
    <n v="16"/>
    <s v="Thursday"/>
    <n v="-4.7213410614729501E-2"/>
    <b v="0"/>
    <b v="0"/>
    <b v="1"/>
    <n v="0"/>
    <m/>
    <n v="0"/>
    <m/>
  </r>
  <r>
    <s v="TX000370"/>
    <s v="AC00269"/>
    <n v="168.53"/>
    <d v="2023-06-14T16:30:42"/>
    <s v="Debit"/>
    <x v="23"/>
    <s v="D000602"/>
    <s v="157.164.245.130"/>
    <s v="M100"/>
    <s v="ATM"/>
    <n v="71"/>
    <s v="Retired"/>
    <n v="112"/>
    <n v="1"/>
    <n v="5962.58"/>
    <d v="2024-11-04T08:12:09"/>
    <n v="16"/>
    <s v="Wednesday"/>
    <n v="-0.44208062542931997"/>
    <b v="0"/>
    <b v="0"/>
    <b v="1"/>
    <n v="0"/>
    <m/>
    <n v="0"/>
    <m/>
  </r>
  <r>
    <s v="TX000371"/>
    <s v="AC00177"/>
    <n v="218.59"/>
    <d v="2023-11-27T16:43:28"/>
    <s v="Credit"/>
    <x v="13"/>
    <s v="D000004"/>
    <s v="72.192.101.196"/>
    <s v="M088"/>
    <s v="Branch"/>
    <n v="40"/>
    <s v="Engineer"/>
    <n v="123"/>
    <n v="1"/>
    <n v="6699.23"/>
    <d v="2024-11-04T08:07:12"/>
    <n v="16"/>
    <s v="Monday"/>
    <n v="-0.27061070199404602"/>
    <b v="0"/>
    <b v="0"/>
    <b v="1"/>
    <n v="0"/>
    <m/>
    <n v="0"/>
    <m/>
  </r>
  <r>
    <s v="TX000372"/>
    <s v="AC00322"/>
    <n v="132.84"/>
    <d v="2023-08-21T16:28:17"/>
    <s v="Debit"/>
    <x v="5"/>
    <s v="D000244"/>
    <s v="147.114.91.132"/>
    <s v="M060"/>
    <s v="ATM"/>
    <n v="21"/>
    <s v="Student"/>
    <n v="143"/>
    <n v="1"/>
    <n v="822.73"/>
    <d v="2024-11-04T08:08:40"/>
    <n v="16"/>
    <s v="Monday"/>
    <n v="-0.56432915853768895"/>
    <b v="0"/>
    <b v="0"/>
    <b v="1"/>
    <n v="0"/>
    <m/>
    <n v="0"/>
    <m/>
  </r>
  <r>
    <s v="TX000373"/>
    <s v="AC00069"/>
    <n v="157.37"/>
    <d v="2023-11-15T16:54:44"/>
    <s v="Credit"/>
    <x v="34"/>
    <s v="D000001"/>
    <s v="66.23.166.248"/>
    <s v="M014"/>
    <s v="Branch"/>
    <n v="42"/>
    <s v="Doctor"/>
    <n v="289"/>
    <n v="1"/>
    <n v="13964.31"/>
    <d v="2024-11-04T08:10:30"/>
    <n v="16"/>
    <s v="Wednesday"/>
    <n v="-0.48030684088153103"/>
    <b v="0"/>
    <b v="0"/>
    <b v="1"/>
    <n v="0"/>
    <m/>
    <n v="0"/>
    <m/>
  </r>
  <r>
    <s v="TX000374"/>
    <s v="AC00264"/>
    <n v="144.77000000000001"/>
    <d v="2023-07-17T16:48:23"/>
    <s v="Debit"/>
    <x v="10"/>
    <s v="D000194"/>
    <s v="57.166.147.242"/>
    <s v="M007"/>
    <s v="Online"/>
    <n v="20"/>
    <s v="Student"/>
    <n v="159"/>
    <n v="1"/>
    <n v="867.32"/>
    <d v="2024-11-04T08:10:54"/>
    <n v="16"/>
    <s v="Monday"/>
    <n v="-0.523465471230801"/>
    <b v="0"/>
    <b v="0"/>
    <b v="1"/>
    <n v="0"/>
    <m/>
    <n v="0"/>
    <m/>
  </r>
  <r>
    <s v="TX000375"/>
    <s v="AC00014"/>
    <n v="643.22"/>
    <d v="2023-05-03T17:04:32"/>
    <s v="Debit"/>
    <x v="4"/>
    <s v="D000248"/>
    <s v="175.166.115.182"/>
    <s v="M073"/>
    <s v="ATM"/>
    <n v="64"/>
    <s v="Doctor"/>
    <n v="93"/>
    <n v="1"/>
    <n v="1035.8599999999999"/>
    <d v="2024-11-04T08:07:46"/>
    <n v="17"/>
    <s v="Wednesday"/>
    <n v="1.1838693936575799"/>
    <b v="0"/>
    <b v="0"/>
    <b v="1"/>
    <n v="0"/>
    <m/>
    <n v="0"/>
    <m/>
  </r>
  <r>
    <s v="TX000376"/>
    <s v="AC00316"/>
    <n v="1392.54"/>
    <d v="2023-11-20T16:51:14"/>
    <s v="Debit"/>
    <x v="39"/>
    <s v="D000113"/>
    <s v="63.67.150.226"/>
    <s v="M013"/>
    <s v="Branch"/>
    <n v="41"/>
    <s v="Doctor"/>
    <n v="297"/>
    <n v="1"/>
    <n v="13347.69"/>
    <d v="2024-11-04T08:09:15"/>
    <n v="16"/>
    <s v="Monday"/>
    <n v="3.75050628995242"/>
    <b v="1"/>
    <b v="0"/>
    <b v="1"/>
    <n v="1"/>
    <m/>
    <n v="1"/>
    <m/>
  </r>
  <r>
    <s v="TX000377"/>
    <s v="AC00131"/>
    <n v="208.07"/>
    <d v="2023-07-10T16:51:12"/>
    <s v="Debit"/>
    <x v="5"/>
    <s v="D000084"/>
    <s v="157.164.245.130"/>
    <s v="M100"/>
    <s v="Online"/>
    <n v="32"/>
    <s v="Doctor"/>
    <n v="36"/>
    <n v="1"/>
    <n v="8478.9"/>
    <d v="2024-11-04T08:11:43"/>
    <n v="16"/>
    <s v="Monday"/>
    <n v="-0.30664473304756301"/>
    <b v="0"/>
    <b v="0"/>
    <b v="1"/>
    <n v="0"/>
    <m/>
    <n v="0"/>
    <m/>
  </r>
  <r>
    <s v="TX000378"/>
    <s v="AC00232"/>
    <n v="94.3"/>
    <d v="2023-12-25T17:53:56"/>
    <s v="Debit"/>
    <x v="37"/>
    <s v="D000446"/>
    <s v="198.39.35.23"/>
    <s v="M042"/>
    <s v="Branch"/>
    <n v="57"/>
    <s v="Doctor"/>
    <n v="57"/>
    <n v="1"/>
    <n v="11088.95"/>
    <d v="2024-11-04T08:08:14"/>
    <n v="17"/>
    <s v="Monday"/>
    <n v="-0.69633976279648802"/>
    <b v="0"/>
    <b v="0"/>
    <b v="1"/>
    <n v="0"/>
    <m/>
    <n v="0"/>
    <m/>
  </r>
  <r>
    <s v="TX000379"/>
    <s v="AC00410"/>
    <n v="295.5"/>
    <d v="2023-11-23T18:00:00"/>
    <s v="Debit"/>
    <x v="2"/>
    <s v="D000445"/>
    <s v="137.135.250.168"/>
    <s v="M095"/>
    <s v="ATM"/>
    <n v="59"/>
    <s v="Retired"/>
    <n v="36"/>
    <n v="1"/>
    <n v="6280.66"/>
    <d v="2024-11-04T08:07:08"/>
    <n v="18"/>
    <s v="Thursday"/>
    <n v="-7.1717924573512001E-3"/>
    <b v="0"/>
    <b v="0"/>
    <b v="1"/>
    <n v="0"/>
    <m/>
    <n v="0"/>
    <m/>
  </r>
  <r>
    <s v="TX000380"/>
    <s v="AC00488"/>
    <n v="30.23"/>
    <d v="2023-11-06T17:53:25"/>
    <s v="Debit"/>
    <x v="14"/>
    <s v="D000406"/>
    <s v="134.247.5.188"/>
    <s v="M049"/>
    <s v="ATM"/>
    <n v="44"/>
    <s v="Doctor"/>
    <n v="99"/>
    <n v="1"/>
    <n v="481.13"/>
    <d v="2024-11-04T08:12:06"/>
    <n v="17"/>
    <s v="Monday"/>
    <n v="-0.91579797283440301"/>
    <b v="0"/>
    <b v="0"/>
    <b v="1"/>
    <n v="0"/>
    <m/>
    <n v="0"/>
    <m/>
  </r>
  <r>
    <s v="TX000381"/>
    <s v="AC00329"/>
    <n v="112.05"/>
    <d v="2023-10-26T16:16:12"/>
    <s v="Credit"/>
    <x v="37"/>
    <s v="D000156"/>
    <s v="116.44.12.250"/>
    <s v="M078"/>
    <s v="ATM"/>
    <n v="26"/>
    <s v="Student"/>
    <n v="159"/>
    <n v="1"/>
    <n v="1122.8800000000001"/>
    <d v="2024-11-04T08:08:31"/>
    <n v="16"/>
    <s v="Thursday"/>
    <n v="-0.63554089861398499"/>
    <b v="0"/>
    <b v="0"/>
    <b v="1"/>
    <n v="0"/>
    <m/>
    <n v="0"/>
    <m/>
  </r>
  <r>
    <s v="TX000382"/>
    <s v="AC00021"/>
    <n v="180.24"/>
    <d v="2023-07-03T17:03:48"/>
    <s v="Debit"/>
    <x v="37"/>
    <s v="D000106"/>
    <s v="169.67.220.37"/>
    <s v="M098"/>
    <s v="Branch"/>
    <n v="58"/>
    <s v="Engineer"/>
    <n v="144"/>
    <n v="1"/>
    <n v="8431.23"/>
    <d v="2024-11-04T08:09:17"/>
    <n v="17"/>
    <s v="Monday"/>
    <n v="-0.40197050150948299"/>
    <b v="0"/>
    <b v="0"/>
    <b v="1"/>
    <n v="0"/>
    <m/>
    <n v="0"/>
    <m/>
  </r>
  <r>
    <s v="TX000383"/>
    <s v="AC00188"/>
    <n v="13.71"/>
    <d v="2023-05-30T17:54:22"/>
    <s v="Credit"/>
    <x v="13"/>
    <s v="D000483"/>
    <s v="189.20.224.220"/>
    <s v="M084"/>
    <s v="Online"/>
    <n v="38"/>
    <s v="Engineer"/>
    <n v="148"/>
    <n v="1"/>
    <n v="8342.7900000000009"/>
    <d v="2024-11-04T08:11:17"/>
    <n v="17"/>
    <s v="Tuesday"/>
    <n v="-0.97238373262566802"/>
    <b v="0"/>
    <b v="0"/>
    <b v="1"/>
    <n v="0"/>
    <m/>
    <n v="0"/>
    <m/>
  </r>
  <r>
    <s v="TX000384"/>
    <s v="AC00341"/>
    <n v="96.54"/>
    <d v="2023-03-13T17:26:17"/>
    <s v="Debit"/>
    <x v="22"/>
    <s v="D000387"/>
    <s v="69.61.96.139"/>
    <s v="M020"/>
    <s v="Branch"/>
    <n v="58"/>
    <s v="Retired"/>
    <n v="95"/>
    <n v="1"/>
    <n v="7182.22"/>
    <d v="2024-11-04T08:10:31"/>
    <n v="17"/>
    <s v="Monday"/>
    <n v="-0.68866711740106201"/>
    <b v="0"/>
    <b v="0"/>
    <b v="1"/>
    <n v="0"/>
    <m/>
    <n v="0"/>
    <m/>
  </r>
  <r>
    <s v="TX000385"/>
    <s v="AC00090"/>
    <n v="79.349999999999994"/>
    <d v="2023-05-29T17:02:32"/>
    <s v="Debit"/>
    <x v="16"/>
    <s v="D000277"/>
    <s v="161.161.26.115"/>
    <s v="M051"/>
    <s v="Online"/>
    <n v="67"/>
    <s v="Retired"/>
    <n v="70"/>
    <n v="1"/>
    <n v="1692.15"/>
    <d v="2024-11-04T08:09:48"/>
    <n v="17"/>
    <s v="Monday"/>
    <n v="-0.747547820234709"/>
    <b v="0"/>
    <b v="0"/>
    <b v="1"/>
    <n v="0"/>
    <m/>
    <n v="0"/>
    <m/>
  </r>
  <r>
    <s v="TX000386"/>
    <s v="AC00456"/>
    <n v="101.04"/>
    <d v="2023-07-10T18:16:07"/>
    <s v="Debit"/>
    <x v="25"/>
    <s v="D000020"/>
    <s v="143.212.47.226"/>
    <s v="M067"/>
    <s v="ATM"/>
    <n v="27"/>
    <s v="Student"/>
    <n v="160"/>
    <n v="1"/>
    <n v="1695.57"/>
    <d v="2024-11-04T08:06:43"/>
    <n v="18"/>
    <s v="Monday"/>
    <n v="-0.67325332084775202"/>
    <b v="0"/>
    <b v="0"/>
    <b v="1"/>
    <n v="0"/>
    <m/>
    <n v="0"/>
    <m/>
  </r>
  <r>
    <s v="TX000387"/>
    <s v="AC00322"/>
    <n v="74.42"/>
    <d v="2023-11-23T17:23:16"/>
    <s v="Debit"/>
    <x v="39"/>
    <s v="D000273"/>
    <s v="76.136.92.235"/>
    <s v="M003"/>
    <s v="Online"/>
    <n v="49"/>
    <s v="Engineer"/>
    <n v="68"/>
    <n v="1"/>
    <n v="6264.21"/>
    <d v="2024-11-04T08:11:23"/>
    <n v="17"/>
    <s v="Thursday"/>
    <n v="-0.76443449068089198"/>
    <b v="0"/>
    <b v="0"/>
    <b v="1"/>
    <n v="0"/>
    <m/>
    <n v="0"/>
    <m/>
  </r>
  <r>
    <s v="TX000388"/>
    <s v="AC00135"/>
    <n v="39.659999999999997"/>
    <d v="2023-05-18T16:16:53"/>
    <s v="Debit"/>
    <x v="33"/>
    <s v="D000680"/>
    <s v="200.136.146.93"/>
    <s v="M045"/>
    <s v="Branch"/>
    <n v="52"/>
    <s v="Engineer"/>
    <n v="169"/>
    <n v="1"/>
    <n v="8497.34"/>
    <d v="2024-11-04T08:07:20"/>
    <n v="16"/>
    <s v="Thursday"/>
    <n v="-0.88349750583491005"/>
    <b v="0"/>
    <b v="0"/>
    <b v="1"/>
    <n v="0"/>
    <m/>
    <n v="0"/>
    <m/>
  </r>
  <r>
    <s v="TX000389"/>
    <s v="AC00279"/>
    <n v="99.36"/>
    <d v="2023-05-09T16:55:54"/>
    <s v="Debit"/>
    <x v="6"/>
    <s v="D000019"/>
    <s v="93.151.52.152"/>
    <s v="M004"/>
    <s v="ATM"/>
    <n v="40"/>
    <s v="Doctor"/>
    <n v="46"/>
    <n v="1"/>
    <n v="1272.1199999999999"/>
    <d v="2024-11-04T08:09:15"/>
    <n v="16"/>
    <s v="Tuesday"/>
    <n v="-0.679007804894321"/>
    <b v="0"/>
    <b v="0"/>
    <b v="1"/>
    <n v="0"/>
    <m/>
    <n v="0"/>
    <m/>
  </r>
  <r>
    <s v="TX000390"/>
    <s v="AC00210"/>
    <n v="123.85"/>
    <d v="2023-08-25T18:47:28"/>
    <s v="Debit"/>
    <x v="17"/>
    <s v="D000274"/>
    <s v="105.136.156.29"/>
    <s v="M047"/>
    <s v="Online"/>
    <n v="56"/>
    <s v="Engineer"/>
    <n v="244"/>
    <n v="1"/>
    <n v="3959.62"/>
    <d v="2024-11-04T08:06:36"/>
    <n v="18"/>
    <s v="Friday"/>
    <n v="-0.59512249876308099"/>
    <b v="0"/>
    <b v="0"/>
    <b v="1"/>
    <n v="0"/>
    <m/>
    <n v="0"/>
    <m/>
  </r>
  <r>
    <s v="TX000391"/>
    <s v="AC00251"/>
    <n v="426.93"/>
    <d v="2023-12-25T17:05:00"/>
    <s v="Debit"/>
    <x v="32"/>
    <s v="D000129"/>
    <s v="3.70.1.133"/>
    <s v="M054"/>
    <s v="ATM"/>
    <n v="19"/>
    <s v="Student"/>
    <n v="248"/>
    <n v="1"/>
    <n v="476.19"/>
    <d v="2024-11-04T08:09:12"/>
    <n v="17"/>
    <s v="Monday"/>
    <n v="0.44301382554301"/>
    <b v="0"/>
    <b v="0"/>
    <b v="1"/>
    <n v="0"/>
    <m/>
    <n v="0"/>
    <m/>
  </r>
  <r>
    <s v="TX000392"/>
    <s v="AC00116"/>
    <n v="133.72999999999999"/>
    <d v="2023-05-16T16:21:42"/>
    <s v="Credit"/>
    <x v="24"/>
    <s v="D000664"/>
    <s v="83.80.89.29"/>
    <s v="M001"/>
    <s v="Online"/>
    <n v="25"/>
    <s v="Student"/>
    <n v="123"/>
    <n v="1"/>
    <n v="1872.22"/>
    <d v="2024-11-04T08:09:22"/>
    <n v="16"/>
    <s v="Tuesday"/>
    <n v="-0.56128065210825695"/>
    <b v="0"/>
    <b v="0"/>
    <b v="1"/>
    <n v="0"/>
    <m/>
    <n v="0"/>
    <m/>
  </r>
  <r>
    <s v="TX000393"/>
    <s v="AC00131"/>
    <n v="222.39"/>
    <d v="2023-08-23T16:32:59"/>
    <s v="Debit"/>
    <x v="33"/>
    <s v="D000008"/>
    <s v="180.224.54.115"/>
    <s v="M088"/>
    <s v="Online"/>
    <n v="49"/>
    <s v="Engineer"/>
    <n v="73"/>
    <n v="1"/>
    <n v="3117.39"/>
    <d v="2024-11-04T08:10:52"/>
    <n v="16"/>
    <s v="Wednesday"/>
    <n v="-0.25759460712680599"/>
    <b v="0"/>
    <b v="0"/>
    <b v="1"/>
    <n v="0"/>
    <m/>
    <n v="0"/>
    <m/>
  </r>
  <r>
    <s v="TX000394"/>
    <s v="AC00265"/>
    <n v="215.94"/>
    <d v="2023-06-05T16:06:43"/>
    <s v="Credit"/>
    <x v="33"/>
    <s v="D000037"/>
    <s v="53.218.177.171"/>
    <s v="M021"/>
    <s v="Online"/>
    <n v="22"/>
    <s v="Student"/>
    <n v="140"/>
    <n v="1"/>
    <n v="1841.69"/>
    <d v="2024-11-04T08:10:45"/>
    <n v="16"/>
    <s v="Monday"/>
    <n v="-0.27968771551988397"/>
    <b v="0"/>
    <b v="0"/>
    <b v="1"/>
    <n v="0"/>
    <m/>
    <n v="0"/>
    <m/>
  </r>
  <r>
    <s v="TX000395"/>
    <s v="AC00326"/>
    <n v="6.3"/>
    <d v="2023-12-14T18:52:54"/>
    <s v="Debit"/>
    <x v="15"/>
    <s v="D000539"/>
    <s v="210.160.90.52"/>
    <s v="M017"/>
    <s v="Branch"/>
    <n v="80"/>
    <s v="Retired"/>
    <n v="283"/>
    <n v="5"/>
    <n v="7697.68"/>
    <d v="2024-11-04T08:12:13"/>
    <n v="18"/>
    <s v="Thursday"/>
    <n v="-0.99776511761678699"/>
    <b v="0"/>
    <b v="1"/>
    <b v="1"/>
    <n v="1"/>
    <m/>
    <n v="0"/>
    <m/>
  </r>
  <r>
    <s v="TX000396"/>
    <s v="AC00411"/>
    <n v="826.23"/>
    <d v="2023-05-31T16:25:19"/>
    <s v="Debit"/>
    <x v="40"/>
    <s v="D000056"/>
    <s v="153.178.166.93"/>
    <s v="M042"/>
    <s v="ATM"/>
    <n v="29"/>
    <s v="Doctor"/>
    <n v="209"/>
    <n v="1"/>
    <n v="7580.59"/>
    <d v="2024-11-04T08:07:32"/>
    <n v="16"/>
    <s v="Wednesday"/>
    <n v="1.81073137304011"/>
    <b v="0"/>
    <b v="0"/>
    <b v="1"/>
    <n v="0"/>
    <m/>
    <n v="0"/>
    <m/>
  </r>
  <r>
    <s v="TX000397"/>
    <s v="AC00039"/>
    <n v="416.37"/>
    <d v="2023-10-11T16:14:28"/>
    <s v="Debit"/>
    <x v="15"/>
    <s v="D000686"/>
    <s v="198.24.183.157"/>
    <s v="M015"/>
    <s v="Online"/>
    <n v="35"/>
    <s v="Engineer"/>
    <n v="67"/>
    <n v="1"/>
    <n v="7936.91"/>
    <d v="2024-11-04T08:08:50"/>
    <n v="16"/>
    <s v="Wednesday"/>
    <n v="0.40684278296457399"/>
    <b v="0"/>
    <b v="0"/>
    <b v="1"/>
    <n v="0"/>
    <m/>
    <n v="0"/>
    <m/>
  </r>
  <r>
    <s v="TX000398"/>
    <s v="AC00293"/>
    <n v="131.46"/>
    <d v="2023-05-15T16:37:12"/>
    <s v="Debit"/>
    <x v="27"/>
    <s v="D000287"/>
    <s v="146.69.70.214"/>
    <s v="M006"/>
    <s v="Branch"/>
    <n v="67"/>
    <s v="Retired"/>
    <n v="258"/>
    <n v="1"/>
    <n v="6642.33"/>
    <d v="2024-11-04T08:11:30"/>
    <n v="16"/>
    <s v="Monday"/>
    <n v="-0.56905605614737098"/>
    <b v="0"/>
    <b v="0"/>
    <b v="1"/>
    <n v="0"/>
    <m/>
    <n v="0"/>
    <m/>
  </r>
  <r>
    <s v="TX000399"/>
    <s v="AC00306"/>
    <n v="202.86"/>
    <d v="2023-05-22T17:24:46"/>
    <s v="Credit"/>
    <x v="11"/>
    <s v="D000589"/>
    <s v="93.169.212.219"/>
    <s v="M088"/>
    <s v="Branch"/>
    <n v="61"/>
    <s v="Doctor"/>
    <n v="149"/>
    <n v="1"/>
    <n v="7642.25"/>
    <d v="2024-11-04T08:08:54"/>
    <n v="17"/>
    <s v="Monday"/>
    <n v="-0.324490484168174"/>
    <b v="0"/>
    <b v="0"/>
    <b v="1"/>
    <n v="0"/>
    <m/>
    <n v="0"/>
    <m/>
  </r>
  <r>
    <s v="TX000400"/>
    <s v="AC00285"/>
    <n v="268.39"/>
    <d v="2023-06-26T18:25:14"/>
    <s v="Debit"/>
    <x v="19"/>
    <s v="D000015"/>
    <s v="65.164.3.100"/>
    <s v="M017"/>
    <s v="ATM"/>
    <n v="26"/>
    <s v="Student"/>
    <n v="171"/>
    <n v="1"/>
    <n v="136.74"/>
    <d v="2024-11-04T08:06:40"/>
    <n v="18"/>
    <s v="Monday"/>
    <n v="-0.10003135347074001"/>
    <b v="0"/>
    <b v="0"/>
    <b v="1"/>
    <n v="0"/>
    <m/>
    <n v="0"/>
    <m/>
  </r>
  <r>
    <s v="TX000401"/>
    <s v="AC00145"/>
    <n v="194.85"/>
    <d v="2023-09-12T16:50:21"/>
    <s v="Debit"/>
    <x v="36"/>
    <s v="D000601"/>
    <s v="148.234.210.167"/>
    <s v="M096"/>
    <s v="Online"/>
    <n v="23"/>
    <s v="Student"/>
    <n v="130"/>
    <n v="4"/>
    <n v="319.83999999999997"/>
    <d v="2024-11-04T08:08:01"/>
    <n v="16"/>
    <s v="Tuesday"/>
    <n v="-0.35192704203306702"/>
    <b v="0"/>
    <b v="1"/>
    <b v="1"/>
    <n v="1"/>
    <m/>
    <n v="0"/>
    <m/>
  </r>
  <r>
    <s v="TX000402"/>
    <s v="AC00128"/>
    <n v="137.35"/>
    <d v="2023-03-29T18:12:17"/>
    <s v="Credit"/>
    <x v="30"/>
    <s v="D000051"/>
    <s v="37.213.85.222"/>
    <s v="M028"/>
    <s v="Online"/>
    <n v="40"/>
    <s v="Doctor"/>
    <n v="220"/>
    <n v="1"/>
    <n v="12662.66"/>
    <d v="2024-11-04T08:10:23"/>
    <n v="18"/>
    <s v="Wednesday"/>
    <n v="-0.54888110910314902"/>
    <b v="0"/>
    <b v="0"/>
    <b v="1"/>
    <n v="0"/>
    <m/>
    <n v="0"/>
    <m/>
  </r>
  <r>
    <s v="TX000403"/>
    <s v="AC00292"/>
    <n v="712.75"/>
    <d v="2023-05-26T17:07:56"/>
    <s v="Debit"/>
    <x v="26"/>
    <s v="D000573"/>
    <s v="57.166.147.242"/>
    <s v="M074"/>
    <s v="Branch"/>
    <n v="44"/>
    <s v="Doctor"/>
    <n v="25"/>
    <n v="1"/>
    <n v="8126.06"/>
    <d v="2024-11-04T08:09:52"/>
    <n v="17"/>
    <s v="Friday"/>
    <n v="1.4220296768468399"/>
    <b v="0"/>
    <b v="0"/>
    <b v="1"/>
    <n v="0"/>
    <m/>
    <n v="0"/>
    <m/>
  </r>
  <r>
    <s v="TX000404"/>
    <s v="AC00020"/>
    <n v="353.82"/>
    <d v="2023-04-10T17:57:59"/>
    <s v="Debit"/>
    <x v="20"/>
    <s v="D000043"/>
    <s v="72.128.135.172"/>
    <s v="M035"/>
    <s v="ATM"/>
    <n v="42"/>
    <s v="Doctor"/>
    <n v="143"/>
    <n v="1"/>
    <n v="705.75"/>
    <d v="2024-11-04T08:06:40"/>
    <n v="17"/>
    <s v="Monday"/>
    <n v="0.19259101087355501"/>
    <b v="0"/>
    <b v="0"/>
    <b v="1"/>
    <n v="0"/>
    <m/>
    <n v="0"/>
    <m/>
  </r>
  <r>
    <s v="TX000405"/>
    <s v="AC00229"/>
    <n v="507.25"/>
    <d v="2023-10-30T17:21:38"/>
    <s v="Debit"/>
    <x v="38"/>
    <s v="D000672"/>
    <s v="112.196.12.19"/>
    <s v="M063"/>
    <s v="Branch"/>
    <n v="73"/>
    <s v="Retired"/>
    <n v="143"/>
    <n v="1"/>
    <n v="5331.57"/>
    <d v="2024-11-04T08:11:10"/>
    <n v="17"/>
    <s v="Monday"/>
    <n v="0.71813296757899203"/>
    <b v="0"/>
    <b v="0"/>
    <b v="1"/>
    <n v="0"/>
    <m/>
    <n v="0"/>
    <m/>
  </r>
  <r>
    <s v="TX000406"/>
    <s v="AC00053"/>
    <n v="212.74"/>
    <d v="2023-12-14T18:53:34"/>
    <s v="Debit"/>
    <x v="6"/>
    <s v="D000110"/>
    <s v="220.179.173.114"/>
    <s v="M050"/>
    <s v="Branch"/>
    <n v="27"/>
    <s v="Engineer"/>
    <n v="128"/>
    <n v="1"/>
    <n v="7645.47"/>
    <d v="2024-11-04T08:07:49"/>
    <n v="18"/>
    <s v="Thursday"/>
    <n v="-0.29064863751335002"/>
    <b v="0"/>
    <b v="0"/>
    <b v="1"/>
    <n v="0"/>
    <m/>
    <n v="0"/>
    <m/>
  </r>
  <r>
    <s v="TX000407"/>
    <s v="AC00401"/>
    <n v="364.42"/>
    <d v="2023-10-10T17:07:27"/>
    <s v="Debit"/>
    <x v="40"/>
    <s v="D000469"/>
    <s v="120.32.147.210"/>
    <s v="M078"/>
    <s v="ATM"/>
    <n v="51"/>
    <s v="Engineer"/>
    <n v="146"/>
    <n v="1"/>
    <n v="8119.73"/>
    <d v="2024-11-04T08:09:16"/>
    <n v="17"/>
    <s v="Tuesday"/>
    <n v="0.22889906497691001"/>
    <b v="0"/>
    <b v="0"/>
    <b v="1"/>
    <n v="0"/>
    <m/>
    <n v="0"/>
    <m/>
  </r>
  <r>
    <s v="TX000408"/>
    <s v="AC00208"/>
    <n v="195.12"/>
    <d v="2023-07-25T17:42:45"/>
    <s v="Debit"/>
    <x v="12"/>
    <s v="D000603"/>
    <s v="199.103.32.145"/>
    <s v="M043"/>
    <s v="ATM"/>
    <n v="46"/>
    <s v="Doctor"/>
    <n v="144"/>
    <n v="1"/>
    <n v="6101.15"/>
    <d v="2024-11-04T08:10:40"/>
    <n v="17"/>
    <s v="Tuesday"/>
    <n v="-0.35100221423986899"/>
    <b v="0"/>
    <b v="0"/>
    <b v="1"/>
    <n v="0"/>
    <m/>
    <n v="0"/>
    <m/>
  </r>
  <r>
    <s v="TX000409"/>
    <s v="AC00177"/>
    <n v="230.61"/>
    <d v="2023-09-04T16:41:19"/>
    <s v="Debit"/>
    <x v="3"/>
    <s v="D000083"/>
    <s v="97.4.209.133"/>
    <s v="M076"/>
    <s v="Branch"/>
    <n v="80"/>
    <s v="Retired"/>
    <n v="204"/>
    <n v="1"/>
    <n v="2561.42"/>
    <d v="2024-11-04T08:09:46"/>
    <n v="16"/>
    <s v="Monday"/>
    <n v="-0.229438738756091"/>
    <b v="0"/>
    <b v="0"/>
    <b v="1"/>
    <n v="0"/>
    <m/>
    <n v="0"/>
    <m/>
  </r>
  <r>
    <s v="TX000410"/>
    <s v="AC00136"/>
    <n v="739.28"/>
    <d v="2023-06-19T16:46:11"/>
    <s v="Credit"/>
    <x v="28"/>
    <s v="D000576"/>
    <s v="20.147.6.179"/>
    <s v="M026"/>
    <s v="Branch"/>
    <n v="58"/>
    <s v="Doctor"/>
    <n v="47"/>
    <n v="1"/>
    <n v="11905.64"/>
    <d v="2024-11-04T08:11:13"/>
    <n v="16"/>
    <s v="Monday"/>
    <n v="1.5129025707489201"/>
    <b v="0"/>
    <b v="0"/>
    <b v="1"/>
    <n v="0"/>
    <m/>
    <n v="0"/>
    <m/>
  </r>
  <r>
    <s v="TX000411"/>
    <s v="AC00029"/>
    <n v="390.35"/>
    <d v="2023-09-26T18:36:46"/>
    <s v="Credit"/>
    <x v="32"/>
    <s v="D000274"/>
    <s v="101.223.82.253"/>
    <s v="M019"/>
    <s v="ATM"/>
    <n v="64"/>
    <s v="Doctor"/>
    <n v="61"/>
    <n v="1"/>
    <n v="7095.88"/>
    <d v="2024-11-04T08:10:01"/>
    <n v="18"/>
    <s v="Tuesday"/>
    <n v="0.31771678600520897"/>
    <b v="0"/>
    <b v="0"/>
    <b v="1"/>
    <n v="0"/>
    <m/>
    <n v="0"/>
    <m/>
  </r>
  <r>
    <s v="TX000412"/>
    <s v="AC00210"/>
    <n v="242.03"/>
    <d v="2023-03-13T16:08:41"/>
    <s v="Debit"/>
    <x v="34"/>
    <s v="D000605"/>
    <s v="219.98.242.240"/>
    <s v="M014"/>
    <s v="Online"/>
    <n v="58"/>
    <s v="Engineer"/>
    <n v="124"/>
    <n v="1"/>
    <n v="4382.7299999999996"/>
    <d v="2024-11-04T08:07:12"/>
    <n v="16"/>
    <s v="Monday"/>
    <n v="-0.19032194839191199"/>
    <b v="0"/>
    <b v="0"/>
    <b v="1"/>
    <n v="0"/>
    <m/>
    <n v="0"/>
    <m/>
  </r>
  <r>
    <s v="TX000413"/>
    <s v="AC00421"/>
    <n v="242.39"/>
    <d v="2023-11-20T16:29:28"/>
    <s v="Credit"/>
    <x v="25"/>
    <s v="D000451"/>
    <s v="26.105.49.129"/>
    <s v="M008"/>
    <s v="ATM"/>
    <n v="18"/>
    <s v="Student"/>
    <n v="271"/>
    <n v="1"/>
    <n v="1328.73"/>
    <d v="2024-11-04T08:06:48"/>
    <n v="16"/>
    <s v="Monday"/>
    <n v="-0.189088844667647"/>
    <b v="0"/>
    <b v="0"/>
    <b v="1"/>
    <n v="0"/>
    <m/>
    <n v="0"/>
    <m/>
  </r>
  <r>
    <s v="TX000414"/>
    <s v="AC00400"/>
    <n v="135.03"/>
    <d v="2023-02-24T17:00:26"/>
    <s v="Debit"/>
    <x v="23"/>
    <s v="D000029"/>
    <s v="74.58.165.67"/>
    <s v="M097"/>
    <s v="ATM"/>
    <n v="23"/>
    <s v="Student"/>
    <n v="180"/>
    <n v="1"/>
    <n v="1278"/>
    <d v="2024-11-04T08:08:18"/>
    <n v="17"/>
    <s v="Friday"/>
    <n v="-0.55682777754841095"/>
    <b v="0"/>
    <b v="0"/>
    <b v="1"/>
    <n v="0"/>
    <m/>
    <n v="0"/>
    <m/>
  </r>
  <r>
    <s v="TX000415"/>
    <s v="AC00495"/>
    <n v="83.5"/>
    <d v="2023-05-15T18:47:35"/>
    <s v="Debit"/>
    <x v="34"/>
    <s v="D000446"/>
    <s v="34.92.221.183"/>
    <s v="M100"/>
    <s v="Branch"/>
    <n v="61"/>
    <s v="Retired"/>
    <n v="91"/>
    <n v="5"/>
    <n v="1749.79"/>
    <d v="2024-11-04T08:07:22"/>
    <n v="18"/>
    <s v="Monday"/>
    <n v="-0.73333287452443396"/>
    <b v="0"/>
    <b v="1"/>
    <b v="1"/>
    <n v="1"/>
    <m/>
    <n v="0"/>
    <m/>
  </r>
  <r>
    <s v="TX000416"/>
    <s v="AC00301"/>
    <n v="193.54"/>
    <d v="2023-10-24T16:43:03"/>
    <s v="Debit"/>
    <x v="5"/>
    <s v="D000150"/>
    <s v="196.244.194.198"/>
    <s v="M088"/>
    <s v="Branch"/>
    <n v="80"/>
    <s v="Retired"/>
    <n v="267"/>
    <n v="1"/>
    <n v="2929.51"/>
    <d v="2024-11-04T08:08:26"/>
    <n v="16"/>
    <s v="Tuesday"/>
    <n v="-0.35641416947414201"/>
    <b v="0"/>
    <b v="0"/>
    <b v="1"/>
    <n v="0"/>
    <m/>
    <n v="0"/>
    <m/>
  </r>
  <r>
    <s v="TX000417"/>
    <s v="AC00434"/>
    <n v="617.36"/>
    <d v="2023-11-21T17:05:17"/>
    <s v="Debit"/>
    <x v="31"/>
    <s v="D000137"/>
    <s v="42.219.228.159"/>
    <s v="M035"/>
    <s v="Branch"/>
    <n v="29"/>
    <s v="Engineer"/>
    <n v="61"/>
    <n v="1"/>
    <n v="8926.3799999999992"/>
    <d v="2024-11-04T08:09:23"/>
    <n v="17"/>
    <s v="Tuesday"/>
    <n v="1.0952914427978899"/>
    <b v="0"/>
    <b v="0"/>
    <b v="1"/>
    <n v="0"/>
    <m/>
    <n v="0"/>
    <m/>
  </r>
  <r>
    <s v="TX000418"/>
    <s v="AC00274"/>
    <n v="775.23"/>
    <d v="2023-08-07T16:40:02"/>
    <s v="Credit"/>
    <x v="10"/>
    <s v="D000220"/>
    <s v="112.222.0.29"/>
    <s v="M036"/>
    <s v="Online"/>
    <n v="59"/>
    <s v="Doctor"/>
    <n v="38"/>
    <n v="1"/>
    <n v="5977.59"/>
    <d v="2024-11-04T08:07:01"/>
    <n v="16"/>
    <s v="Monday"/>
    <n v="1.63604167876926"/>
    <b v="0"/>
    <b v="0"/>
    <b v="1"/>
    <n v="0"/>
    <m/>
    <n v="0"/>
    <m/>
  </r>
  <r>
    <s v="TX000419"/>
    <s v="AC00365"/>
    <n v="266.57"/>
    <d v="2023-09-26T17:07:06"/>
    <s v="Debit"/>
    <x v="39"/>
    <s v="D000223"/>
    <s v="91.204.200.167"/>
    <s v="M031"/>
    <s v="ATM"/>
    <n v="72"/>
    <s v="Retired"/>
    <n v="100"/>
    <n v="1"/>
    <n v="7676.92"/>
    <d v="2024-11-04T08:09:17"/>
    <n v="17"/>
    <s v="Tuesday"/>
    <n v="-0.106265377854524"/>
    <b v="0"/>
    <b v="0"/>
    <b v="1"/>
    <n v="0"/>
    <m/>
    <n v="0"/>
    <m/>
  </r>
  <r>
    <s v="TX000420"/>
    <s v="AC00480"/>
    <n v="153.4"/>
    <d v="2023-03-31T17:36:57"/>
    <s v="Debit"/>
    <x v="2"/>
    <s v="D000599"/>
    <s v="162.58.247.55"/>
    <s v="M057"/>
    <s v="ATM"/>
    <n v="45"/>
    <s v="Engineer"/>
    <n v="144"/>
    <n v="1"/>
    <n v="4657.7"/>
    <d v="2024-11-04T08:08:08"/>
    <n v="17"/>
    <s v="Friday"/>
    <n v="-0.49390523472967401"/>
    <b v="0"/>
    <b v="0"/>
    <b v="1"/>
    <n v="0"/>
    <m/>
    <n v="0"/>
    <m/>
  </r>
  <r>
    <s v="TX000421"/>
    <s v="AC00318"/>
    <n v="946.94"/>
    <d v="2023-12-11T17:19:07"/>
    <s v="Debit"/>
    <x v="27"/>
    <s v="D000019"/>
    <s v="30.92.249.132"/>
    <s v="M018"/>
    <s v="Branch"/>
    <n v="53"/>
    <s v="Retired"/>
    <n v="251"/>
    <n v="1"/>
    <n v="5579.11"/>
    <d v="2024-11-04T08:07:11"/>
    <n v="17"/>
    <s v="Monday"/>
    <n v="2.2241979023623601"/>
    <b v="1"/>
    <b v="0"/>
    <b v="1"/>
    <n v="1"/>
    <m/>
    <n v="1"/>
    <m/>
  </r>
  <r>
    <s v="TX000422"/>
    <s v="AC00235"/>
    <n v="5.12"/>
    <d v="2023-10-13T16:08:26"/>
    <s v="Debit"/>
    <x v="22"/>
    <s v="D000660"/>
    <s v="188.205.152.176"/>
    <s v="M002"/>
    <s v="Branch"/>
    <n v="34"/>
    <s v="Engineer"/>
    <n v="90"/>
    <n v="1"/>
    <n v="3293.01"/>
    <d v="2024-11-04T08:10:31"/>
    <n v="16"/>
    <s v="Friday"/>
    <n v="-1.00180695760187"/>
    <b v="0"/>
    <b v="0"/>
    <b v="1"/>
    <n v="0"/>
    <m/>
    <n v="0"/>
    <m/>
  </r>
  <r>
    <s v="TX000423"/>
    <s v="AC00333"/>
    <n v="119.11"/>
    <d v="2023-06-30T16:31:46"/>
    <s v="Debit"/>
    <x v="8"/>
    <s v="D000078"/>
    <s v="200.13.225.150"/>
    <s v="M070"/>
    <s v="ATM"/>
    <n v="57"/>
    <s v="Engineer"/>
    <n v="131"/>
    <n v="1"/>
    <n v="7998.25"/>
    <d v="2024-11-04T08:09:48"/>
    <n v="16"/>
    <s v="Friday"/>
    <n v="-0.61135836446590197"/>
    <b v="0"/>
    <b v="0"/>
    <b v="1"/>
    <n v="0"/>
    <m/>
    <n v="0"/>
    <m/>
  </r>
  <r>
    <s v="TX000424"/>
    <s v="AC00262"/>
    <n v="1096.7"/>
    <d v="2023-03-27T16:51:20"/>
    <s v="Debit"/>
    <x v="40"/>
    <s v="D000234"/>
    <s v="167.164.55.0"/>
    <s v="M005"/>
    <s v="Online"/>
    <n v="24"/>
    <s v="Student"/>
    <n v="147"/>
    <n v="1"/>
    <n v="1093.8900000000001"/>
    <d v="2024-11-04T08:11:28"/>
    <n v="16"/>
    <s v="Monday"/>
    <n v="2.7371690516565401"/>
    <b v="1"/>
    <b v="0"/>
    <b v="1"/>
    <n v="1"/>
    <m/>
    <n v="1"/>
    <m/>
  </r>
  <r>
    <s v="TX000425"/>
    <s v="AC00267"/>
    <n v="119.72"/>
    <d v="2023-02-03T18:15:15"/>
    <s v="Debit"/>
    <x v="28"/>
    <s v="D000445"/>
    <s v="147.227.81.224"/>
    <s v="M011"/>
    <s v="Branch"/>
    <n v="30"/>
    <s v="Engineer"/>
    <n v="123"/>
    <n v="1"/>
    <n v="3435.34"/>
    <d v="2024-11-04T08:10:20"/>
    <n v="18"/>
    <s v="Friday"/>
    <n v="-0.60926893871089705"/>
    <b v="0"/>
    <b v="0"/>
    <b v="1"/>
    <n v="0"/>
    <m/>
    <n v="0"/>
    <m/>
  </r>
  <r>
    <s v="TX000426"/>
    <s v="AC00490"/>
    <n v="107.4"/>
    <d v="2023-06-22T16:47:47"/>
    <s v="Debit"/>
    <x v="33"/>
    <s v="D000271"/>
    <s v="146.69.70.214"/>
    <s v="M079"/>
    <s v="Online"/>
    <n v="58"/>
    <s v="Doctor"/>
    <n v="32"/>
    <n v="1"/>
    <n v="344.07"/>
    <d v="2024-11-04T08:08:03"/>
    <n v="16"/>
    <s v="Thursday"/>
    <n v="-0.65146848838573901"/>
    <b v="0"/>
    <b v="0"/>
    <b v="1"/>
    <n v="0"/>
    <m/>
    <n v="0"/>
    <m/>
  </r>
  <r>
    <s v="TX000427"/>
    <s v="AC00229"/>
    <n v="115.92"/>
    <d v="2023-01-17T18:42:28"/>
    <s v="Debit"/>
    <x v="3"/>
    <s v="D000386"/>
    <s v="204.34.243.93"/>
    <s v="M033"/>
    <s v="ATM"/>
    <n v="53"/>
    <s v="Retired"/>
    <n v="57"/>
    <n v="1"/>
    <n v="3897.17"/>
    <d v="2024-11-04T08:09:02"/>
    <n v="18"/>
    <s v="Tuesday"/>
    <n v="-0.62228503357813703"/>
    <b v="0"/>
    <b v="0"/>
    <b v="1"/>
    <n v="0"/>
    <m/>
    <n v="0"/>
    <m/>
  </r>
  <r>
    <s v="TX000428"/>
    <s v="AC00196"/>
    <n v="438.04"/>
    <d v="2023-08-24T18:54:06"/>
    <s v="Debit"/>
    <x v="26"/>
    <s v="D000694"/>
    <s v="80.92.209.207"/>
    <s v="M025"/>
    <s v="ATM"/>
    <n v="67"/>
    <s v="Retired"/>
    <n v="247"/>
    <n v="1"/>
    <n v="5358.95"/>
    <d v="2024-11-04T08:06:33"/>
    <n v="18"/>
    <s v="Thursday"/>
    <n v="0.48106877658907299"/>
    <b v="0"/>
    <b v="0"/>
    <b v="1"/>
    <n v="0"/>
    <m/>
    <n v="0"/>
    <m/>
  </r>
  <r>
    <s v="TX000429"/>
    <s v="AC00182"/>
    <n v="677.29"/>
    <d v="2023-05-01T18:28:00"/>
    <s v="Debit"/>
    <x v="1"/>
    <s v="D000016"/>
    <s v="49.172.82.247"/>
    <s v="M015"/>
    <s v="Online"/>
    <n v="27"/>
    <s v="Engineer"/>
    <n v="287"/>
    <n v="1"/>
    <n v="627.79"/>
    <d v="2024-11-04T08:07:16"/>
    <n v="18"/>
    <s v="Monday"/>
    <n v="1.30056896000676"/>
    <b v="0"/>
    <b v="0"/>
    <b v="1"/>
    <n v="0"/>
    <m/>
    <n v="0"/>
    <m/>
  </r>
  <r>
    <s v="TX000430"/>
    <s v="AC00357"/>
    <n v="296"/>
    <d v="2023-05-15T16:25:29"/>
    <s v="Debit"/>
    <x v="17"/>
    <s v="D000623"/>
    <s v="32.71.250.58"/>
    <s v="M085"/>
    <s v="Branch"/>
    <n v="35"/>
    <s v="Doctor"/>
    <n v="248"/>
    <n v="1"/>
    <n v="7418.82"/>
    <d v="2024-11-04T08:06:54"/>
    <n v="16"/>
    <s v="Monday"/>
    <n v="-5.4591483958722296E-3"/>
    <b v="0"/>
    <b v="0"/>
    <b v="1"/>
    <n v="0"/>
    <m/>
    <n v="0"/>
    <m/>
  </r>
  <r>
    <s v="TX000431"/>
    <s v="AC00443"/>
    <n v="299.08999999999997"/>
    <d v="2023-01-16T16:14:45"/>
    <s v="Credit"/>
    <x v="35"/>
    <s v="D000540"/>
    <s v="113.115.81.178"/>
    <s v="M034"/>
    <s v="Branch"/>
    <n v="36"/>
    <s v="Engineer"/>
    <n v="84"/>
    <n v="1"/>
    <n v="5615.26"/>
    <d v="2024-11-04T08:08:01"/>
    <n v="16"/>
    <s v="Monday"/>
    <n v="5.1249919040676998E-3"/>
    <b v="0"/>
    <b v="0"/>
    <b v="1"/>
    <n v="0"/>
    <m/>
    <n v="0"/>
    <m/>
  </r>
  <r>
    <s v="TX000432"/>
    <s v="AC00499"/>
    <n v="461.52"/>
    <d v="2023-05-15T16:40:24"/>
    <s v="Credit"/>
    <x v="13"/>
    <s v="D000670"/>
    <s v="59.127.135.25"/>
    <s v="M068"/>
    <s v="Branch"/>
    <n v="24"/>
    <s v="Student"/>
    <n v="44"/>
    <n v="1"/>
    <n v="1995.18"/>
    <d v="2024-11-04T08:08:53"/>
    <n v="16"/>
    <s v="Monday"/>
    <n v="0.56149454171612501"/>
    <b v="0"/>
    <b v="0"/>
    <b v="1"/>
    <n v="0"/>
    <m/>
    <n v="0"/>
    <m/>
  </r>
  <r>
    <s v="TX000433"/>
    <s v="AC00285"/>
    <n v="100.52"/>
    <d v="2023-01-30T17:28:00"/>
    <s v="Debit"/>
    <x v="17"/>
    <s v="D000140"/>
    <s v="113.115.81.178"/>
    <s v="M038"/>
    <s v="ATM"/>
    <n v="50"/>
    <s v="Engineer"/>
    <n v="110"/>
    <n v="1"/>
    <n v="453.39"/>
    <d v="2024-11-04T08:11:28"/>
    <n v="17"/>
    <s v="Monday"/>
    <n v="-0.67503447067168998"/>
    <b v="0"/>
    <b v="0"/>
    <b v="1"/>
    <n v="0"/>
    <m/>
    <n v="0"/>
    <m/>
  </r>
  <r>
    <s v="TX000434"/>
    <s v="AC00475"/>
    <n v="85.35"/>
    <d v="2023-07-05T16:08:25"/>
    <s v="Debit"/>
    <x v="38"/>
    <s v="D000514"/>
    <s v="100.4.40.132"/>
    <s v="M074"/>
    <s v="ATM"/>
    <n v="66"/>
    <s v="Retired"/>
    <n v="166"/>
    <n v="1"/>
    <n v="2173.7600000000002"/>
    <d v="2024-11-04T08:06:25"/>
    <n v="16"/>
    <s v="Wednesday"/>
    <n v="-0.72699609149696198"/>
    <b v="0"/>
    <b v="0"/>
    <b v="1"/>
    <n v="0"/>
    <m/>
    <n v="0"/>
    <m/>
  </r>
  <r>
    <s v="TX000435"/>
    <s v="AC00217"/>
    <n v="79.760000000000005"/>
    <d v="2023-02-06T16:26:29"/>
    <s v="Debit"/>
    <x v="3"/>
    <s v="D000268"/>
    <s v="157.130.28.27"/>
    <s v="M055"/>
    <s v="Branch"/>
    <n v="39"/>
    <s v="Engineer"/>
    <n v="170"/>
    <n v="1"/>
    <n v="6452.14"/>
    <d v="2024-11-04T08:09:34"/>
    <n v="16"/>
    <s v="Monday"/>
    <n v="-0.746143452104297"/>
    <b v="0"/>
    <b v="0"/>
    <b v="1"/>
    <n v="0"/>
    <m/>
    <n v="0"/>
    <m/>
  </r>
  <r>
    <s v="TX000436"/>
    <s v="AC00452"/>
    <n v="778.49"/>
    <d v="2023-07-03T16:48:21"/>
    <s v="Credit"/>
    <x v="32"/>
    <s v="D000102"/>
    <s v="161.71.2.223"/>
    <s v="M054"/>
    <s v="Online"/>
    <n v="75"/>
    <s v="Retired"/>
    <n v="107"/>
    <n v="1"/>
    <n v="7713.67"/>
    <d v="2024-11-04T08:09:21"/>
    <n v="16"/>
    <s v="Monday"/>
    <n v="1.6472081180500999"/>
    <b v="0"/>
    <b v="0"/>
    <b v="1"/>
    <n v="0"/>
    <m/>
    <n v="0"/>
    <m/>
  </r>
  <r>
    <s v="TX000437"/>
    <s v="AC00357"/>
    <n v="386.38"/>
    <d v="2023-01-24T16:00:14"/>
    <s v="Debit"/>
    <x v="37"/>
    <s v="D000461"/>
    <s v="203.197.235.35"/>
    <s v="M058"/>
    <s v="Online"/>
    <n v="42"/>
    <s v="Engineer"/>
    <n v="135"/>
    <n v="1"/>
    <n v="5528.36"/>
    <d v="2024-11-04T08:10:06"/>
    <n v="16"/>
    <s v="Tuesday"/>
    <n v="0.30411839215706599"/>
    <b v="0"/>
    <b v="0"/>
    <b v="1"/>
    <n v="0"/>
    <m/>
    <n v="0"/>
    <m/>
  </r>
  <r>
    <s v="TX000438"/>
    <s v="AC00080"/>
    <n v="165.25"/>
    <d v="2023-11-24T17:11:27"/>
    <s v="Debit"/>
    <x v="30"/>
    <s v="D000124"/>
    <s v="70.130.169.235"/>
    <s v="M025"/>
    <s v="Online"/>
    <n v="35"/>
    <s v="Doctor"/>
    <n v="106"/>
    <n v="1"/>
    <n v="9939.94"/>
    <d v="2024-11-04T08:11:35"/>
    <n v="17"/>
    <s v="Friday"/>
    <n v="-0.453315570472622"/>
    <b v="0"/>
    <b v="0"/>
    <b v="1"/>
    <n v="0"/>
    <m/>
    <n v="0"/>
    <m/>
  </r>
  <r>
    <s v="TX000439"/>
    <s v="AC00493"/>
    <n v="14.29"/>
    <d v="2023-02-28T16:28:25"/>
    <s v="Debit"/>
    <x v="16"/>
    <s v="D000317"/>
    <s v="90.111.245.138"/>
    <s v="M070"/>
    <s v="ATM"/>
    <n v="34"/>
    <s v="Engineer"/>
    <n v="150"/>
    <n v="1"/>
    <n v="7016.99"/>
    <d v="2024-11-04T08:08:52"/>
    <n v="16"/>
    <s v="Tuesday"/>
    <n v="-0.97039706551435301"/>
    <b v="0"/>
    <b v="0"/>
    <b v="1"/>
    <n v="0"/>
    <m/>
    <n v="0"/>
    <m/>
  </r>
  <r>
    <s v="TX000440"/>
    <s v="AC00420"/>
    <n v="232.79"/>
    <d v="2023-09-20T17:36:06"/>
    <s v="Credit"/>
    <x v="7"/>
    <s v="D000160"/>
    <s v="6.234.101.35"/>
    <s v="M019"/>
    <s v="Branch"/>
    <n v="55"/>
    <s v="Retired"/>
    <n v="145"/>
    <n v="1"/>
    <n v="2661.3"/>
    <d v="2024-11-04T08:11:40"/>
    <n v="17"/>
    <s v="Wednesday"/>
    <n v="-0.22197161064804299"/>
    <b v="0"/>
    <b v="0"/>
    <b v="1"/>
    <n v="0"/>
    <m/>
    <n v="0"/>
    <m/>
  </r>
  <r>
    <s v="TX000441"/>
    <s v="AC00040"/>
    <n v="1237.56"/>
    <d v="2023-11-13T17:49:04"/>
    <s v="Credit"/>
    <x v="14"/>
    <s v="D000077"/>
    <s v="219.96.187.255"/>
    <s v="M060"/>
    <s v="Branch"/>
    <n v="60"/>
    <s v="Engineer"/>
    <n v="159"/>
    <n v="1"/>
    <n v="9410.17"/>
    <d v="2024-11-04T08:11:45"/>
    <n v="17"/>
    <s v="Monday"/>
    <n v="3.2196551366563999"/>
    <b v="1"/>
    <b v="0"/>
    <b v="1"/>
    <n v="1"/>
    <m/>
    <n v="1"/>
    <m/>
  </r>
  <r>
    <s v="TX000442"/>
    <s v="AC00351"/>
    <n v="92.29"/>
    <d v="2023-02-15T16:17:59"/>
    <s v="Debit"/>
    <x v="10"/>
    <s v="D000264"/>
    <s v="210.136.14.108"/>
    <s v="M015"/>
    <s v="Branch"/>
    <n v="54"/>
    <s v="Engineer"/>
    <n v="115"/>
    <n v="1"/>
    <n v="2026.32"/>
    <d v="2024-11-04T08:11:25"/>
    <n v="16"/>
    <s v="Wednesday"/>
    <n v="-0.70322459192363396"/>
    <b v="0"/>
    <b v="0"/>
    <b v="1"/>
    <n v="0"/>
    <m/>
    <n v="0"/>
    <m/>
  </r>
  <r>
    <s v="TX000443"/>
    <s v="AC00070"/>
    <n v="293.97000000000003"/>
    <d v="2023-11-13T17:34:15"/>
    <s v="Debit"/>
    <x v="37"/>
    <s v="D000444"/>
    <s v="56.89.80.133"/>
    <s v="M047"/>
    <s v="Branch"/>
    <n v="68"/>
    <s v="Retired"/>
    <n v="153"/>
    <n v="1"/>
    <n v="7371.85"/>
    <d v="2024-11-04T08:08:57"/>
    <n v="17"/>
    <s v="Monday"/>
    <n v="-1.24124832854767E-2"/>
    <b v="0"/>
    <b v="0"/>
    <b v="1"/>
    <n v="0"/>
    <m/>
    <n v="0"/>
    <m/>
  </r>
  <r>
    <s v="TX000444"/>
    <s v="AC00273"/>
    <n v="136.32"/>
    <d v="2023-10-11T18:50:24"/>
    <s v="Debit"/>
    <x v="19"/>
    <s v="D000548"/>
    <s v="217.233.219.196"/>
    <s v="M060"/>
    <s v="Online"/>
    <n v="19"/>
    <s v="Student"/>
    <n v="113"/>
    <n v="1"/>
    <n v="264.83"/>
    <d v="2024-11-04T08:09:24"/>
    <n v="18"/>
    <s v="Wednesday"/>
    <n v="-0.552409155869796"/>
    <b v="0"/>
    <b v="0"/>
    <b v="1"/>
    <n v="0"/>
    <m/>
    <n v="0"/>
    <m/>
  </r>
  <r>
    <s v="TX000445"/>
    <s v="AC00280"/>
    <n v="251.06"/>
    <d v="2023-12-06T17:27:14"/>
    <s v="Debit"/>
    <x v="40"/>
    <s v="D000593"/>
    <s v="195.237.152.198"/>
    <s v="M003"/>
    <s v="Online"/>
    <n v="36"/>
    <s v="Doctor"/>
    <n v="34"/>
    <n v="1"/>
    <n v="10001.66"/>
    <d v="2024-11-04T08:10:13"/>
    <n v="17"/>
    <s v="Wednesday"/>
    <n v="-0.15939159664160199"/>
    <b v="0"/>
    <b v="0"/>
    <b v="1"/>
    <n v="0"/>
    <m/>
    <n v="0"/>
    <m/>
  </r>
  <r>
    <s v="TX000446"/>
    <s v="AC00480"/>
    <n v="50.17"/>
    <d v="2023-09-18T16:57:44"/>
    <s v="Credit"/>
    <x v="30"/>
    <s v="D000549"/>
    <s v="25.188.196.47"/>
    <s v="M039"/>
    <s v="ATM"/>
    <n v="77"/>
    <s v="Retired"/>
    <n v="35"/>
    <n v="1"/>
    <n v="7752.14"/>
    <d v="2024-11-04T08:10:59"/>
    <n v="16"/>
    <s v="Monday"/>
    <n v="-0.84749772766262199"/>
    <b v="0"/>
    <b v="0"/>
    <b v="1"/>
    <n v="0"/>
    <m/>
    <n v="0"/>
    <m/>
  </r>
  <r>
    <s v="TX000447"/>
    <s v="AC00122"/>
    <n v="21.4"/>
    <d v="2023-12-26T16:07:28"/>
    <s v="Debit"/>
    <x v="41"/>
    <s v="D000537"/>
    <s v="198.166.198.233"/>
    <s v="M027"/>
    <s v="Branch"/>
    <n v="34"/>
    <s v="Engineer"/>
    <n v="258"/>
    <n v="1"/>
    <n v="9594.11"/>
    <d v="2024-11-04T08:11:40"/>
    <n v="16"/>
    <s v="Tuesday"/>
    <n v="-0.94604326696012198"/>
    <b v="0"/>
    <b v="0"/>
    <b v="1"/>
    <n v="0"/>
    <m/>
    <n v="0"/>
    <m/>
  </r>
  <r>
    <s v="TX000448"/>
    <s v="AC00072"/>
    <n v="73.28"/>
    <d v="2023-03-10T17:33:12"/>
    <s v="Debit"/>
    <x v="35"/>
    <s v="D000137"/>
    <s v="206.84.69.39"/>
    <s v="M096"/>
    <s v="Branch"/>
    <n v="21"/>
    <s v="Student"/>
    <n v="21"/>
    <n v="1"/>
    <n v="1329.41"/>
    <d v="2024-11-04T08:10:57"/>
    <n v="17"/>
    <s v="Friday"/>
    <n v="-0.76833931914106401"/>
    <b v="0"/>
    <b v="0"/>
    <b v="1"/>
    <n v="0"/>
    <m/>
    <n v="0"/>
    <m/>
  </r>
  <r>
    <s v="TX000449"/>
    <s v="AC00093"/>
    <n v="70.23"/>
    <d v="2023-09-13T16:18:07"/>
    <s v="Debit"/>
    <x v="11"/>
    <s v="D000293"/>
    <s v="146.47.189.38"/>
    <s v="M066"/>
    <s v="ATM"/>
    <n v="38"/>
    <s v="Doctor"/>
    <n v="260"/>
    <n v="1"/>
    <n v="11624.93"/>
    <d v="2024-11-04T08:07:16"/>
    <n v="16"/>
    <s v="Wednesday"/>
    <n v="-0.77878644791608598"/>
    <b v="0"/>
    <b v="0"/>
    <b v="1"/>
    <n v="0"/>
    <m/>
    <n v="0"/>
    <m/>
  </r>
  <r>
    <s v="TX000450"/>
    <s v="AC00407"/>
    <n v="689.29"/>
    <d v="2023-01-06T17:30:07"/>
    <s v="Debit"/>
    <x v="39"/>
    <s v="D000286"/>
    <s v="166.41.54.117"/>
    <s v="M034"/>
    <s v="ATM"/>
    <n v="22"/>
    <s v="Student"/>
    <n v="100"/>
    <n v="1"/>
    <n v="168.84"/>
    <d v="2024-11-04T08:07:49"/>
    <n v="17"/>
    <s v="Friday"/>
    <n v="1.3416724174822501"/>
    <b v="0"/>
    <b v="0"/>
    <b v="1"/>
    <n v="0"/>
    <m/>
    <n v="0"/>
    <m/>
  </r>
  <r>
    <s v="TX000451"/>
    <s v="AC00495"/>
    <n v="745.03"/>
    <d v="2023-08-03T17:42:02"/>
    <s v="Debit"/>
    <x v="18"/>
    <s v="D000031"/>
    <s v="30.92.249.132"/>
    <s v="M075"/>
    <s v="Online"/>
    <n v="28"/>
    <s v="Student"/>
    <n v="231"/>
    <n v="1"/>
    <n v="160.57"/>
    <d v="2024-11-04T08:09:15"/>
    <n v="17"/>
    <s v="Thursday"/>
    <n v="1.53259797745593"/>
    <b v="0"/>
    <b v="0"/>
    <b v="1"/>
    <n v="0"/>
    <m/>
    <n v="0"/>
    <m/>
  </r>
  <r>
    <s v="TX000452"/>
    <s v="AC00119"/>
    <n v="54.61"/>
    <d v="2023-12-04T16:10:04"/>
    <s v="Debit"/>
    <x v="20"/>
    <s v="D000079"/>
    <s v="39.163.103.27"/>
    <s v="M043"/>
    <s v="ATM"/>
    <n v="58"/>
    <s v="Engineer"/>
    <n v="160"/>
    <n v="1"/>
    <n v="7135.64"/>
    <d v="2024-11-04T08:07:19"/>
    <n v="16"/>
    <s v="Monday"/>
    <n v="-0.83228944839668895"/>
    <b v="0"/>
    <b v="0"/>
    <b v="1"/>
    <n v="0"/>
    <m/>
    <n v="0"/>
    <m/>
  </r>
  <r>
    <s v="TX000453"/>
    <s v="AC00271"/>
    <n v="54.05"/>
    <d v="2023-04-25T16:53:22"/>
    <s v="Debit"/>
    <x v="12"/>
    <s v="D000373"/>
    <s v="167.104.180.235"/>
    <s v="M008"/>
    <s v="Branch"/>
    <n v="27"/>
    <s v="Student"/>
    <n v="146"/>
    <n v="1"/>
    <n v="469.14"/>
    <d v="2024-11-04T08:11:34"/>
    <n v="16"/>
    <s v="Tuesday"/>
    <n v="-0.83420760974554498"/>
    <b v="0"/>
    <b v="0"/>
    <b v="1"/>
    <n v="0"/>
    <m/>
    <n v="0"/>
    <m/>
  </r>
  <r>
    <s v="TX000454"/>
    <s v="AC00235"/>
    <n v="107.47"/>
    <d v="2023-04-12T17:39:29"/>
    <s v="Debit"/>
    <x v="14"/>
    <s v="D000606"/>
    <s v="59.208.79.116"/>
    <s v="M037"/>
    <s v="Online"/>
    <n v="67"/>
    <s v="Retired"/>
    <n v="144"/>
    <n v="1"/>
    <n v="7517.5"/>
    <d v="2024-11-04T08:12:09"/>
    <n v="17"/>
    <s v="Wednesday"/>
    <n v="-0.65122871821713202"/>
    <b v="0"/>
    <b v="0"/>
    <b v="1"/>
    <n v="0"/>
    <m/>
    <n v="0"/>
    <m/>
  </r>
  <r>
    <s v="TX000455"/>
    <s v="AC00264"/>
    <n v="611.11"/>
    <d v="2023-10-18T18:32:31"/>
    <s v="Debit"/>
    <x v="8"/>
    <s v="D000215"/>
    <s v="141.201.46.191"/>
    <s v="M045"/>
    <s v="ATM"/>
    <n v="20"/>
    <s v="Student"/>
    <n v="282"/>
    <n v="4"/>
    <n v="919.84"/>
    <d v="2024-11-04T08:11:12"/>
    <n v="18"/>
    <s v="Wednesday"/>
    <n v="1.0738833920294"/>
    <b v="0"/>
    <b v="1"/>
    <b v="1"/>
    <n v="1"/>
    <m/>
    <n v="0"/>
    <m/>
  </r>
  <r>
    <s v="TX000456"/>
    <s v="AC00307"/>
    <n v="219.63"/>
    <d v="2023-11-10T16:06:27"/>
    <s v="Debit"/>
    <x v="27"/>
    <s v="D000220"/>
    <s v="146.47.189.38"/>
    <s v="M002"/>
    <s v="ATM"/>
    <n v="48"/>
    <s v="Doctor"/>
    <n v="44"/>
    <n v="1"/>
    <n v="8013.63"/>
    <d v="2024-11-04T08:07:29"/>
    <n v="16"/>
    <s v="Friday"/>
    <n v="-0.26704840234617"/>
    <b v="0"/>
    <b v="0"/>
    <b v="1"/>
    <n v="0"/>
    <m/>
    <n v="0"/>
    <m/>
  </r>
  <r>
    <s v="TX000457"/>
    <s v="AC00434"/>
    <n v="188.7"/>
    <d v="2023-02-10T16:01:04"/>
    <s v="Debit"/>
    <x v="22"/>
    <s v="D000501"/>
    <s v="55.139.104.163"/>
    <s v="M099"/>
    <s v="Branch"/>
    <n v="54"/>
    <s v="Retired"/>
    <n v="123"/>
    <n v="1"/>
    <n v="5077.0600000000004"/>
    <d v="2024-11-04T08:09:59"/>
    <n v="16"/>
    <s v="Friday"/>
    <n v="-0.37299256398925901"/>
    <b v="0"/>
    <b v="0"/>
    <b v="1"/>
    <n v="0"/>
    <m/>
    <n v="0"/>
    <m/>
  </r>
  <r>
    <s v="TX000458"/>
    <s v="AC00290"/>
    <n v="93.52"/>
    <d v="2023-08-14T17:41:24"/>
    <s v="Debit"/>
    <x v="26"/>
    <s v="D000430"/>
    <s v="190.251.45.32"/>
    <s v="M011"/>
    <s v="Online"/>
    <n v="51"/>
    <s v="Engineer"/>
    <n v="97"/>
    <n v="1"/>
    <n v="2791.2"/>
    <d v="2024-11-04T08:08:04"/>
    <n v="17"/>
    <s v="Monday"/>
    <n v="-0.69901148753239495"/>
    <b v="0"/>
    <b v="0"/>
    <b v="1"/>
    <n v="0"/>
    <m/>
    <n v="0"/>
    <m/>
  </r>
  <r>
    <s v="TX000459"/>
    <s v="AC00021"/>
    <n v="275.92"/>
    <d v="2023-09-18T18:47:52"/>
    <s v="Credit"/>
    <x v="9"/>
    <s v="D000315"/>
    <s v="112.196.12.19"/>
    <s v="M042"/>
    <s v="Branch"/>
    <n v="62"/>
    <s v="Retired"/>
    <n v="107"/>
    <n v="1"/>
    <n v="1777.38"/>
    <d v="2024-11-04T08:07:39"/>
    <n v="18"/>
    <s v="Monday"/>
    <n v="-7.4238933904867604E-2"/>
    <b v="0"/>
    <b v="0"/>
    <b v="1"/>
    <n v="0"/>
    <m/>
    <n v="0"/>
    <m/>
  </r>
  <r>
    <s v="TX000460"/>
    <s v="AC00499"/>
    <n v="376.79"/>
    <d v="2023-01-30T17:47:18"/>
    <s v="Debit"/>
    <x v="20"/>
    <s v="D000242"/>
    <s v="143.212.47.226"/>
    <s v="M039"/>
    <s v="Branch"/>
    <n v="68"/>
    <s v="Retired"/>
    <n v="265"/>
    <n v="1"/>
    <n v="7749.14"/>
    <d v="2024-11-04T08:08:44"/>
    <n v="17"/>
    <s v="Monday"/>
    <n v="0.27126987905789901"/>
    <b v="0"/>
    <b v="0"/>
    <b v="1"/>
    <n v="0"/>
    <m/>
    <n v="0"/>
    <m/>
  </r>
  <r>
    <s v="TX000461"/>
    <s v="AC00148"/>
    <n v="8.98"/>
    <d v="2023-08-21T16:07:13"/>
    <s v="Debit"/>
    <x v="8"/>
    <s v="D000229"/>
    <s v="188.225.207.71"/>
    <s v="M063"/>
    <s v="Online"/>
    <n v="66"/>
    <s v="Retired"/>
    <n v="56"/>
    <n v="1"/>
    <n v="4516.76"/>
    <d v="2024-11-04T08:10:53"/>
    <n v="16"/>
    <s v="Monday"/>
    <n v="-0.98858534544725896"/>
    <b v="0"/>
    <b v="0"/>
    <b v="1"/>
    <n v="0"/>
    <m/>
    <n v="0"/>
    <m/>
  </r>
  <r>
    <s v="TX000462"/>
    <s v="AC00200"/>
    <n v="697.32"/>
    <d v="2023-05-11T16:30:04"/>
    <s v="Debit"/>
    <x v="4"/>
    <s v="D000277"/>
    <s v="163.58.140.206"/>
    <s v="M080"/>
    <s v="Online"/>
    <n v="68"/>
    <s v="Retired"/>
    <n v="91"/>
    <n v="1"/>
    <n v="2016.02"/>
    <d v="2024-11-04T08:11:18"/>
    <n v="16"/>
    <s v="Thursday"/>
    <n v="1.3691774811096"/>
    <b v="0"/>
    <b v="0"/>
    <b v="1"/>
    <n v="0"/>
    <m/>
    <n v="0"/>
    <m/>
  </r>
  <r>
    <s v="TX000463"/>
    <s v="AC00074"/>
    <n v="17.45"/>
    <d v="2023-09-13T16:41:19"/>
    <s v="Debit"/>
    <x v="32"/>
    <s v="D000630"/>
    <s v="28.149.72.129"/>
    <s v="M059"/>
    <s v="ATM"/>
    <n v="18"/>
    <s v="Student"/>
    <n v="88"/>
    <n v="1"/>
    <n v="1959.52"/>
    <d v="2024-11-04T08:09:39"/>
    <n v="16"/>
    <s v="Wednesday"/>
    <n v="-0.95957315504580598"/>
    <b v="0"/>
    <b v="0"/>
    <b v="1"/>
    <n v="0"/>
    <m/>
    <n v="0"/>
    <m/>
  </r>
  <r>
    <s v="TX000464"/>
    <s v="AC00417"/>
    <n v="302.16000000000003"/>
    <d v="2023-10-18T17:47:52"/>
    <s v="Debit"/>
    <x v="31"/>
    <s v="D000123"/>
    <s v="84.237.126.96"/>
    <s v="M014"/>
    <s v="Online"/>
    <n v="80"/>
    <s v="Retired"/>
    <n v="138"/>
    <n v="5"/>
    <n v="3876.61"/>
    <d v="2024-11-04T08:07:38"/>
    <n v="17"/>
    <s v="Wednesday"/>
    <n v="1.5640626441548702E-2"/>
    <b v="0"/>
    <b v="1"/>
    <b v="1"/>
    <n v="1"/>
    <m/>
    <n v="0"/>
    <m/>
  </r>
  <r>
    <s v="TX000465"/>
    <s v="AC00182"/>
    <n v="442.74"/>
    <d v="2023-10-16T17:47:41"/>
    <s v="Debit"/>
    <x v="0"/>
    <s v="D000563"/>
    <s v="141.241.241.128"/>
    <s v="M019"/>
    <s v="Branch"/>
    <n v="23"/>
    <s v="Student"/>
    <n v="136"/>
    <n v="1"/>
    <n v="1790.27"/>
    <d v="2024-11-04T08:09:45"/>
    <n v="17"/>
    <s v="Monday"/>
    <n v="0.49716763076697501"/>
    <b v="0"/>
    <b v="0"/>
    <b v="1"/>
    <n v="0"/>
    <m/>
    <n v="0"/>
    <m/>
  </r>
  <r>
    <s v="TX000466"/>
    <s v="AC00177"/>
    <n v="623.9"/>
    <d v="2023-08-08T17:44:21"/>
    <s v="Debit"/>
    <x v="24"/>
    <s v="D000162"/>
    <s v="206.84.69.39"/>
    <s v="M005"/>
    <s v="ATM"/>
    <n v="27"/>
    <s v="Student"/>
    <n v="249"/>
    <n v="1"/>
    <n v="711.47"/>
    <d v="2024-11-04T08:10:15"/>
    <n v="17"/>
    <s v="Tuesday"/>
    <n v="1.1176928271220301"/>
    <b v="0"/>
    <b v="0"/>
    <b v="1"/>
    <n v="0"/>
    <m/>
    <n v="0"/>
    <m/>
  </r>
  <r>
    <s v="TX000467"/>
    <s v="AC00063"/>
    <n v="445.41"/>
    <d v="2023-11-20T16:27:31"/>
    <s v="Debit"/>
    <x v="41"/>
    <s v="D000039"/>
    <s v="185.23.87.107"/>
    <s v="M015"/>
    <s v="ATM"/>
    <n v="35"/>
    <s v="Doctor"/>
    <n v="235"/>
    <n v="3"/>
    <n v="12154.66"/>
    <d v="2024-11-04T08:08:08"/>
    <n v="16"/>
    <s v="Monday"/>
    <n v="0.506313150055273"/>
    <b v="0"/>
    <b v="1"/>
    <b v="1"/>
    <n v="1"/>
    <m/>
    <n v="0"/>
    <m/>
  </r>
  <r>
    <s v="TX000468"/>
    <s v="AC00300"/>
    <n v="63.41"/>
    <d v="2023-11-24T17:29:06"/>
    <s v="Debit"/>
    <x v="18"/>
    <s v="D000116"/>
    <s v="141.241.241.128"/>
    <s v="M035"/>
    <s v="ATM"/>
    <n v="26"/>
    <s v="Student"/>
    <n v="36"/>
    <n v="1"/>
    <n v="1546.22"/>
    <d v="2024-11-04T08:07:15"/>
    <n v="17"/>
    <s v="Friday"/>
    <n v="-0.802146912914659"/>
    <b v="0"/>
    <b v="0"/>
    <b v="1"/>
    <n v="0"/>
    <m/>
    <n v="0"/>
    <m/>
  </r>
  <r>
    <s v="TX000469"/>
    <s v="AC00218"/>
    <n v="346.85"/>
    <d v="2023-11-03T18:33:50"/>
    <s v="Debit"/>
    <x v="31"/>
    <s v="D000128"/>
    <s v="13.149.61.4"/>
    <s v="M025"/>
    <s v="ATM"/>
    <n v="44"/>
    <s v="Doctor"/>
    <n v="88"/>
    <n v="1"/>
    <n v="7208.15"/>
    <d v="2024-11-04T08:10:25"/>
    <n v="18"/>
    <s v="Friday"/>
    <n v="0.16871675265653899"/>
    <b v="0"/>
    <b v="0"/>
    <b v="1"/>
    <n v="0"/>
    <m/>
    <n v="0"/>
    <m/>
  </r>
  <r>
    <s v="TX000470"/>
    <s v="AC00036"/>
    <n v="71.95"/>
    <d v="2023-02-13T16:39:52"/>
    <s v="Credit"/>
    <x v="32"/>
    <s v="D000410"/>
    <s v="162.58.247.55"/>
    <s v="M100"/>
    <s v="Online"/>
    <n v="59"/>
    <s v="Engineer"/>
    <n v="53"/>
    <n v="1"/>
    <n v="9267.32"/>
    <d v="2024-11-04T08:06:23"/>
    <n v="16"/>
    <s v="Monday"/>
    <n v="-0.77289495234459804"/>
    <b v="0"/>
    <b v="0"/>
    <b v="1"/>
    <n v="0"/>
    <m/>
    <n v="0"/>
    <m/>
  </r>
  <r>
    <s v="TX000471"/>
    <s v="AC00371"/>
    <n v="7.5"/>
    <d v="2023-02-17T16:08:54"/>
    <s v="Debit"/>
    <x v="34"/>
    <s v="D000181"/>
    <s v="203.197.235.35"/>
    <s v="M054"/>
    <s v="Online"/>
    <n v="63"/>
    <s v="Retired"/>
    <n v="36"/>
    <n v="1"/>
    <n v="6485.78"/>
    <d v="2024-11-04T08:11:28"/>
    <n v="16"/>
    <s v="Friday"/>
    <n v="-0.99365477186923701"/>
    <b v="0"/>
    <b v="0"/>
    <b v="1"/>
    <n v="0"/>
    <m/>
    <n v="0"/>
    <m/>
  </r>
  <r>
    <s v="TX000472"/>
    <s v="AC00398"/>
    <n v="206.46"/>
    <d v="2023-11-27T18:26:02"/>
    <s v="Debit"/>
    <x v="33"/>
    <s v="D000620"/>
    <s v="110.150.1.201"/>
    <s v="M013"/>
    <s v="ATM"/>
    <n v="65"/>
    <s v="Retired"/>
    <n v="279"/>
    <n v="1"/>
    <n v="3984.38"/>
    <d v="2024-11-04T08:06:44"/>
    <n v="18"/>
    <s v="Monday"/>
    <n v="-0.312159446925526"/>
    <b v="0"/>
    <b v="0"/>
    <b v="1"/>
    <n v="0"/>
    <m/>
    <n v="0"/>
    <m/>
  </r>
  <r>
    <s v="TX000473"/>
    <s v="AC00213"/>
    <n v="423.11"/>
    <d v="2023-07-25T18:41:02"/>
    <s v="Debit"/>
    <x v="15"/>
    <s v="D000113"/>
    <s v="64.57.44.102"/>
    <s v="M055"/>
    <s v="ATM"/>
    <n v="60"/>
    <s v="Engineer"/>
    <n v="47"/>
    <n v="1"/>
    <n v="412.78"/>
    <d v="2024-11-04T08:10:58"/>
    <n v="18"/>
    <s v="Tuesday"/>
    <n v="0.42992922491331098"/>
    <b v="0"/>
    <b v="0"/>
    <b v="1"/>
    <n v="0"/>
    <m/>
    <n v="0"/>
    <m/>
  </r>
  <r>
    <s v="TX000474"/>
    <s v="AC00464"/>
    <n v="35.840000000000003"/>
    <d v="2023-03-28T17:23:54"/>
    <s v="Credit"/>
    <x v="40"/>
    <s v="D000422"/>
    <s v="35.73.67.98"/>
    <s v="M013"/>
    <s v="Online"/>
    <n v="54"/>
    <s v="Retired"/>
    <n v="172"/>
    <n v="1"/>
    <n v="4795.6499999999996"/>
    <d v="2024-11-04T08:10:57"/>
    <n v="17"/>
    <s v="Tuesday"/>
    <n v="-0.89658210646460901"/>
    <b v="0"/>
    <b v="0"/>
    <b v="1"/>
    <n v="0"/>
    <m/>
    <n v="0"/>
    <m/>
  </r>
  <r>
    <s v="TX000475"/>
    <s v="AC00219"/>
    <n v="88.6"/>
    <d v="2023-02-14T17:01:44"/>
    <s v="Credit"/>
    <x v="3"/>
    <s v="D000403"/>
    <s v="170.54.231.239"/>
    <s v="M054"/>
    <s v="Branch"/>
    <n v="28"/>
    <s v="Student"/>
    <n v="105"/>
    <n v="1"/>
    <n v="246.57"/>
    <d v="2024-11-04T08:08:47"/>
    <n v="17"/>
    <s v="Tuesday"/>
    <n v="-0.71586390509734799"/>
    <b v="0"/>
    <b v="0"/>
    <b v="1"/>
    <n v="0"/>
    <m/>
    <n v="0"/>
    <m/>
  </r>
  <r>
    <s v="TX000476"/>
    <s v="AC00464"/>
    <n v="1431.3"/>
    <d v="2023-09-04T18:46:40"/>
    <s v="Debit"/>
    <x v="5"/>
    <s v="D000563"/>
    <s v="7.105.184.86"/>
    <s v="M082"/>
    <s v="ATM"/>
    <n v="18"/>
    <s v="Student"/>
    <n v="168"/>
    <n v="1"/>
    <n v="1058.1300000000001"/>
    <d v="2024-11-04T08:11:20"/>
    <n v="18"/>
    <s v="Monday"/>
    <n v="3.8832704575982699"/>
    <b v="1"/>
    <b v="0"/>
    <b v="1"/>
    <n v="1"/>
    <m/>
    <n v="1"/>
    <m/>
  </r>
  <r>
    <s v="TX000477"/>
    <s v="AC00442"/>
    <n v="53.81"/>
    <d v="2023-10-16T16:55:44"/>
    <s v="Credit"/>
    <x v="3"/>
    <s v="D000663"/>
    <s v="34.86.220.205"/>
    <s v="M079"/>
    <s v="ATM"/>
    <n v="55"/>
    <s v="Engineer"/>
    <n v="37"/>
    <n v="2"/>
    <n v="2564.62"/>
    <d v="2024-11-04T08:12:05"/>
    <n v="16"/>
    <s v="Monday"/>
    <n v="-0.83502967889505497"/>
    <b v="0"/>
    <b v="1"/>
    <b v="1"/>
    <n v="1"/>
    <m/>
    <n v="0"/>
    <m/>
  </r>
  <r>
    <s v="TX000478"/>
    <s v="AC00054"/>
    <n v="22.46"/>
    <d v="2023-05-17T16:03:51"/>
    <s v="Debit"/>
    <x v="22"/>
    <s v="D000602"/>
    <s v="147.119.62.178"/>
    <s v="M087"/>
    <s v="Online"/>
    <n v="54"/>
    <s v="Retired"/>
    <n v="78"/>
    <n v="1"/>
    <n v="6631.5"/>
    <d v="2024-11-04T08:07:46"/>
    <n v="16"/>
    <s v="Wednesday"/>
    <n v="-0.94241246154978697"/>
    <b v="0"/>
    <b v="0"/>
    <b v="1"/>
    <n v="0"/>
    <m/>
    <n v="0"/>
    <m/>
  </r>
  <r>
    <s v="TX000479"/>
    <s v="AC00392"/>
    <n v="334.89"/>
    <d v="2023-07-20T18:23:13"/>
    <s v="Debit"/>
    <x v="18"/>
    <s v="D000697"/>
    <s v="32.13.122.242"/>
    <s v="M040"/>
    <s v="Online"/>
    <n v="21"/>
    <s v="Student"/>
    <n v="260"/>
    <n v="1"/>
    <n v="1661.68"/>
    <d v="2024-11-04T08:08:44"/>
    <n v="18"/>
    <s v="Thursday"/>
    <n v="0.12775030670596099"/>
    <b v="0"/>
    <b v="0"/>
    <b v="1"/>
    <n v="0"/>
    <m/>
    <n v="0"/>
    <m/>
  </r>
  <r>
    <s v="TX000480"/>
    <s v="AC00350"/>
    <n v="319.27"/>
    <d v="2023-07-20T16:58:05"/>
    <s v="Credit"/>
    <x v="32"/>
    <s v="D000457"/>
    <s v="214.67.148.245"/>
    <s v="M068"/>
    <s v="Online"/>
    <n v="54"/>
    <s v="Retired"/>
    <n v="59"/>
    <n v="1"/>
    <n v="5504.01"/>
    <d v="2024-11-04T08:06:35"/>
    <n v="16"/>
    <s v="Thursday"/>
    <n v="7.4247306225358897E-2"/>
    <b v="0"/>
    <b v="0"/>
    <b v="1"/>
    <n v="0"/>
    <m/>
    <n v="0"/>
    <m/>
  </r>
  <r>
    <s v="TX000481"/>
    <s v="AC00306"/>
    <n v="144.30000000000001"/>
    <d v="2023-12-08T17:24:44"/>
    <s v="Debit"/>
    <x v="5"/>
    <s v="D000098"/>
    <s v="93.170.203.44"/>
    <s v="M049"/>
    <s v="ATM"/>
    <n v="18"/>
    <s v="Student"/>
    <n v="88"/>
    <n v="1"/>
    <n v="312.19"/>
    <d v="2024-11-04T08:10:39"/>
    <n v="17"/>
    <s v="Friday"/>
    <n v="-0.52507535664859095"/>
    <b v="0"/>
    <b v="0"/>
    <b v="1"/>
    <n v="0"/>
    <m/>
    <n v="0"/>
    <m/>
  </r>
  <r>
    <s v="TX000482"/>
    <s v="AC00229"/>
    <n v="348.7"/>
    <d v="2023-05-02T17:13:45"/>
    <s v="Credit"/>
    <x v="41"/>
    <s v="D000175"/>
    <s v="142.184.68.230"/>
    <s v="M067"/>
    <s v="Branch"/>
    <n v="69"/>
    <s v="Retired"/>
    <n v="149"/>
    <n v="1"/>
    <n v="2445.58"/>
    <d v="2024-11-04T08:06:58"/>
    <n v="17"/>
    <s v="Tuesday"/>
    <n v="0.175053535684011"/>
    <b v="0"/>
    <b v="0"/>
    <b v="1"/>
    <n v="0"/>
    <m/>
    <n v="0"/>
    <m/>
  </r>
  <r>
    <s v="TX000483"/>
    <s v="AC00148"/>
    <n v="366.21"/>
    <d v="2023-01-12T17:57:06"/>
    <s v="Debit"/>
    <x v="5"/>
    <s v="D000483"/>
    <s v="210.160.90.52"/>
    <s v="M052"/>
    <s v="ATM"/>
    <n v="62"/>
    <s v="Doctor"/>
    <n v="181"/>
    <n v="1"/>
    <n v="10862.99"/>
    <d v="2024-11-04T08:11:36"/>
    <n v="17"/>
    <s v="Thursday"/>
    <n v="0.23503033071700399"/>
    <b v="0"/>
    <b v="0"/>
    <b v="1"/>
    <n v="0"/>
    <m/>
    <n v="0"/>
    <m/>
  </r>
  <r>
    <s v="TX000484"/>
    <s v="AC00305"/>
    <n v="99.11"/>
    <d v="2023-05-01T16:58:41"/>
    <s v="Debit"/>
    <x v="26"/>
    <s v="D000195"/>
    <s v="42.219.228.159"/>
    <s v="M015"/>
    <s v="Online"/>
    <n v="55"/>
    <s v="Retired"/>
    <n v="12"/>
    <n v="1"/>
    <n v="5414.87"/>
    <d v="2024-11-04T08:09:35"/>
    <n v="16"/>
    <s v="Monday"/>
    <n v="-0.67986412692506004"/>
    <b v="0"/>
    <b v="0"/>
    <b v="1"/>
    <n v="0"/>
    <m/>
    <n v="0"/>
    <m/>
  </r>
  <r>
    <s v="TX000485"/>
    <s v="AC00329"/>
    <n v="539.35"/>
    <d v="2023-05-22T17:34:50"/>
    <s v="Debit"/>
    <x v="20"/>
    <s v="D000051"/>
    <s v="216.32.4.105"/>
    <s v="M002"/>
    <s v="ATM"/>
    <n v="55"/>
    <s v="Retired"/>
    <n v="127"/>
    <n v="1"/>
    <n v="3919.44"/>
    <d v="2024-11-04T08:11:49"/>
    <n v="17"/>
    <s v="Monday"/>
    <n v="0.82808471632594205"/>
    <b v="0"/>
    <b v="0"/>
    <b v="1"/>
    <n v="0"/>
    <m/>
    <n v="0"/>
    <m/>
  </r>
  <r>
    <s v="TX000486"/>
    <s v="AC00400"/>
    <n v="188.99"/>
    <d v="2023-06-08T16:43:06"/>
    <s v="Debit"/>
    <x v="5"/>
    <s v="D000551"/>
    <s v="200.136.146.93"/>
    <s v="M065"/>
    <s v="Branch"/>
    <n v="58"/>
    <s v="Engineer"/>
    <n v="92"/>
    <n v="1"/>
    <n v="7315.34"/>
    <d v="2024-11-04T08:07:32"/>
    <n v="16"/>
    <s v="Thursday"/>
    <n v="-0.371999230433601"/>
    <b v="0"/>
    <b v="0"/>
    <b v="1"/>
    <n v="0"/>
    <m/>
    <n v="0"/>
    <m/>
  </r>
  <r>
    <s v="TX000487"/>
    <s v="AC00148"/>
    <n v="1416.69"/>
    <d v="2023-01-16T17:00:11"/>
    <s v="Debit"/>
    <x v="9"/>
    <s v="D000418"/>
    <s v="219.98.242.240"/>
    <s v="M015"/>
    <s v="ATM"/>
    <n v="46"/>
    <s v="Engineer"/>
    <n v="58"/>
    <n v="1"/>
    <n v="3740.73"/>
    <d v="2024-11-04T08:11:35"/>
    <n v="17"/>
    <s v="Monday"/>
    <n v="3.8332269981218601"/>
    <b v="1"/>
    <b v="0"/>
    <b v="1"/>
    <n v="1"/>
    <m/>
    <n v="1"/>
    <m/>
  </r>
  <r>
    <s v="TX000488"/>
    <s v="AC00128"/>
    <n v="710.14"/>
    <d v="2023-03-08T16:20:43"/>
    <s v="Debit"/>
    <x v="39"/>
    <s v="D000667"/>
    <s v="83.207.115.164"/>
    <s v="M059"/>
    <s v="ATM"/>
    <n v="26"/>
    <s v="Student"/>
    <n v="227"/>
    <n v="1"/>
    <n v="465.63"/>
    <d v="2024-11-04T08:12:20"/>
    <n v="16"/>
    <s v="Wednesday"/>
    <n v="1.4130896748459201"/>
    <b v="0"/>
    <b v="0"/>
    <b v="1"/>
    <n v="0"/>
    <m/>
    <n v="0"/>
    <m/>
  </r>
  <r>
    <s v="TX000489"/>
    <s v="AC00463"/>
    <n v="308.68"/>
    <d v="2023-02-27T17:14:10"/>
    <s v="Debit"/>
    <x v="20"/>
    <s v="D000391"/>
    <s v="86.220.59.252"/>
    <s v="M064"/>
    <s v="Online"/>
    <n v="53"/>
    <s v="Doctor"/>
    <n v="170"/>
    <n v="1"/>
    <n v="9992.36"/>
    <d v="2024-11-04T08:10:16"/>
    <n v="17"/>
    <s v="Monday"/>
    <n v="3.7973505003234397E-2"/>
    <b v="0"/>
    <b v="0"/>
    <b v="1"/>
    <n v="0"/>
    <m/>
    <n v="0"/>
    <m/>
  </r>
  <r>
    <s v="TX000490"/>
    <s v="AC00256"/>
    <n v="166.68"/>
    <d v="2023-03-27T18:47:56"/>
    <s v="Debit"/>
    <x v="2"/>
    <s v="D000130"/>
    <s v="187.52.200.18"/>
    <s v="M008"/>
    <s v="ATM"/>
    <n v="57"/>
    <s v="Retired"/>
    <n v="139"/>
    <n v="1"/>
    <n v="5141.1899999999996"/>
    <d v="2024-11-04T08:12:19"/>
    <n v="18"/>
    <s v="Monday"/>
    <n v="-0.44841740845679201"/>
    <b v="0"/>
    <b v="0"/>
    <b v="1"/>
    <n v="0"/>
    <m/>
    <n v="0"/>
    <m/>
  </r>
  <r>
    <s v="TX000491"/>
    <s v="AC00166"/>
    <n v="0.99"/>
    <d v="2023-09-13T16:55:14"/>
    <s v="Debit"/>
    <x v="16"/>
    <s v="D000503"/>
    <s v="187.199.178.27"/>
    <s v="M029"/>
    <s v="ATM"/>
    <n v="45"/>
    <s v="Engineer"/>
    <n v="133"/>
    <n v="1"/>
    <n v="4317.8500000000004"/>
    <d v="2024-11-04T08:09:12"/>
    <n v="16"/>
    <s v="Wednesday"/>
    <n v="-1.0159533975496899"/>
    <b v="0"/>
    <b v="0"/>
    <b v="1"/>
    <n v="0"/>
    <m/>
    <n v="0"/>
    <m/>
  </r>
  <r>
    <s v="TX000492"/>
    <s v="AC00318"/>
    <n v="505.19"/>
    <d v="2023-03-14T16:25:04"/>
    <s v="Debit"/>
    <x v="31"/>
    <s v="D000660"/>
    <s v="60.89.202.192"/>
    <s v="M023"/>
    <s v="ATM"/>
    <n v="30"/>
    <s v="Doctor"/>
    <n v="128"/>
    <n v="5"/>
    <n v="5326.68"/>
    <d v="2024-11-04T08:10:19"/>
    <n v="16"/>
    <s v="Tuesday"/>
    <n v="0.71107687404569897"/>
    <b v="0"/>
    <b v="1"/>
    <b v="1"/>
    <n v="1"/>
    <m/>
    <n v="0"/>
    <m/>
  </r>
  <r>
    <s v="TX000493"/>
    <s v="AC00213"/>
    <n v="66.58"/>
    <d v="2023-12-04T17:06:43"/>
    <s v="Debit"/>
    <x v="3"/>
    <s v="D000419"/>
    <s v="20.147.6.179"/>
    <s v="M040"/>
    <s v="Branch"/>
    <n v="23"/>
    <s v="Student"/>
    <n v="79"/>
    <n v="1"/>
    <n v="1636.32"/>
    <d v="2024-11-04T08:08:48"/>
    <n v="17"/>
    <s v="Monday"/>
    <n v="-0.79128874956488204"/>
    <b v="0"/>
    <b v="0"/>
    <b v="1"/>
    <n v="0"/>
    <m/>
    <n v="0"/>
    <m/>
  </r>
  <r>
    <s v="TX000494"/>
    <s v="AC00075"/>
    <n v="223.43"/>
    <d v="2023-02-08T17:59:42"/>
    <s v="Debit"/>
    <x v="34"/>
    <s v="D000095"/>
    <s v="198.73.211.114"/>
    <s v="M091"/>
    <s v="Branch"/>
    <n v="77"/>
    <s v="Retired"/>
    <n v="178"/>
    <n v="1"/>
    <n v="7932.41"/>
    <d v="2024-11-04T08:09:38"/>
    <n v="17"/>
    <s v="Wednesday"/>
    <n v="-0.25403230747892902"/>
    <b v="0"/>
    <b v="0"/>
    <b v="1"/>
    <n v="0"/>
    <m/>
    <n v="0"/>
    <m/>
  </r>
  <r>
    <s v="TX000495"/>
    <s v="AC00498"/>
    <n v="659.95"/>
    <d v="2023-09-20T16:59:45"/>
    <s v="Debit"/>
    <x v="8"/>
    <s v="D000665"/>
    <s v="94.227.164.192"/>
    <s v="M044"/>
    <s v="Online"/>
    <n v="60"/>
    <s v="Engineer"/>
    <n v="114"/>
    <n v="1"/>
    <n v="3927.69"/>
    <d v="2024-11-04T08:06:26"/>
    <n v="16"/>
    <s v="Wednesday"/>
    <n v="1.24117446395466"/>
    <b v="0"/>
    <b v="0"/>
    <b v="1"/>
    <n v="0"/>
    <m/>
    <n v="0"/>
    <m/>
  </r>
  <r>
    <s v="TX000496"/>
    <s v="AC00039"/>
    <n v="634.86"/>
    <d v="2023-08-10T16:28:55"/>
    <s v="Debit"/>
    <x v="29"/>
    <s v="D000151"/>
    <s v="122.94.26.104"/>
    <s v="M009"/>
    <s v="ATM"/>
    <n v="27"/>
    <s v="Student"/>
    <n v="45"/>
    <n v="1"/>
    <n v="588.5"/>
    <d v="2024-11-04T08:08:00"/>
    <n v="16"/>
    <s v="Thursday"/>
    <n v="1.15523398494965"/>
    <b v="0"/>
    <b v="0"/>
    <b v="1"/>
    <n v="0"/>
    <m/>
    <n v="0"/>
    <m/>
  </r>
  <r>
    <s v="TX000497"/>
    <s v="AC00114"/>
    <n v="286.5"/>
    <d v="2023-10-23T16:58:04"/>
    <s v="Credit"/>
    <x v="35"/>
    <s v="D000602"/>
    <s v="16.128.130.153"/>
    <s v="M097"/>
    <s v="Branch"/>
    <n v="30"/>
    <s v="Engineer"/>
    <n v="60"/>
    <n v="1"/>
    <n v="8517.9500000000007"/>
    <d v="2024-11-04T08:09:17"/>
    <n v="16"/>
    <s v="Monday"/>
    <n v="-3.7999385563972601E-2"/>
    <b v="0"/>
    <b v="0"/>
    <b v="1"/>
    <n v="0"/>
    <m/>
    <n v="0"/>
    <m/>
  </r>
  <r>
    <s v="TX000498"/>
    <s v="AC00326"/>
    <n v="322.95999999999998"/>
    <d v="2023-11-27T16:21:20"/>
    <s v="Credit"/>
    <x v="26"/>
    <s v="D000275"/>
    <s v="135.29.211.116"/>
    <s v="M033"/>
    <s v="Branch"/>
    <n v="76"/>
    <s v="Retired"/>
    <n v="168"/>
    <n v="1"/>
    <n v="2401.59"/>
    <d v="2024-11-04T08:11:24"/>
    <n v="16"/>
    <s v="Monday"/>
    <n v="8.6886619399073703E-2"/>
    <b v="0"/>
    <b v="0"/>
    <b v="1"/>
    <n v="0"/>
    <m/>
    <n v="0"/>
    <m/>
  </r>
  <r>
    <s v="TX000499"/>
    <s v="AC00450"/>
    <n v="654.48"/>
    <d v="2023-08-07T16:37:06"/>
    <s v="Debit"/>
    <x v="15"/>
    <s v="D000277"/>
    <s v="148.112.151.27"/>
    <s v="M047"/>
    <s v="Branch"/>
    <n v="19"/>
    <s v="Student"/>
    <n v="114"/>
    <n v="1"/>
    <n v="6776.41"/>
    <d v="2024-11-04T08:10:17"/>
    <n v="16"/>
    <s v="Monday"/>
    <n v="1.2224381379220799"/>
    <b v="0"/>
    <b v="0"/>
    <b v="1"/>
    <n v="0"/>
    <m/>
    <n v="0"/>
    <m/>
  </r>
  <r>
    <s v="TX000500"/>
    <s v="AC00325"/>
    <n v="157.97"/>
    <d v="2023-06-21T16:00:51"/>
    <s v="Debit"/>
    <x v="26"/>
    <s v="D000635"/>
    <s v="89.237.88.251"/>
    <s v="M009"/>
    <s v="Branch"/>
    <n v="48"/>
    <s v="Doctor"/>
    <n v="140"/>
    <n v="1"/>
    <n v="5529.92"/>
    <d v="2024-11-04T08:10:06"/>
    <n v="16"/>
    <s v="Wednesday"/>
    <n v="-0.47825166800775598"/>
    <b v="0"/>
    <b v="0"/>
    <b v="1"/>
    <n v="0"/>
    <m/>
    <n v="0"/>
    <m/>
  </r>
  <r>
    <s v="TX000501"/>
    <s v="AC00433"/>
    <n v="120.9"/>
    <d v="2023-07-12T16:17:27"/>
    <s v="Debit"/>
    <x v="28"/>
    <s v="D000195"/>
    <s v="200.136.146.93"/>
    <s v="M074"/>
    <s v="Branch"/>
    <n v="40"/>
    <s v="Doctor"/>
    <n v="52"/>
    <n v="1"/>
    <n v="9009.42"/>
    <d v="2024-11-04T08:08:19"/>
    <n v="16"/>
    <s v="Wednesday"/>
    <n v="-0.60522709872580704"/>
    <b v="0"/>
    <b v="0"/>
    <b v="1"/>
    <n v="0"/>
    <m/>
    <n v="0"/>
    <m/>
  </r>
  <r>
    <s v="TX000502"/>
    <s v="AC00284"/>
    <n v="254.77"/>
    <d v="2023-01-18T16:47:29"/>
    <s v="Debit"/>
    <x v="13"/>
    <s v="D000216"/>
    <s v="16.128.130.153"/>
    <s v="M031"/>
    <s v="Branch"/>
    <n v="57"/>
    <s v="Engineer"/>
    <n v="57"/>
    <n v="1"/>
    <n v="5994.87"/>
    <d v="2024-11-04T08:07:07"/>
    <n v="16"/>
    <s v="Wednesday"/>
    <n v="-0.14668377770542801"/>
    <b v="0"/>
    <b v="0"/>
    <b v="1"/>
    <n v="0"/>
    <m/>
    <n v="0"/>
    <m/>
  </r>
  <r>
    <s v="TX000503"/>
    <s v="AC00103"/>
    <n v="795.96"/>
    <d v="2023-09-28T17:53:43"/>
    <s v="Debit"/>
    <x v="3"/>
    <s v="D000283"/>
    <s v="54.252.249.33"/>
    <s v="M014"/>
    <s v="Online"/>
    <n v="65"/>
    <s v="Retired"/>
    <n v="119"/>
    <n v="1"/>
    <n v="5468.58"/>
    <d v="2024-11-04T08:08:26"/>
    <n v="17"/>
    <s v="Thursday"/>
    <n v="1.7070479015581701"/>
    <b v="0"/>
    <b v="0"/>
    <b v="1"/>
    <n v="0"/>
    <m/>
    <n v="0"/>
    <m/>
  </r>
  <r>
    <s v="TX000504"/>
    <s v="AC00080"/>
    <n v="149.25"/>
    <d v="2023-04-10T16:38:45"/>
    <s v="Debit"/>
    <x v="32"/>
    <s v="D000604"/>
    <s v="3.77.114.6"/>
    <s v="M067"/>
    <s v="ATM"/>
    <n v="39"/>
    <s v="Engineer"/>
    <n v="142"/>
    <n v="1"/>
    <n v="5677.52"/>
    <d v="2024-11-04T08:07:41"/>
    <n v="16"/>
    <s v="Monday"/>
    <n v="-0.508120180439949"/>
    <b v="0"/>
    <b v="0"/>
    <b v="1"/>
    <n v="0"/>
    <m/>
    <n v="0"/>
    <m/>
  </r>
  <r>
    <s v="TX000505"/>
    <s v="AC00052"/>
    <n v="3.42"/>
    <d v="2023-09-25T16:14:35"/>
    <s v="Credit"/>
    <x v="25"/>
    <s v="D000484"/>
    <s v="151.247.130.190"/>
    <s v="M092"/>
    <s v="Online"/>
    <n v="43"/>
    <s v="Doctor"/>
    <n v="158"/>
    <n v="1"/>
    <n v="14180.21"/>
    <d v="2024-11-04T08:08:48"/>
    <n v="16"/>
    <s v="Monday"/>
    <n v="-1.0076299474109001"/>
    <b v="0"/>
    <b v="0"/>
    <b v="1"/>
    <n v="0"/>
    <m/>
    <n v="0"/>
    <m/>
  </r>
  <r>
    <s v="TX000506"/>
    <s v="AC00095"/>
    <n v="68.19"/>
    <d v="2023-03-14T16:07:32"/>
    <s v="Credit"/>
    <x v="41"/>
    <s v="D000589"/>
    <s v="134.140.85.231"/>
    <s v="M026"/>
    <s v="Online"/>
    <n v="40"/>
    <s v="Doctor"/>
    <n v="189"/>
    <n v="1"/>
    <n v="9895.1"/>
    <d v="2024-11-04T08:07:50"/>
    <n v="16"/>
    <s v="Tuesday"/>
    <n v="-0.78577403568691995"/>
    <b v="0"/>
    <b v="0"/>
    <b v="1"/>
    <n v="0"/>
    <m/>
    <n v="0"/>
    <m/>
  </r>
  <r>
    <s v="TX000507"/>
    <s v="AC00327"/>
    <n v="493.42"/>
    <d v="2023-06-14T17:21:32"/>
    <s v="Debit"/>
    <x v="21"/>
    <s v="D000474"/>
    <s v="28.149.72.129"/>
    <s v="M039"/>
    <s v="Branch"/>
    <n v="39"/>
    <s v="Engineer"/>
    <n v="111"/>
    <n v="1"/>
    <n v="2232.84"/>
    <d v="2024-11-04T08:10:01"/>
    <n v="17"/>
    <s v="Wednesday"/>
    <n v="0.67076123283848399"/>
    <b v="0"/>
    <b v="0"/>
    <b v="1"/>
    <n v="0"/>
    <m/>
    <n v="0"/>
    <m/>
  </r>
  <r>
    <s v="TX000508"/>
    <s v="AC00491"/>
    <n v="37.57"/>
    <d v="2023-04-26T18:35:50"/>
    <s v="Debit"/>
    <x v="39"/>
    <s v="D000422"/>
    <s v="173.135.78.201"/>
    <s v="M048"/>
    <s v="ATM"/>
    <n v="57"/>
    <s v="Retired"/>
    <n v="42"/>
    <n v="1"/>
    <n v="7739.54"/>
    <d v="2024-11-04T08:09:21"/>
    <n v="18"/>
    <s v="Wednesday"/>
    <n v="-0.89065635801189202"/>
    <b v="0"/>
    <b v="0"/>
    <b v="1"/>
    <n v="0"/>
    <m/>
    <n v="0"/>
    <m/>
  </r>
  <r>
    <s v="TX000509"/>
    <s v="AC00353"/>
    <n v="127"/>
    <d v="2023-09-15T17:09:41"/>
    <s v="Credit"/>
    <x v="9"/>
    <s v="D000024"/>
    <s v="154.138.163.229"/>
    <s v="M015"/>
    <s v="Branch"/>
    <n v="19"/>
    <s v="Student"/>
    <n v="68"/>
    <n v="5"/>
    <n v="431.16"/>
    <d v="2024-11-04T08:10:12"/>
    <n v="17"/>
    <s v="Friday"/>
    <n v="-0.58433284117576401"/>
    <b v="0"/>
    <b v="1"/>
    <b v="1"/>
    <n v="1"/>
    <m/>
    <n v="0"/>
    <m/>
  </r>
  <r>
    <s v="TX000510"/>
    <s v="AC00266"/>
    <n v="96.89"/>
    <d v="2023-03-16T16:02:01"/>
    <s v="Debit"/>
    <x v="30"/>
    <s v="D000295"/>
    <s v="136.105.231.135"/>
    <s v="M005"/>
    <s v="ATM"/>
    <n v="59"/>
    <s v="Retired"/>
    <n v="53"/>
    <n v="1"/>
    <n v="6044.93"/>
    <d v="2024-11-04T08:11:06"/>
    <n v="16"/>
    <s v="Thursday"/>
    <n v="-0.68746826655802695"/>
    <b v="0"/>
    <b v="0"/>
    <b v="1"/>
    <n v="0"/>
    <m/>
    <n v="0"/>
    <m/>
  </r>
  <r>
    <s v="TX000511"/>
    <s v="AC00167"/>
    <n v="448.33"/>
    <d v="2023-05-01T16:11:56"/>
    <s v="Debit"/>
    <x v="4"/>
    <s v="D000452"/>
    <s v="142.148.226.178"/>
    <s v="M031"/>
    <s v="ATM"/>
    <n v="25"/>
    <s v="Student"/>
    <n v="161"/>
    <n v="1"/>
    <n v="922.19"/>
    <d v="2024-11-04T08:09:44"/>
    <n v="16"/>
    <s v="Monday"/>
    <n v="0.51631499137431003"/>
    <b v="0"/>
    <b v="0"/>
    <b v="1"/>
    <n v="0"/>
    <m/>
    <n v="0"/>
    <m/>
  </r>
  <r>
    <s v="TX000512"/>
    <s v="AC00153"/>
    <n v="1116.48"/>
    <d v="2023-09-18T17:44:50"/>
    <s v="Debit"/>
    <x v="0"/>
    <s v="D000633"/>
    <s v="164.75.163.220"/>
    <s v="M057"/>
    <s v="ATM"/>
    <n v="51"/>
    <s v="Engineer"/>
    <n v="55"/>
    <n v="1"/>
    <n v="447.53"/>
    <d v="2024-11-04T08:11:35"/>
    <n v="17"/>
    <s v="Monday"/>
    <n v="2.8049212507286501"/>
    <b v="1"/>
    <b v="0"/>
    <b v="1"/>
    <n v="1"/>
    <m/>
    <n v="1"/>
    <m/>
  </r>
  <r>
    <s v="TX000513"/>
    <s v="AC00012"/>
    <n v="8.65"/>
    <d v="2023-06-05T17:08:37"/>
    <s v="Debit"/>
    <x v="17"/>
    <s v="D000309"/>
    <s v="200.136.146.93"/>
    <s v="M037"/>
    <s v="Online"/>
    <n v="48"/>
    <s v="Doctor"/>
    <n v="273"/>
    <n v="1"/>
    <n v="10778.35"/>
    <d v="2024-11-04T08:09:03"/>
    <n v="17"/>
    <s v="Monday"/>
    <n v="-0.98971569052783603"/>
    <b v="0"/>
    <b v="0"/>
    <b v="1"/>
    <n v="0"/>
    <m/>
    <n v="0"/>
    <m/>
  </r>
  <r>
    <s v="TX000514"/>
    <s v="AC00469"/>
    <n v="65.569999999999993"/>
    <d v="2023-04-06T17:24:16"/>
    <s v="Debit"/>
    <x v="19"/>
    <s v="D000649"/>
    <s v="1.198.76.182"/>
    <s v="M039"/>
    <s v="Online"/>
    <n v="41"/>
    <s v="Engineer"/>
    <n v="82"/>
    <n v="1"/>
    <n v="7513.79"/>
    <d v="2024-11-04T08:06:26"/>
    <n v="17"/>
    <s v="Thursday"/>
    <n v="-0.79474829056907004"/>
    <b v="0"/>
    <b v="0"/>
    <b v="1"/>
    <n v="0"/>
    <m/>
    <n v="0"/>
    <m/>
  </r>
  <r>
    <s v="TX000515"/>
    <s v="AC00127"/>
    <n v="539.80999999999995"/>
    <d v="2023-02-21T16:14:16"/>
    <s v="Debit"/>
    <x v="23"/>
    <s v="D000632"/>
    <s v="51.196.87.214"/>
    <s v="M064"/>
    <s v="Online"/>
    <n v="46"/>
    <s v="Engineer"/>
    <n v="177"/>
    <n v="1"/>
    <n v="2051.25"/>
    <d v="2024-11-04T08:09:05"/>
    <n v="16"/>
    <s v="Tuesday"/>
    <n v="0.82966034886250195"/>
    <b v="0"/>
    <b v="0"/>
    <b v="1"/>
    <n v="0"/>
    <m/>
    <n v="0"/>
    <m/>
  </r>
  <r>
    <s v="TX000516"/>
    <s v="AC00480"/>
    <n v="363.53"/>
    <d v="2023-01-18T17:03:54"/>
    <s v="Debit"/>
    <x v="31"/>
    <s v="D000131"/>
    <s v="134.140.85.231"/>
    <s v="M068"/>
    <s v="ATM"/>
    <n v="63"/>
    <s v="Retired"/>
    <n v="142"/>
    <n v="1"/>
    <n v="1038.9100000000001"/>
    <d v="2024-11-04T08:10:57"/>
    <n v="17"/>
    <s v="Wednesday"/>
    <n v="0.22585055854747699"/>
    <b v="0"/>
    <b v="0"/>
    <b v="1"/>
    <n v="0"/>
    <m/>
    <n v="0"/>
    <m/>
  </r>
  <r>
    <s v="TX000517"/>
    <s v="AC00092"/>
    <n v="64.900000000000006"/>
    <d v="2023-02-14T16:23:39"/>
    <s v="Credit"/>
    <x v="8"/>
    <s v="D000165"/>
    <s v="45.246.89.225"/>
    <s v="M043"/>
    <s v="Branch"/>
    <n v="51"/>
    <s v="Retired"/>
    <n v="72"/>
    <n v="1"/>
    <n v="6854.61"/>
    <d v="2024-11-04T08:10:18"/>
    <n v="16"/>
    <s v="Tuesday"/>
    <n v="-0.79704323361145102"/>
    <b v="0"/>
    <b v="0"/>
    <b v="1"/>
    <n v="0"/>
    <m/>
    <n v="0"/>
    <m/>
  </r>
  <r>
    <s v="TX000518"/>
    <s v="AC00122"/>
    <n v="358.18"/>
    <d v="2023-04-10T16:44:52"/>
    <s v="Debit"/>
    <x v="35"/>
    <s v="D000650"/>
    <s v="100.198.165.4"/>
    <s v="M028"/>
    <s v="ATM"/>
    <n v="18"/>
    <s v="Student"/>
    <n v="157"/>
    <n v="1"/>
    <n v="619.86"/>
    <d v="2024-11-04T08:07:58"/>
    <n v="16"/>
    <s v="Monday"/>
    <n v="0.20752526708965199"/>
    <b v="0"/>
    <b v="0"/>
    <b v="1"/>
    <n v="0"/>
    <m/>
    <n v="0"/>
    <m/>
  </r>
  <r>
    <s v="TX000519"/>
    <s v="AC00067"/>
    <n v="167.2"/>
    <d v="2023-01-18T17:53:37"/>
    <s v="Debit"/>
    <x v="25"/>
    <s v="D000002"/>
    <s v="56.67.227.142"/>
    <s v="M036"/>
    <s v="Branch"/>
    <n v="30"/>
    <s v="Doctor"/>
    <n v="84"/>
    <n v="1"/>
    <n v="11320.83"/>
    <d v="2024-11-04T08:06:52"/>
    <n v="17"/>
    <s v="Wednesday"/>
    <n v="-0.446636258632854"/>
    <b v="0"/>
    <b v="0"/>
    <b v="1"/>
    <n v="0"/>
    <m/>
    <n v="0"/>
    <m/>
  </r>
  <r>
    <s v="TX000520"/>
    <s v="AC00014"/>
    <n v="121.91"/>
    <d v="2023-06-26T18:39:52"/>
    <s v="Debit"/>
    <x v="29"/>
    <s v="D000264"/>
    <s v="135.29.211.116"/>
    <s v="M015"/>
    <s v="Branch"/>
    <n v="60"/>
    <s v="Doctor"/>
    <n v="133"/>
    <n v="1"/>
    <n v="14510.8"/>
    <d v="2024-11-04T08:08:59"/>
    <n v="18"/>
    <s v="Monday"/>
    <n v="-0.60176755772161905"/>
    <b v="0"/>
    <b v="0"/>
    <b v="1"/>
    <n v="0"/>
    <m/>
    <n v="0"/>
    <m/>
  </r>
  <r>
    <s v="TX000521"/>
    <s v="AC00098"/>
    <n v="137.57"/>
    <d v="2023-12-11T17:26:22"/>
    <s v="Debit"/>
    <x v="12"/>
    <s v="D000218"/>
    <s v="40.10.25.102"/>
    <s v="M067"/>
    <s v="Online"/>
    <n v="54"/>
    <s v="Engineer"/>
    <n v="70"/>
    <n v="1"/>
    <n v="5103.67"/>
    <d v="2024-11-04T08:11:22"/>
    <n v="17"/>
    <s v="Monday"/>
    <n v="-0.54812754571609801"/>
    <b v="0"/>
    <b v="0"/>
    <b v="1"/>
    <n v="0"/>
    <m/>
    <n v="0"/>
    <m/>
  </r>
  <r>
    <s v="TX000522"/>
    <s v="AC00345"/>
    <n v="534.62"/>
    <d v="2023-12-05T17:51:28"/>
    <s v="Debit"/>
    <x v="5"/>
    <s v="D000354"/>
    <s v="178.34.103.183"/>
    <s v="M007"/>
    <s v="Online"/>
    <n v="55"/>
    <s v="Doctor"/>
    <n v="45"/>
    <n v="1"/>
    <n v="13793.53"/>
    <d v="2024-11-04T08:06:35"/>
    <n v="17"/>
    <s v="Tuesday"/>
    <n v="0.811883103504351"/>
    <b v="0"/>
    <b v="0"/>
    <b v="1"/>
    <n v="0"/>
    <m/>
    <n v="0"/>
    <m/>
  </r>
  <r>
    <s v="TX000523"/>
    <s v="AC00360"/>
    <n v="463.92"/>
    <d v="2023-03-13T16:41:12"/>
    <s v="Debit"/>
    <x v="2"/>
    <s v="D000533"/>
    <s v="199.103.32.145"/>
    <s v="M010"/>
    <s v="Online"/>
    <n v="50"/>
    <s v="Engineer"/>
    <n v="199"/>
    <n v="1"/>
    <n v="2403.39"/>
    <d v="2024-11-04T08:09:14"/>
    <n v="16"/>
    <s v="Monday"/>
    <n v="0.56971523321122497"/>
    <b v="0"/>
    <b v="0"/>
    <b v="1"/>
    <n v="0"/>
    <m/>
    <n v="0"/>
    <m/>
  </r>
  <r>
    <s v="TX000524"/>
    <s v="AC00043"/>
    <n v="320.14"/>
    <d v="2023-01-31T16:58:42"/>
    <s v="Debit"/>
    <x v="20"/>
    <s v="D000141"/>
    <s v="83.182.211.68"/>
    <s v="M021"/>
    <s v="Online"/>
    <n v="60"/>
    <s v="Retired"/>
    <n v="96"/>
    <n v="1"/>
    <n v="3075.97"/>
    <d v="2024-11-04T08:07:40"/>
    <n v="16"/>
    <s v="Tuesday"/>
    <n v="7.7227306892332301E-2"/>
    <b v="0"/>
    <b v="0"/>
    <b v="1"/>
    <n v="0"/>
    <m/>
    <n v="0"/>
    <m/>
  </r>
  <r>
    <s v="TX000525"/>
    <s v="AC00295"/>
    <n v="214.93"/>
    <d v="2023-05-15T17:02:15"/>
    <s v="Debit"/>
    <x v="10"/>
    <s v="D000038"/>
    <s v="23.255.214.209"/>
    <s v="M038"/>
    <s v="Online"/>
    <n v="28"/>
    <s v="Student"/>
    <n v="52"/>
    <n v="1"/>
    <n v="7835.4"/>
    <d v="2024-11-04T08:08:51"/>
    <n v="17"/>
    <s v="Monday"/>
    <n v="-0.28314725652407202"/>
    <b v="0"/>
    <b v="0"/>
    <b v="1"/>
    <n v="0"/>
    <m/>
    <n v="0"/>
    <m/>
  </r>
  <r>
    <s v="TX000526"/>
    <s v="AC00313"/>
    <n v="660.02"/>
    <d v="2023-10-12T16:57:36"/>
    <s v="Debit"/>
    <x v="9"/>
    <s v="D000462"/>
    <s v="77.7.223.184"/>
    <s v="M053"/>
    <s v="Branch"/>
    <n v="20"/>
    <s v="Student"/>
    <n v="84"/>
    <n v="1"/>
    <n v="414.43"/>
    <d v="2024-11-04T08:08:35"/>
    <n v="16"/>
    <s v="Thursday"/>
    <n v="1.2414142341232699"/>
    <b v="0"/>
    <b v="0"/>
    <b v="1"/>
    <n v="0"/>
    <m/>
    <n v="0"/>
    <m/>
  </r>
  <r>
    <s v="TX000527"/>
    <s v="AC00173"/>
    <n v="345.81"/>
    <d v="2023-06-26T16:10:57"/>
    <s v="Debit"/>
    <x v="3"/>
    <s v="D000417"/>
    <s v="191.82.103.198"/>
    <s v="M099"/>
    <s v="Branch"/>
    <n v="40"/>
    <s v="Engineer"/>
    <n v="135"/>
    <n v="1"/>
    <n v="6116.8"/>
    <d v="2024-11-04T08:12:14"/>
    <n v="16"/>
    <s v="Monday"/>
    <n v="0.16515445300866199"/>
    <b v="0"/>
    <b v="0"/>
    <b v="1"/>
    <n v="0"/>
    <m/>
    <n v="0"/>
    <m/>
  </r>
  <r>
    <s v="TX000528"/>
    <s v="AC00364"/>
    <n v="143.54"/>
    <d v="2023-10-16T16:06:05"/>
    <s v="Debit"/>
    <x v="26"/>
    <s v="D000432"/>
    <s v="83.207.115.164"/>
    <s v="M096"/>
    <s v="ATM"/>
    <n v="71"/>
    <s v="Retired"/>
    <n v="80"/>
    <n v="1"/>
    <n v="6067.62"/>
    <d v="2024-11-04T08:08:22"/>
    <n v="16"/>
    <s v="Monday"/>
    <n v="-0.52767857562203901"/>
    <b v="0"/>
    <b v="0"/>
    <b v="1"/>
    <n v="0"/>
    <m/>
    <n v="0"/>
    <m/>
  </r>
  <r>
    <s v="TX000529"/>
    <s v="AC00339"/>
    <n v="42.55"/>
    <d v="2023-03-31T18:57:11"/>
    <s v="Debit"/>
    <x v="6"/>
    <s v="D000034"/>
    <s v="40.192.99.27"/>
    <s v="M013"/>
    <s v="Branch"/>
    <n v="53"/>
    <s v="Engineer"/>
    <n v="29"/>
    <n v="1"/>
    <n v="7341.43"/>
    <d v="2024-11-04T08:10:32"/>
    <n v="18"/>
    <s v="Friday"/>
    <n v="-0.87359842315956104"/>
    <b v="0"/>
    <b v="0"/>
    <b v="1"/>
    <n v="0"/>
    <m/>
    <n v="0"/>
    <m/>
  </r>
  <r>
    <s v="TX000530"/>
    <s v="AC00265"/>
    <n v="1063.25"/>
    <d v="2023-01-17T16:48:10"/>
    <s v="Credit"/>
    <x v="32"/>
    <s v="D000029"/>
    <s v="87.50.72.69"/>
    <s v="M070"/>
    <s v="Online"/>
    <n v="21"/>
    <s v="Student"/>
    <n v="128"/>
    <n v="1"/>
    <n v="1240.71"/>
    <d v="2024-11-04T08:07:39"/>
    <n v="16"/>
    <s v="Tuesday"/>
    <n v="2.6225931639436002"/>
    <b v="1"/>
    <b v="0"/>
    <b v="1"/>
    <n v="1"/>
    <m/>
    <n v="1"/>
    <m/>
  </r>
  <r>
    <s v="TX000531"/>
    <s v="AC00369"/>
    <n v="541.79"/>
    <d v="2023-08-11T16:43:45"/>
    <s v="Debit"/>
    <x v="2"/>
    <s v="D000558"/>
    <s v="93.169.212.219"/>
    <s v="M098"/>
    <s v="ATM"/>
    <n v="22"/>
    <s v="Student"/>
    <n v="125"/>
    <n v="1"/>
    <n v="1454.08"/>
    <d v="2024-11-04T08:11:29"/>
    <n v="16"/>
    <s v="Friday"/>
    <n v="0.83644241934595898"/>
    <b v="0"/>
    <b v="0"/>
    <b v="1"/>
    <n v="0"/>
    <m/>
    <n v="0"/>
    <m/>
  </r>
  <r>
    <s v="TX000532"/>
    <s v="AC00033"/>
    <n v="40.57"/>
    <d v="2023-02-13T17:02:27"/>
    <s v="Debit"/>
    <x v="15"/>
    <s v="D000380"/>
    <s v="173.252.44.183"/>
    <s v="M096"/>
    <s v="Branch"/>
    <n v="26"/>
    <s v="Student"/>
    <n v="63"/>
    <n v="1"/>
    <n v="1476.91"/>
    <d v="2024-11-04T08:06:37"/>
    <n v="17"/>
    <s v="Monday"/>
    <n v="-0.88038049364301796"/>
    <b v="0"/>
    <b v="0"/>
    <b v="1"/>
    <n v="0"/>
    <m/>
    <n v="0"/>
    <m/>
  </r>
  <r>
    <s v="TX000533"/>
    <s v="AC00077"/>
    <n v="120.24"/>
    <d v="2023-08-28T16:52:22"/>
    <s v="Debit"/>
    <x v="20"/>
    <s v="D000570"/>
    <s v="49.29.37.185"/>
    <s v="M087"/>
    <s v="Branch"/>
    <n v="18"/>
    <s v="Student"/>
    <n v="131"/>
    <n v="2"/>
    <n v="1943.13"/>
    <d v="2024-11-04T08:08:20"/>
    <n v="16"/>
    <s v="Monday"/>
    <n v="-0.60748778888695898"/>
    <b v="0"/>
    <b v="1"/>
    <b v="1"/>
    <n v="1"/>
    <m/>
    <n v="0"/>
    <m/>
  </r>
  <r>
    <s v="TX000534"/>
    <s v="AC00437"/>
    <n v="498.67"/>
    <d v="2023-12-05T16:19:23"/>
    <s v="Debit"/>
    <x v="19"/>
    <s v="D000690"/>
    <s v="89.6.100.149"/>
    <s v="M036"/>
    <s v="Online"/>
    <n v="28"/>
    <s v="Student"/>
    <n v="244"/>
    <n v="1"/>
    <n v="1719.97"/>
    <d v="2024-11-04T08:08:24"/>
    <n v="16"/>
    <s v="Tuesday"/>
    <n v="0.68874399548401299"/>
    <b v="0"/>
    <b v="0"/>
    <b v="1"/>
    <n v="0"/>
    <m/>
    <n v="0"/>
    <m/>
  </r>
  <r>
    <s v="TX000535"/>
    <s v="AC00152"/>
    <n v="227.22"/>
    <d v="2023-03-27T18:52:04"/>
    <s v="Debit"/>
    <x v="39"/>
    <s v="D000350"/>
    <s v="197.187.216.106"/>
    <s v="M074"/>
    <s v="ATM"/>
    <n v="53"/>
    <s v="Doctor"/>
    <n v="220"/>
    <n v="1"/>
    <n v="832.82"/>
    <d v="2024-11-04T08:11:56"/>
    <n v="18"/>
    <s v="Monday"/>
    <n v="-0.241050465492919"/>
    <b v="0"/>
    <b v="0"/>
    <b v="1"/>
    <n v="0"/>
    <m/>
    <n v="0"/>
    <m/>
  </r>
  <r>
    <s v="TX000536"/>
    <s v="AC00161"/>
    <n v="1182.8599999999999"/>
    <d v="2023-12-11T16:06:51"/>
    <s v="Debit"/>
    <x v="28"/>
    <s v="D000673"/>
    <s v="96.24.89.146"/>
    <s v="M050"/>
    <s v="Online"/>
    <n v="30"/>
    <s v="Engineer"/>
    <n v="34"/>
    <n v="1"/>
    <n v="7696.16"/>
    <d v="2024-11-04T08:08:58"/>
    <n v="16"/>
    <s v="Monday"/>
    <n v="3.0322918763305999"/>
    <b v="1"/>
    <b v="0"/>
    <b v="1"/>
    <n v="1"/>
    <m/>
    <n v="1"/>
    <m/>
  </r>
  <r>
    <s v="TX000537"/>
    <s v="AC00125"/>
    <n v="56.94"/>
    <d v="2023-12-11T16:52:47"/>
    <s v="Credit"/>
    <x v="27"/>
    <s v="D000542"/>
    <s v="69.82.61.135"/>
    <s v="M043"/>
    <s v="Online"/>
    <n v="76"/>
    <s v="Retired"/>
    <n v="74"/>
    <n v="1"/>
    <n v="7004.63"/>
    <d v="2024-11-04T08:07:42"/>
    <n v="16"/>
    <s v="Monday"/>
    <n v="-0.82430852707019697"/>
    <b v="0"/>
    <b v="0"/>
    <b v="1"/>
    <n v="0"/>
    <m/>
    <n v="0"/>
    <m/>
  </r>
  <r>
    <s v="TX000538"/>
    <s v="AC00311"/>
    <n v="629.82000000000005"/>
    <d v="2023-07-17T16:22:23"/>
    <s v="Debit"/>
    <x v="40"/>
    <s v="D000198"/>
    <s v="17.87.7.140"/>
    <s v="M056"/>
    <s v="ATM"/>
    <n v="68"/>
    <s v="Retired"/>
    <n v="159"/>
    <n v="1"/>
    <n v="6385.69"/>
    <d v="2024-11-04T08:11:59"/>
    <n v="16"/>
    <s v="Monday"/>
    <n v="1.1379705328099401"/>
    <b v="0"/>
    <b v="0"/>
    <b v="1"/>
    <n v="0"/>
    <m/>
    <n v="0"/>
    <m/>
  </r>
  <r>
    <s v="TX000539"/>
    <s v="AC00183"/>
    <n v="59.44"/>
    <d v="2023-06-13T17:52:56"/>
    <s v="Debit"/>
    <x v="29"/>
    <s v="D000479"/>
    <s v="64.15.0.66"/>
    <s v="M002"/>
    <s v="Online"/>
    <n v="35"/>
    <s v="Engineer"/>
    <n v="176"/>
    <n v="1"/>
    <n v="5472.03"/>
    <d v="2024-11-04T08:06:34"/>
    <n v="17"/>
    <s v="Tuesday"/>
    <n v="-0.81574530676280199"/>
    <b v="0"/>
    <b v="0"/>
    <b v="1"/>
    <n v="0"/>
    <m/>
    <n v="0"/>
    <m/>
  </r>
  <r>
    <s v="TX000540"/>
    <s v="AC00407"/>
    <n v="186.69"/>
    <d v="2023-12-29T16:38:21"/>
    <s v="Debit"/>
    <x v="22"/>
    <s v="D000546"/>
    <s v="162.151.179.167"/>
    <s v="M015"/>
    <s v="Branch"/>
    <n v="30"/>
    <s v="Engineer"/>
    <n v="54"/>
    <n v="1"/>
    <n v="8602.2199999999993"/>
    <d v="2024-11-04T08:08:12"/>
    <n v="16"/>
    <s v="Friday"/>
    <n v="-0.37987739311640401"/>
    <b v="0"/>
    <b v="0"/>
    <b v="1"/>
    <n v="0"/>
    <m/>
    <n v="0"/>
    <m/>
  </r>
  <r>
    <s v="TX000541"/>
    <s v="AC00093"/>
    <n v="230.46"/>
    <d v="2023-04-25T17:33:27"/>
    <s v="Debit"/>
    <x v="2"/>
    <s v="D000401"/>
    <s v="59.132.247.252"/>
    <s v="M003"/>
    <s v="Online"/>
    <n v="19"/>
    <s v="Student"/>
    <n v="179"/>
    <n v="1"/>
    <n v="162.53"/>
    <d v="2024-11-04T08:08:50"/>
    <n v="17"/>
    <s v="Tuesday"/>
    <n v="-0.229952531974535"/>
    <b v="0"/>
    <b v="0"/>
    <b v="1"/>
    <n v="0"/>
    <m/>
    <n v="0"/>
    <m/>
  </r>
  <r>
    <s v="TX000542"/>
    <s v="AC00314"/>
    <n v="65.09"/>
    <d v="2023-02-28T17:58:02"/>
    <s v="Credit"/>
    <x v="6"/>
    <s v="D000434"/>
    <s v="144.91.150.133"/>
    <s v="M066"/>
    <s v="Online"/>
    <n v="44"/>
    <s v="Engineer"/>
    <n v="159"/>
    <n v="1"/>
    <n v="9370.9"/>
    <d v="2024-11-04T08:09:41"/>
    <n v="17"/>
    <s v="Tuesday"/>
    <n v="-0.79639242886808903"/>
    <b v="0"/>
    <b v="0"/>
    <b v="1"/>
    <n v="0"/>
    <m/>
    <n v="0"/>
    <m/>
  </r>
  <r>
    <s v="TX000543"/>
    <s v="AC00467"/>
    <n v="457.09"/>
    <d v="2023-05-25T16:52:57"/>
    <s v="Credit"/>
    <x v="9"/>
    <s v="D000278"/>
    <s v="21.97.154.92"/>
    <s v="M033"/>
    <s v="Online"/>
    <n v="55"/>
    <s v="Engineer"/>
    <n v="63"/>
    <n v="1"/>
    <n v="8570.82"/>
    <d v="2024-11-04T08:08:45"/>
    <n v="16"/>
    <s v="Thursday"/>
    <n v="0.54632051533142201"/>
    <b v="0"/>
    <b v="0"/>
    <b v="1"/>
    <n v="0"/>
    <m/>
    <n v="0"/>
    <m/>
  </r>
  <r>
    <s v="TX000544"/>
    <s v="AC00316"/>
    <n v="552.02"/>
    <d v="2023-11-30T16:51:46"/>
    <s v="Credit"/>
    <x v="29"/>
    <s v="D000061"/>
    <s v="156.173.170.140"/>
    <s v="M048"/>
    <s v="ATM"/>
    <n v="44"/>
    <s v="Engineer"/>
    <n v="100"/>
    <n v="1"/>
    <n v="522.08000000000004"/>
    <d v="2024-11-04T08:09:25"/>
    <n v="16"/>
    <s v="Thursday"/>
    <n v="0.87148311684381896"/>
    <b v="0"/>
    <b v="0"/>
    <b v="1"/>
    <n v="0"/>
    <m/>
    <n v="0"/>
    <m/>
  </r>
  <r>
    <s v="TX000545"/>
    <s v="AC00145"/>
    <n v="377.12"/>
    <d v="2023-08-14T17:12:27"/>
    <s v="Debit"/>
    <x v="1"/>
    <s v="D000321"/>
    <s v="112.56.160.202"/>
    <s v="M049"/>
    <s v="ATM"/>
    <n v="34"/>
    <s v="Engineer"/>
    <n v="61"/>
    <n v="1"/>
    <n v="836.67"/>
    <d v="2024-11-04T08:11:40"/>
    <n v="17"/>
    <s v="Monday"/>
    <n v="0.27240022413847498"/>
    <b v="0"/>
    <b v="0"/>
    <b v="1"/>
    <n v="0"/>
    <m/>
    <n v="0"/>
    <m/>
  </r>
  <r>
    <s v="TX000546"/>
    <s v="AC00045"/>
    <n v="204.56"/>
    <d v="2023-09-11T17:51:17"/>
    <s v="Credit"/>
    <x v="0"/>
    <s v="D000094"/>
    <s v="44.197.126.59"/>
    <s v="M013"/>
    <s v="Branch"/>
    <n v="18"/>
    <s v="Student"/>
    <n v="179"/>
    <n v="1"/>
    <n v="364.72"/>
    <d v="2024-11-04T08:10:26"/>
    <n v="17"/>
    <s v="Monday"/>
    <n v="-0.31866749435914599"/>
    <b v="0"/>
    <b v="0"/>
    <b v="1"/>
    <n v="0"/>
    <m/>
    <n v="0"/>
    <m/>
  </r>
  <r>
    <s v="TX000547"/>
    <s v="AC00005"/>
    <n v="420.28"/>
    <d v="2023-05-17T17:28:25"/>
    <s v="Debit"/>
    <x v="38"/>
    <s v="D000677"/>
    <s v="110.150.1.201"/>
    <s v="M002"/>
    <s v="Branch"/>
    <n v="35"/>
    <s v="Doctor"/>
    <n v="144"/>
    <n v="1"/>
    <n v="8557.32"/>
    <d v="2024-11-04T08:09:01"/>
    <n v="17"/>
    <s v="Wednesday"/>
    <n v="0.42023565952533998"/>
    <b v="0"/>
    <b v="0"/>
    <b v="1"/>
    <n v="0"/>
    <m/>
    <n v="0"/>
    <m/>
  </r>
  <r>
    <s v="TX000548"/>
    <s v="AC00456"/>
    <n v="97.09"/>
    <d v="2023-04-10T18:26:56"/>
    <s v="Debit"/>
    <x v="18"/>
    <s v="D000164"/>
    <s v="221.206.44.63"/>
    <s v="M052"/>
    <s v="ATM"/>
    <n v="24"/>
    <s v="Student"/>
    <n v="202"/>
    <n v="4"/>
    <n v="1579.57"/>
    <d v="2024-11-04T08:06:33"/>
    <n v="18"/>
    <s v="Monday"/>
    <n v="-0.68678320893343503"/>
    <b v="0"/>
    <b v="1"/>
    <b v="1"/>
    <n v="1"/>
    <m/>
    <n v="0"/>
    <m/>
  </r>
  <r>
    <s v="TX000549"/>
    <s v="AC00041"/>
    <n v="124.59"/>
    <d v="2023-05-05T17:32:18"/>
    <s v="Debit"/>
    <x v="27"/>
    <s v="D000037"/>
    <s v="85.239.236.80"/>
    <s v="M025"/>
    <s v="Branch"/>
    <n v="27"/>
    <s v="Student"/>
    <n v="171"/>
    <n v="1"/>
    <n v="129.29"/>
    <d v="2024-11-04T08:09:21"/>
    <n v="17"/>
    <s v="Friday"/>
    <n v="-0.59258778555209202"/>
    <b v="0"/>
    <b v="0"/>
    <b v="1"/>
    <n v="0"/>
    <m/>
    <n v="0"/>
    <m/>
  </r>
  <r>
    <s v="TX000550"/>
    <s v="AC00257"/>
    <n v="73.88"/>
    <d v="2023-01-02T16:27:18"/>
    <s v="Debit"/>
    <x v="27"/>
    <s v="D000611"/>
    <s v="142.148.226.178"/>
    <s v="M015"/>
    <s v="Online"/>
    <n v="39"/>
    <s v="Doctor"/>
    <n v="34"/>
    <n v="1"/>
    <n v="6474.41"/>
    <d v="2024-11-04T08:09:09"/>
    <n v="16"/>
    <s v="Monday"/>
    <n v="-0.76628414626728902"/>
    <b v="0"/>
    <b v="0"/>
    <b v="1"/>
    <n v="0"/>
    <m/>
    <n v="0"/>
    <m/>
  </r>
  <r>
    <s v="TX000551"/>
    <s v="AC00356"/>
    <n v="77.430000000000007"/>
    <d v="2023-01-19T16:11:12"/>
    <s v="Debit"/>
    <x v="3"/>
    <s v="D000403"/>
    <s v="100.137.90.188"/>
    <s v="M047"/>
    <s v="Online"/>
    <n v="21"/>
    <s v="Student"/>
    <n v="169"/>
    <n v="1"/>
    <n v="1380.21"/>
    <d v="2024-11-04T08:06:33"/>
    <n v="16"/>
    <s v="Thursday"/>
    <n v="-0.75412437343078897"/>
    <b v="0"/>
    <b v="0"/>
    <b v="1"/>
    <n v="0"/>
    <m/>
    <n v="0"/>
    <m/>
  </r>
  <r>
    <s v="TX000552"/>
    <s v="AC00465"/>
    <n v="106.16"/>
    <d v="2023-04-14T17:21:48"/>
    <s v="Debit"/>
    <x v="37"/>
    <s v="D000673"/>
    <s v="48.89.167.189"/>
    <s v="M098"/>
    <s v="ATM"/>
    <n v="56"/>
    <s v="Doctor"/>
    <n v="277"/>
    <n v="4"/>
    <n v="7487.79"/>
    <d v="2024-11-04T08:08:51"/>
    <n v="17"/>
    <s v="Friday"/>
    <n v="-0.65571584565820695"/>
    <b v="0"/>
    <b v="1"/>
    <b v="1"/>
    <n v="1"/>
    <m/>
    <n v="0"/>
    <m/>
  </r>
  <r>
    <s v="TX000553"/>
    <s v="AC00158"/>
    <n v="245.93"/>
    <d v="2023-06-06T18:53:35"/>
    <s v="Debit"/>
    <x v="41"/>
    <s v="D000096"/>
    <s v="219.98.242.240"/>
    <s v="M054"/>
    <s v="Branch"/>
    <n v="54"/>
    <s v="Engineer"/>
    <n v="172"/>
    <n v="1"/>
    <n v="7986.63"/>
    <d v="2024-11-04T08:11:58"/>
    <n v="18"/>
    <s v="Tuesday"/>
    <n v="-0.176963324712376"/>
    <b v="0"/>
    <b v="0"/>
    <b v="1"/>
    <n v="0"/>
    <m/>
    <n v="0"/>
    <m/>
  </r>
  <r>
    <s v="TX000554"/>
    <s v="AC00086"/>
    <n v="622.41"/>
    <d v="2023-12-11T16:57:41"/>
    <s v="Debit"/>
    <x v="7"/>
    <s v="D000680"/>
    <s v="134.222.122.238"/>
    <s v="M100"/>
    <s v="ATM"/>
    <n v="64"/>
    <s v="Doctor"/>
    <n v="125"/>
    <n v="1"/>
    <n v="7322.01"/>
    <d v="2024-11-04T08:07:48"/>
    <n v="16"/>
    <s v="Monday"/>
    <n v="1.1125891478188199"/>
    <b v="0"/>
    <b v="0"/>
    <b v="1"/>
    <n v="0"/>
    <m/>
    <n v="0"/>
    <m/>
  </r>
  <r>
    <s v="TX000555"/>
    <s v="AC00322"/>
    <n v="43.73"/>
    <d v="2023-04-03T16:43:29"/>
    <s v="Debit"/>
    <x v="32"/>
    <s v="D000631"/>
    <s v="194.88.79.54"/>
    <s v="M011"/>
    <s v="ATM"/>
    <n v="34"/>
    <s v="Doctor"/>
    <n v="145"/>
    <n v="1"/>
    <n v="9929.43"/>
    <d v="2024-11-04T08:10:33"/>
    <n v="16"/>
    <s v="Monday"/>
    <n v="-0.86955658317447104"/>
    <b v="0"/>
    <b v="0"/>
    <b v="1"/>
    <n v="0"/>
    <m/>
    <n v="0"/>
    <m/>
  </r>
  <r>
    <s v="TX000556"/>
    <s v="AC00433"/>
    <n v="1282.8599999999999"/>
    <d v="2023-05-15T16:52:40"/>
    <s v="Debit"/>
    <x v="14"/>
    <s v="D000388"/>
    <s v="62.251.170.72"/>
    <s v="M070"/>
    <s v="Branch"/>
    <n v="19"/>
    <s v="Student"/>
    <n v="68"/>
    <n v="1"/>
    <n v="1830.98"/>
    <d v="2024-11-04T08:07:32"/>
    <n v="16"/>
    <s v="Monday"/>
    <n v="3.3748206886263898"/>
    <b v="1"/>
    <b v="0"/>
    <b v="1"/>
    <n v="1"/>
    <m/>
    <n v="1"/>
    <m/>
  </r>
  <r>
    <s v="TX000557"/>
    <s v="AC00083"/>
    <n v="2.0299999999999998"/>
    <d v="2024-01-01T16:07:05"/>
    <s v="Credit"/>
    <x v="8"/>
    <s v="D000271"/>
    <s v="112.86.148.212"/>
    <s v="M012"/>
    <s v="ATM"/>
    <n v="33"/>
    <s v="Engineer"/>
    <n v="28"/>
    <n v="1"/>
    <n v="3012.31"/>
    <d v="2024-11-04T08:08:50"/>
    <n v="16"/>
    <s v="Monday"/>
    <n v="-1.01239109790181"/>
    <b v="0"/>
    <b v="0"/>
    <b v="1"/>
    <n v="0"/>
    <m/>
    <n v="0"/>
    <m/>
  </r>
  <r>
    <s v="TX000558"/>
    <s v="AC00402"/>
    <n v="770.65"/>
    <d v="2023-07-05T17:49:26"/>
    <s v="Debit"/>
    <x v="36"/>
    <s v="D000119"/>
    <s v="161.161.26.115"/>
    <s v="M016"/>
    <s v="Online"/>
    <n v="31"/>
    <s v="Doctor"/>
    <n v="137"/>
    <n v="1"/>
    <n v="7198.8"/>
    <d v="2024-11-04T08:09:01"/>
    <n v="17"/>
    <s v="Wednesday"/>
    <n v="1.62035385916611"/>
    <b v="0"/>
    <b v="0"/>
    <b v="1"/>
    <n v="0"/>
    <m/>
    <n v="0"/>
    <m/>
  </r>
  <r>
    <s v="TX000559"/>
    <s v="AC00317"/>
    <n v="260.31"/>
    <d v="2023-02-28T16:46:55"/>
    <s v="Debit"/>
    <x v="14"/>
    <s v="D000404"/>
    <s v="195.226.203.234"/>
    <s v="M065"/>
    <s v="Branch"/>
    <n v="63"/>
    <s v="Doctor"/>
    <n v="113"/>
    <n v="1"/>
    <n v="10980.38"/>
    <d v="2024-11-04T08:12:03"/>
    <n v="16"/>
    <s v="Tuesday"/>
    <n v="-0.127707681504241"/>
    <b v="0"/>
    <b v="0"/>
    <b v="1"/>
    <n v="0"/>
    <m/>
    <n v="0"/>
    <m/>
  </r>
  <r>
    <s v="TX000560"/>
    <s v="AC00030"/>
    <n v="356.1"/>
    <d v="2023-10-25T16:13:39"/>
    <s v="Credit"/>
    <x v="18"/>
    <s v="D000441"/>
    <s v="167.164.55.0"/>
    <s v="M043"/>
    <s v="Branch"/>
    <n v="26"/>
    <s v="Student"/>
    <n v="187"/>
    <n v="1"/>
    <n v="868.35"/>
    <d v="2024-11-04T08:11:02"/>
    <n v="16"/>
    <s v="Wednesday"/>
    <n v="0.20040066779389901"/>
    <b v="0"/>
    <b v="0"/>
    <b v="1"/>
    <n v="0"/>
    <m/>
    <n v="0"/>
    <m/>
  </r>
  <r>
    <s v="TX000561"/>
    <s v="AC00114"/>
    <n v="27.07"/>
    <d v="2023-03-06T17:39:01"/>
    <s v="Credit"/>
    <x v="33"/>
    <s v="D000046"/>
    <s v="52.169.116.164"/>
    <s v="M004"/>
    <s v="Branch"/>
    <n v="80"/>
    <s v="Retired"/>
    <n v="39"/>
    <n v="1"/>
    <n v="3773.29"/>
    <d v="2024-11-04T08:09:57"/>
    <n v="17"/>
    <s v="Monday"/>
    <n v="-0.92662188330295003"/>
    <b v="0"/>
    <b v="0"/>
    <b v="1"/>
    <n v="0"/>
    <m/>
    <n v="0"/>
    <m/>
  </r>
  <r>
    <s v="TX000562"/>
    <s v="AC00301"/>
    <n v="119.89"/>
    <d v="2023-12-19T17:11:31"/>
    <s v="Debit"/>
    <x v="28"/>
    <s v="D000013"/>
    <s v="166.79.195.157"/>
    <s v="M004"/>
    <s v="ATM"/>
    <n v="67"/>
    <s v="Doctor"/>
    <n v="60"/>
    <n v="1"/>
    <n v="6697.77"/>
    <d v="2024-11-04T08:09:02"/>
    <n v="17"/>
    <s v="Tuesday"/>
    <n v="-0.60868663972999404"/>
    <b v="0"/>
    <b v="0"/>
    <b v="1"/>
    <n v="0"/>
    <m/>
    <n v="0"/>
    <m/>
  </r>
  <r>
    <s v="TX000563"/>
    <s v="AC00216"/>
    <n v="106.39"/>
    <d v="2023-02-13T18:42:09"/>
    <s v="Debit"/>
    <x v="33"/>
    <s v="D000485"/>
    <s v="211.42.9.0"/>
    <s v="M003"/>
    <s v="Online"/>
    <n v="37"/>
    <s v="Doctor"/>
    <n v="281"/>
    <n v="1"/>
    <n v="9410.99"/>
    <d v="2024-11-04T08:10:32"/>
    <n v="18"/>
    <s v="Monday"/>
    <n v="-0.654928029389927"/>
    <b v="0"/>
    <b v="0"/>
    <b v="1"/>
    <n v="0"/>
    <m/>
    <n v="0"/>
    <m/>
  </r>
  <r>
    <s v="TX000564"/>
    <s v="AC00223"/>
    <n v="12.04"/>
    <d v="2023-11-15T16:08:52"/>
    <s v="Debit"/>
    <x v="18"/>
    <s v="D000535"/>
    <s v="31.127.129.152"/>
    <s v="M053"/>
    <s v="Online"/>
    <n v="37"/>
    <s v="Engineer"/>
    <n v="58"/>
    <n v="1"/>
    <n v="6213.32"/>
    <d v="2024-11-04T08:08:25"/>
    <n v="16"/>
    <s v="Wednesday"/>
    <n v="-0.97810396379100795"/>
    <b v="0"/>
    <b v="0"/>
    <b v="1"/>
    <n v="0"/>
    <m/>
    <n v="0"/>
    <m/>
  </r>
  <r>
    <s v="TX000565"/>
    <s v="AC00413"/>
    <n v="365.7"/>
    <d v="2023-01-27T16:35:40"/>
    <s v="Debit"/>
    <x v="1"/>
    <s v="D000051"/>
    <s v="81.248.235.147"/>
    <s v="M045"/>
    <s v="Branch"/>
    <n v="21"/>
    <s v="Student"/>
    <n v="115"/>
    <n v="2"/>
    <n v="368.78"/>
    <d v="2024-11-04T08:10:17"/>
    <n v="16"/>
    <s v="Friday"/>
    <n v="0.233283433774296"/>
    <b v="0"/>
    <b v="1"/>
    <b v="1"/>
    <n v="1"/>
    <m/>
    <n v="0"/>
    <m/>
  </r>
  <r>
    <s v="TX000566"/>
    <s v="AC00086"/>
    <n v="29.38"/>
    <d v="2023-02-15T16:30:09"/>
    <s v="Credit"/>
    <x v="21"/>
    <s v="D000053"/>
    <s v="139.23.212.102"/>
    <s v="M064"/>
    <s v="Branch"/>
    <n v="28"/>
    <s v="Student"/>
    <n v="63"/>
    <n v="1"/>
    <n v="1663.31"/>
    <d v="2024-11-04T08:11:08"/>
    <n v="16"/>
    <s v="Wednesday"/>
    <n v="-0.91870946773891804"/>
    <b v="0"/>
    <b v="0"/>
    <b v="1"/>
    <n v="0"/>
    <m/>
    <n v="0"/>
    <m/>
  </r>
  <r>
    <s v="TX000567"/>
    <s v="AC00216"/>
    <n v="319.85000000000002"/>
    <d v="2023-07-26T16:44:22"/>
    <s v="Debit"/>
    <x v="13"/>
    <s v="D000589"/>
    <s v="219.31.152.129"/>
    <s v="M083"/>
    <s v="ATM"/>
    <n v="60"/>
    <s v="Doctor"/>
    <n v="148"/>
    <n v="1"/>
    <n v="711.66"/>
    <d v="2024-11-04T08:07:45"/>
    <n v="16"/>
    <s v="Wednesday"/>
    <n v="7.6233973336674601E-2"/>
    <b v="0"/>
    <b v="0"/>
    <b v="1"/>
    <n v="0"/>
    <m/>
    <n v="0"/>
    <m/>
  </r>
  <r>
    <s v="TX000568"/>
    <s v="AC00240"/>
    <n v="350.14"/>
    <d v="2023-03-24T18:50:42"/>
    <s v="Credit"/>
    <x v="16"/>
    <s v="D000182"/>
    <s v="161.168.126.136"/>
    <s v="M048"/>
    <s v="Online"/>
    <n v="75"/>
    <s v="Retired"/>
    <n v="38"/>
    <n v="1"/>
    <n v="2403.25"/>
    <d v="2024-11-04T08:08:40"/>
    <n v="18"/>
    <s v="Friday"/>
    <n v="0.17998595058107"/>
    <b v="0"/>
    <b v="0"/>
    <b v="1"/>
    <n v="0"/>
    <m/>
    <n v="0"/>
    <m/>
  </r>
  <r>
    <s v="TX000569"/>
    <s v="AC00298"/>
    <n v="163.94"/>
    <d v="2023-08-03T18:49:37"/>
    <s v="Credit"/>
    <x v="33"/>
    <s v="D000352"/>
    <s v="154.48.233.165"/>
    <s v="M041"/>
    <s v="Branch"/>
    <n v="52"/>
    <s v="Retired"/>
    <n v="73"/>
    <n v="1"/>
    <n v="5957.37"/>
    <d v="2024-11-04T08:09:51"/>
    <n v="18"/>
    <s v="Thursday"/>
    <n v="-0.45780269791369699"/>
    <b v="0"/>
    <b v="0"/>
    <b v="1"/>
    <n v="0"/>
    <m/>
    <n v="0"/>
    <m/>
  </r>
  <r>
    <s v="TX000570"/>
    <s v="AC00460"/>
    <n v="170.53"/>
    <d v="2023-02-06T18:59:44"/>
    <s v="Debit"/>
    <x v="5"/>
    <s v="D000140"/>
    <s v="158.135.64.240"/>
    <s v="M089"/>
    <s v="Branch"/>
    <n v="24"/>
    <s v="Student"/>
    <n v="58"/>
    <n v="1"/>
    <n v="801.01"/>
    <d v="2024-11-04T08:09:49"/>
    <n v="18"/>
    <s v="Monday"/>
    <n v="-0.43523004918340402"/>
    <b v="0"/>
    <b v="0"/>
    <b v="1"/>
    <n v="0"/>
    <m/>
    <n v="0"/>
    <m/>
  </r>
  <r>
    <s v="TX000571"/>
    <s v="AC00424"/>
    <n v="262.22000000000003"/>
    <d v="2023-07-13T17:48:24"/>
    <s v="Credit"/>
    <x v="21"/>
    <s v="D000006"/>
    <s v="177.116.108.246"/>
    <s v="M080"/>
    <s v="ATM"/>
    <n v="40"/>
    <s v="Engineer"/>
    <n v="136"/>
    <n v="1"/>
    <n v="5711.71"/>
    <d v="2024-11-04T08:12:12"/>
    <n v="17"/>
    <s v="Thursday"/>
    <n v="-0.12116538118939101"/>
    <b v="0"/>
    <b v="0"/>
    <b v="1"/>
    <n v="0"/>
    <m/>
    <n v="0"/>
    <m/>
  </r>
  <r>
    <s v="TX000572"/>
    <s v="AC00434"/>
    <n v="41.49"/>
    <d v="2023-04-24T16:47:20"/>
    <s v="Debit"/>
    <x v="10"/>
    <s v="D000422"/>
    <s v="32.71.250.58"/>
    <s v="M027"/>
    <s v="Online"/>
    <n v="24"/>
    <s v="Student"/>
    <n v="13"/>
    <n v="1"/>
    <n v="928.33"/>
    <d v="2024-11-04T08:12:03"/>
    <n v="16"/>
    <s v="Monday"/>
    <n v="-0.87722922856989705"/>
    <b v="0"/>
    <b v="0"/>
    <b v="1"/>
    <n v="0"/>
    <m/>
    <n v="0"/>
    <m/>
  </r>
  <r>
    <s v="TX000573"/>
    <s v="AC00471"/>
    <n v="121.43"/>
    <d v="2023-03-21T16:20:33"/>
    <s v="Credit"/>
    <x v="30"/>
    <s v="D000244"/>
    <s v="171.101.134.74"/>
    <s v="M062"/>
    <s v="Branch"/>
    <n v="52"/>
    <s v="Engineer"/>
    <n v="243"/>
    <n v="1"/>
    <n v="7365.28"/>
    <d v="2024-11-04T08:07:28"/>
    <n v="16"/>
    <s v="Tuesday"/>
    <n v="-0.60341169602063904"/>
    <b v="0"/>
    <b v="0"/>
    <b v="1"/>
    <n v="0"/>
    <m/>
    <n v="0"/>
    <m/>
  </r>
  <r>
    <s v="TX000574"/>
    <s v="AC00461"/>
    <n v="350.46"/>
    <d v="2023-12-08T16:16:02"/>
    <s v="Debit"/>
    <x v="9"/>
    <s v="D000079"/>
    <s v="152.234.65.155"/>
    <s v="M023"/>
    <s v="Branch"/>
    <n v="51"/>
    <s v="Retired"/>
    <n v="165"/>
    <n v="1"/>
    <n v="5839.38"/>
    <d v="2024-11-04T08:06:32"/>
    <n v="16"/>
    <s v="Friday"/>
    <n v="0.18108204278041701"/>
    <b v="0"/>
    <b v="0"/>
    <b v="1"/>
    <n v="0"/>
    <m/>
    <n v="0"/>
    <m/>
  </r>
  <r>
    <s v="TX000575"/>
    <s v="AC00188"/>
    <n v="220.41"/>
    <d v="2023-09-04T16:42:49"/>
    <s v="Credit"/>
    <x v="39"/>
    <s v="D000574"/>
    <s v="133.223.159.151"/>
    <s v="M059"/>
    <s v="Online"/>
    <n v="26"/>
    <s v="Engineer"/>
    <n v="155"/>
    <n v="1"/>
    <n v="5116.9799999999996"/>
    <d v="2024-11-04T08:10:04"/>
    <n v="16"/>
    <s v="Monday"/>
    <n v="-0.26437667761026201"/>
    <b v="0"/>
    <b v="0"/>
    <b v="1"/>
    <n v="0"/>
    <m/>
    <n v="0"/>
    <m/>
  </r>
  <r>
    <s v="TX000576"/>
    <s v="AC00013"/>
    <n v="33.46"/>
    <d v="2023-02-20T16:52:03"/>
    <s v="Debit"/>
    <x v="6"/>
    <s v="D000617"/>
    <s v="189.248.139.91"/>
    <s v="M003"/>
    <s v="ATM"/>
    <n v="72"/>
    <s v="Retired"/>
    <n v="111"/>
    <n v="1"/>
    <n v="3641.07"/>
    <d v="2024-11-04T08:09:12"/>
    <n v="16"/>
    <s v="Monday"/>
    <n v="-0.90473429219724899"/>
    <b v="0"/>
    <b v="0"/>
    <b v="1"/>
    <n v="0"/>
    <m/>
    <n v="0"/>
    <m/>
  </r>
  <r>
    <s v="TX000577"/>
    <s v="AC00345"/>
    <n v="104.79"/>
    <d v="2023-08-07T16:06:32"/>
    <s v="Debit"/>
    <x v="13"/>
    <s v="D000531"/>
    <s v="80.247.6.83"/>
    <s v="M039"/>
    <s v="ATM"/>
    <n v="70"/>
    <s v="Doctor"/>
    <n v="223"/>
    <n v="1"/>
    <n v="1352.19"/>
    <d v="2024-11-04T08:10:07"/>
    <n v="16"/>
    <s v="Monday"/>
    <n v="-0.66040849038665905"/>
    <b v="0"/>
    <b v="0"/>
    <b v="1"/>
    <n v="0"/>
    <m/>
    <n v="0"/>
    <m/>
  </r>
  <r>
    <s v="TX000578"/>
    <s v="AC00013"/>
    <n v="246.27"/>
    <d v="2023-12-27T16:48:30"/>
    <s v="Debit"/>
    <x v="41"/>
    <s v="D000102"/>
    <s v="144.91.150.133"/>
    <s v="M058"/>
    <s v="Online"/>
    <n v="29"/>
    <s v="Doctor"/>
    <n v="141"/>
    <n v="1"/>
    <n v="7299.86"/>
    <d v="2024-11-04T08:10:57"/>
    <n v="16"/>
    <s v="Wednesday"/>
    <n v="-0.17579872675057001"/>
    <b v="0"/>
    <b v="0"/>
    <b v="1"/>
    <n v="0"/>
    <m/>
    <n v="0"/>
    <m/>
  </r>
  <r>
    <s v="TX000579"/>
    <s v="AC00296"/>
    <n v="48.85"/>
    <d v="2023-12-08T16:45:12"/>
    <s v="Debit"/>
    <x v="34"/>
    <s v="D000645"/>
    <s v="68.254.244.208"/>
    <s v="M049"/>
    <s v="ATM"/>
    <n v="19"/>
    <s v="Student"/>
    <n v="176"/>
    <n v="1"/>
    <n v="1503.56"/>
    <d v="2024-11-04T08:07:15"/>
    <n v="16"/>
    <s v="Friday"/>
    <n v="-0.85201910798492697"/>
    <b v="0"/>
    <b v="0"/>
    <b v="1"/>
    <n v="0"/>
    <m/>
    <n v="0"/>
    <m/>
  </r>
  <r>
    <s v="TX000580"/>
    <s v="AC00192"/>
    <n v="332"/>
    <d v="2023-04-27T16:27:41"/>
    <s v="Debit"/>
    <x v="27"/>
    <s v="D000101"/>
    <s v="197.23.128.119"/>
    <s v="M038"/>
    <s v="ATM"/>
    <n v="69"/>
    <s v="Retired"/>
    <n v="17"/>
    <n v="1"/>
    <n v="5943.13"/>
    <d v="2024-11-04T08:07:03"/>
    <n v="16"/>
    <s v="Thursday"/>
    <n v="0.117851224030613"/>
    <b v="0"/>
    <b v="0"/>
    <b v="1"/>
    <n v="0"/>
    <m/>
    <n v="0"/>
    <m/>
  </r>
  <r>
    <s v="TX000581"/>
    <s v="AC00378"/>
    <n v="118.1"/>
    <d v="2023-10-31T16:49:13"/>
    <s v="Debit"/>
    <x v="11"/>
    <s v="D000023"/>
    <s v="110.243.14.36"/>
    <s v="M071"/>
    <s v="Online"/>
    <n v="54"/>
    <s v="Engineer"/>
    <n v="167"/>
    <n v="1"/>
    <n v="895.66"/>
    <d v="2024-11-04T08:09:14"/>
    <n v="16"/>
    <s v="Tuesday"/>
    <n v="-0.61481790547008897"/>
    <b v="0"/>
    <b v="0"/>
    <b v="1"/>
    <n v="0"/>
    <m/>
    <n v="0"/>
    <m/>
  </r>
  <r>
    <s v="TX000582"/>
    <s v="AC00205"/>
    <n v="84.59"/>
    <d v="2023-04-19T16:54:46"/>
    <s v="Credit"/>
    <x v="17"/>
    <s v="D000560"/>
    <s v="152.140.239.181"/>
    <s v="M004"/>
    <s v="Branch"/>
    <n v="67"/>
    <s v="Doctor"/>
    <n v="10"/>
    <n v="1"/>
    <n v="5669.1"/>
    <d v="2024-11-04T08:07:12"/>
    <n v="16"/>
    <s v="Wednesday"/>
    <n v="-0.72959931047041005"/>
    <b v="0"/>
    <b v="0"/>
    <b v="1"/>
    <n v="0"/>
    <m/>
    <n v="0"/>
    <m/>
  </r>
  <r>
    <s v="TX000583"/>
    <s v="AC00475"/>
    <n v="295.64"/>
    <d v="2023-12-14T17:31:18"/>
    <s v="Debit"/>
    <x v="36"/>
    <s v="D000225"/>
    <s v="170.225.23.251"/>
    <s v="M021"/>
    <s v="Online"/>
    <n v="21"/>
    <s v="Student"/>
    <n v="82"/>
    <n v="1"/>
    <n v="1061.96"/>
    <d v="2024-11-04T08:10:41"/>
    <n v="17"/>
    <s v="Thursday"/>
    <n v="-6.6922521201371399E-3"/>
    <b v="0"/>
    <b v="0"/>
    <b v="1"/>
    <n v="0"/>
    <m/>
    <n v="0"/>
    <m/>
  </r>
  <r>
    <s v="TX000584"/>
    <s v="AC00022"/>
    <n v="514.33000000000004"/>
    <d v="2023-06-02T16:27:08"/>
    <s v="Debit"/>
    <x v="26"/>
    <s v="D000478"/>
    <s v="218.54.207.160"/>
    <s v="M017"/>
    <s v="Branch"/>
    <n v="25"/>
    <s v="Student"/>
    <n v="160"/>
    <n v="1"/>
    <n v="1592.94"/>
    <d v="2024-11-04T08:12:17"/>
    <n v="16"/>
    <s v="Friday"/>
    <n v="0.74238400748953404"/>
    <b v="0"/>
    <b v="0"/>
    <b v="1"/>
    <n v="0"/>
    <m/>
    <n v="0"/>
    <m/>
  </r>
  <r>
    <s v="TX000585"/>
    <s v="AC00150"/>
    <n v="992.17"/>
    <d v="2023-02-27T18:23:11"/>
    <s v="Debit"/>
    <x v="25"/>
    <s v="D000205"/>
    <s v="90.111.245.138"/>
    <s v="M007"/>
    <s v="ATM"/>
    <n v="43"/>
    <s v="Doctor"/>
    <n v="169"/>
    <n v="1"/>
    <n v="6215.96"/>
    <d v="2024-11-04T08:12:19"/>
    <n v="18"/>
    <s v="Monday"/>
    <n v="2.37912368416375"/>
    <b v="1"/>
    <b v="0"/>
    <b v="1"/>
    <n v="1"/>
    <m/>
    <n v="1"/>
    <m/>
  </r>
  <r>
    <s v="TX000586"/>
    <s v="AC00362"/>
    <n v="94.59"/>
    <d v="2023-12-01T17:04:00"/>
    <s v="Debit"/>
    <x v="38"/>
    <s v="D000270"/>
    <s v="47.82.77.181"/>
    <s v="M085"/>
    <s v="Online"/>
    <n v="39"/>
    <s v="Doctor"/>
    <n v="34"/>
    <n v="1"/>
    <n v="6171.89"/>
    <d v="2024-11-04T08:10:37"/>
    <n v="17"/>
    <s v="Friday"/>
    <n v="-0.69534642924083001"/>
    <b v="0"/>
    <b v="0"/>
    <b v="1"/>
    <n v="0"/>
    <m/>
    <n v="0"/>
    <m/>
  </r>
  <r>
    <s v="TX000587"/>
    <s v="AC00170"/>
    <n v="80.430000000000007"/>
    <d v="2023-01-04T16:09:43"/>
    <s v="Debit"/>
    <x v="15"/>
    <s v="D000483"/>
    <s v="157.47.114.20"/>
    <s v="M014"/>
    <s v="Branch"/>
    <n v="59"/>
    <s v="Retired"/>
    <n v="157"/>
    <n v="1"/>
    <n v="5987.67"/>
    <d v="2024-11-04T08:08:18"/>
    <n v="16"/>
    <s v="Wednesday"/>
    <n v="-0.74384850906191502"/>
    <b v="0"/>
    <b v="0"/>
    <b v="1"/>
    <n v="0"/>
    <m/>
    <n v="0"/>
    <m/>
  </r>
  <r>
    <s v="TX000588"/>
    <s v="AC00429"/>
    <n v="54.25"/>
    <d v="2023-07-31T16:51:50"/>
    <s v="Debit"/>
    <x v="33"/>
    <s v="D000353"/>
    <s v="51.250.122.123"/>
    <s v="M042"/>
    <s v="Online"/>
    <n v="68"/>
    <s v="Doctor"/>
    <n v="37"/>
    <n v="1"/>
    <n v="14783.33"/>
    <d v="2024-11-04T08:08:53"/>
    <n v="16"/>
    <s v="Monday"/>
    <n v="-0.83352255212095405"/>
    <b v="0"/>
    <b v="0"/>
    <b v="1"/>
    <n v="0"/>
    <m/>
    <n v="0"/>
    <m/>
  </r>
  <r>
    <s v="TX000589"/>
    <s v="AC00418"/>
    <n v="178.88"/>
    <d v="2023-06-19T17:31:08"/>
    <s v="Credit"/>
    <x v="34"/>
    <s v="D000101"/>
    <s v="38.210.156.148"/>
    <s v="M026"/>
    <s v="Branch"/>
    <n v="76"/>
    <s v="Retired"/>
    <n v="93"/>
    <n v="4"/>
    <n v="4708.29"/>
    <d v="2024-11-04T08:12:10"/>
    <n v="17"/>
    <s v="Monday"/>
    <n v="-0.40662889335670599"/>
    <b v="0"/>
    <b v="1"/>
    <b v="1"/>
    <n v="1"/>
    <m/>
    <n v="0"/>
    <m/>
  </r>
  <r>
    <s v="TX000590"/>
    <s v="AC00144"/>
    <n v="518.85"/>
    <d v="2023-10-23T18:37:47"/>
    <s v="Debit"/>
    <x v="31"/>
    <s v="D000100"/>
    <s v="73.54.203.165"/>
    <s v="M038"/>
    <s v="Online"/>
    <n v="22"/>
    <s v="Student"/>
    <n v="82"/>
    <n v="1"/>
    <n v="1806"/>
    <d v="2024-11-04T08:06:37"/>
    <n v="18"/>
    <s v="Monday"/>
    <n v="0.75786630980530401"/>
    <b v="0"/>
    <b v="0"/>
    <b v="1"/>
    <n v="0"/>
    <m/>
    <n v="0"/>
    <m/>
  </r>
  <r>
    <s v="TX000591"/>
    <s v="AC00449"/>
    <n v="10.65"/>
    <d v="2023-04-24T16:24:49"/>
    <s v="Debit"/>
    <x v="12"/>
    <s v="D000484"/>
    <s v="38.166.40.246"/>
    <s v="M081"/>
    <s v="Online"/>
    <n v="54"/>
    <s v="Doctor"/>
    <n v="161"/>
    <n v="1"/>
    <n v="13240.72"/>
    <d v="2024-11-04T08:10:21"/>
    <n v="16"/>
    <s v="Monday"/>
    <n v="-0.98286511428192003"/>
    <b v="0"/>
    <b v="0"/>
    <b v="1"/>
    <n v="0"/>
    <m/>
    <n v="0"/>
    <m/>
  </r>
  <r>
    <s v="TX000592"/>
    <s v="AC00057"/>
    <n v="198.62"/>
    <d v="2023-05-15T16:19:14"/>
    <s v="Credit"/>
    <x v="28"/>
    <s v="D000378"/>
    <s v="97.4.209.133"/>
    <s v="M079"/>
    <s v="Branch"/>
    <n v="27"/>
    <s v="Student"/>
    <n v="84"/>
    <n v="1"/>
    <n v="1196.07"/>
    <d v="2024-11-04T08:06:38"/>
    <n v="16"/>
    <s v="Monday"/>
    <n v="-0.33901370580951601"/>
    <b v="0"/>
    <b v="0"/>
    <b v="1"/>
    <n v="0"/>
    <m/>
    <n v="0"/>
    <m/>
  </r>
  <r>
    <s v="TX000593"/>
    <s v="AC00426"/>
    <n v="107.03"/>
    <d v="2023-03-06T18:27:13"/>
    <s v="Debit"/>
    <x v="19"/>
    <s v="D000628"/>
    <s v="221.23.158.87"/>
    <s v="M038"/>
    <s v="Branch"/>
    <n v="27"/>
    <s v="Student"/>
    <n v="73"/>
    <n v="1"/>
    <n v="1408.07"/>
    <d v="2024-11-04T08:12:13"/>
    <n v="18"/>
    <s v="Monday"/>
    <n v="-0.65273584499123405"/>
    <b v="0"/>
    <b v="0"/>
    <b v="1"/>
    <n v="0"/>
    <m/>
    <n v="0"/>
    <m/>
  </r>
  <r>
    <s v="TX000594"/>
    <s v="AC00039"/>
    <n v="139.57"/>
    <d v="2023-11-17T17:59:11"/>
    <s v="Debit"/>
    <x v="18"/>
    <s v="D000222"/>
    <s v="13.30.106.126"/>
    <s v="M030"/>
    <s v="ATM"/>
    <n v="19"/>
    <s v="Student"/>
    <n v="263"/>
    <n v="3"/>
    <n v="271.77999999999997"/>
    <d v="2024-11-04T08:07:23"/>
    <n v="17"/>
    <s v="Friday"/>
    <n v="-0.541276969470182"/>
    <b v="0"/>
    <b v="1"/>
    <b v="1"/>
    <n v="1"/>
    <m/>
    <n v="0"/>
    <m/>
  </r>
  <r>
    <s v="TX000595"/>
    <s v="AC00051"/>
    <n v="312.47000000000003"/>
    <d v="2023-05-02T17:24:26"/>
    <s v="Debit"/>
    <x v="20"/>
    <s v="D000658"/>
    <s v="207.157.126.125"/>
    <s v="M033"/>
    <s v="ATM"/>
    <n v="49"/>
    <s v="Engineer"/>
    <n v="148"/>
    <n v="4"/>
    <n v="9419.27"/>
    <d v="2024-11-04T08:08:05"/>
    <n v="17"/>
    <s v="Tuesday"/>
    <n v="5.0955346989245101E-2"/>
    <b v="0"/>
    <b v="1"/>
    <b v="1"/>
    <n v="1"/>
    <m/>
    <n v="0"/>
    <m/>
  </r>
  <r>
    <s v="TX000596"/>
    <s v="AC00471"/>
    <n v="346.11"/>
    <d v="2023-01-04T17:00:17"/>
    <s v="Debit"/>
    <x v="34"/>
    <s v="D000362"/>
    <s v="130.92.201.49"/>
    <s v="M007"/>
    <s v="Branch"/>
    <n v="41"/>
    <s v="Engineer"/>
    <n v="213"/>
    <n v="1"/>
    <n v="9551.64"/>
    <d v="2024-11-04T08:08:03"/>
    <n v="17"/>
    <s v="Wednesday"/>
    <n v="0.16618203944554999"/>
    <b v="0"/>
    <b v="0"/>
    <b v="1"/>
    <n v="0"/>
    <m/>
    <n v="0"/>
    <m/>
  </r>
  <r>
    <s v="TX000597"/>
    <s v="AC00039"/>
    <n v="138.06"/>
    <d v="2023-07-25T17:21:53"/>
    <s v="Debit"/>
    <x v="27"/>
    <s v="D000188"/>
    <s v="113.21.93.28"/>
    <s v="M099"/>
    <s v="Branch"/>
    <n v="44"/>
    <s v="Engineer"/>
    <n v="159"/>
    <n v="1"/>
    <n v="1070.47"/>
    <d v="2024-11-04T08:06:52"/>
    <n v="17"/>
    <s v="Tuesday"/>
    <n v="-0.54644915453584897"/>
    <b v="0"/>
    <b v="0"/>
    <b v="1"/>
    <n v="0"/>
    <m/>
    <n v="0"/>
    <m/>
  </r>
  <r>
    <s v="TX000598"/>
    <s v="AC00274"/>
    <n v="158.02000000000001"/>
    <d v="2023-09-20T17:09:14"/>
    <s v="Debit"/>
    <x v="22"/>
    <s v="D000032"/>
    <s v="60.153.124.80"/>
    <s v="M026"/>
    <s v="ATM"/>
    <n v="49"/>
    <s v="Engineer"/>
    <n v="120"/>
    <n v="1"/>
    <n v="9374.24"/>
    <d v="2024-11-04T08:09:57"/>
    <n v="17"/>
    <s v="Wednesday"/>
    <n v="-0.47808040360160797"/>
    <b v="0"/>
    <b v="0"/>
    <b v="1"/>
    <n v="0"/>
    <m/>
    <n v="0"/>
    <m/>
  </r>
  <r>
    <s v="TX000599"/>
    <s v="AC00095"/>
    <n v="830.01"/>
    <d v="2023-07-21T16:43:59"/>
    <s v="Credit"/>
    <x v="29"/>
    <s v="D000559"/>
    <s v="5.252.94.135"/>
    <s v="M071"/>
    <s v="Online"/>
    <n v="66"/>
    <s v="Retired"/>
    <n v="96"/>
    <n v="1"/>
    <n v="4253.18"/>
    <d v="2024-11-04T08:11:27"/>
    <n v="16"/>
    <s v="Friday"/>
    <n v="1.8236789621448899"/>
    <b v="0"/>
    <b v="0"/>
    <b v="1"/>
    <n v="0"/>
    <m/>
    <n v="0"/>
    <m/>
  </r>
  <r>
    <s v="TX000600"/>
    <s v="AC00211"/>
    <n v="435.5"/>
    <d v="2023-05-15T18:41:05"/>
    <s v="Debit"/>
    <x v="5"/>
    <s v="D000461"/>
    <s v="10.191.172.154"/>
    <s v="M008"/>
    <s v="ATM"/>
    <n v="55"/>
    <s v="Retired"/>
    <n v="112"/>
    <n v="1"/>
    <n v="6981.03"/>
    <d v="2024-11-04T08:09:40"/>
    <n v="18"/>
    <s v="Monday"/>
    <n v="0.47236854475675999"/>
    <b v="0"/>
    <b v="0"/>
    <b v="1"/>
    <n v="0"/>
    <m/>
    <n v="0"/>
    <m/>
  </r>
  <r>
    <s v="TX000601"/>
    <s v="AC00184"/>
    <n v="110.49"/>
    <d v="2023-10-31T17:06:47"/>
    <s v="Debit"/>
    <x v="3"/>
    <s v="D000449"/>
    <s v="187.52.200.18"/>
    <s v="M068"/>
    <s v="Online"/>
    <n v="57"/>
    <s v="Doctor"/>
    <n v="48"/>
    <n v="1"/>
    <n v="10483.93"/>
    <d v="2024-11-04T08:12:20"/>
    <n v="17"/>
    <s v="Tuesday"/>
    <n v="-0.64088434808579897"/>
    <b v="0"/>
    <b v="0"/>
    <b v="1"/>
    <n v="0"/>
    <m/>
    <n v="0"/>
    <m/>
  </r>
  <r>
    <s v="TX000602"/>
    <s v="AC00436"/>
    <n v="329.4"/>
    <d v="2023-12-25T16:30:09"/>
    <s v="Debit"/>
    <x v="13"/>
    <s v="D000692"/>
    <s v="104.155.121.252"/>
    <s v="M017"/>
    <s v="Online"/>
    <n v="34"/>
    <s v="Doctor"/>
    <n v="68"/>
    <n v="1"/>
    <n v="9588.07"/>
    <d v="2024-11-04T08:07:55"/>
    <n v="16"/>
    <s v="Monday"/>
    <n v="0.108945474910922"/>
    <b v="0"/>
    <b v="0"/>
    <b v="1"/>
    <n v="0"/>
    <m/>
    <n v="0"/>
    <m/>
  </r>
  <r>
    <s v="TX000603"/>
    <s v="AC00107"/>
    <n v="635.4"/>
    <d v="2023-09-19T16:55:00"/>
    <s v="Debit"/>
    <x v="13"/>
    <s v="D000002"/>
    <s v="215.97.143.157"/>
    <s v="M018"/>
    <s v="ATM"/>
    <n v="47"/>
    <s v="Doctor"/>
    <n v="106"/>
    <n v="1"/>
    <n v="1238.1099999999999"/>
    <d v="2024-11-04T08:11:45"/>
    <n v="16"/>
    <s v="Tuesday"/>
    <n v="1.1570836405360501"/>
    <b v="0"/>
    <b v="0"/>
    <b v="1"/>
    <n v="0"/>
    <m/>
    <n v="0"/>
    <m/>
  </r>
  <r>
    <s v="TX000604"/>
    <s v="AC00203"/>
    <n v="769.97"/>
    <d v="2023-02-16T18:56:44"/>
    <s v="Debit"/>
    <x v="0"/>
    <s v="D000393"/>
    <s v="24.129.74.189"/>
    <s v="M058"/>
    <s v="Branch"/>
    <n v="22"/>
    <s v="Student"/>
    <n v="23"/>
    <n v="1"/>
    <n v="1244.93"/>
    <d v="2024-11-04T08:09:51"/>
    <n v="18"/>
    <s v="Thursday"/>
    <n v="1.6180246632424999"/>
    <b v="0"/>
    <b v="0"/>
    <b v="1"/>
    <n v="0"/>
    <m/>
    <n v="0"/>
    <m/>
  </r>
  <r>
    <s v="TX000605"/>
    <s v="AC00398"/>
    <n v="175.07"/>
    <d v="2023-09-04T17:46:20"/>
    <s v="Debit"/>
    <x v="40"/>
    <s v="D000379"/>
    <s v="147.125.143.41"/>
    <s v="M091"/>
    <s v="Branch"/>
    <n v="26"/>
    <s v="Student"/>
    <n v="169"/>
    <n v="1"/>
    <n v="1040.25"/>
    <d v="2024-11-04T08:08:15"/>
    <n v="17"/>
    <s v="Monday"/>
    <n v="-0.41967924110517502"/>
    <b v="0"/>
    <b v="0"/>
    <b v="1"/>
    <n v="0"/>
    <m/>
    <n v="0"/>
    <m/>
  </r>
  <r>
    <s v="TX000606"/>
    <s v="AC00312"/>
    <n v="7.31"/>
    <d v="2023-06-26T16:04:11"/>
    <s v="Debit"/>
    <x v="17"/>
    <s v="D000060"/>
    <s v="160.160.113.117"/>
    <s v="M028"/>
    <s v="Branch"/>
    <n v="78"/>
    <s v="Retired"/>
    <n v="282"/>
    <n v="1"/>
    <n v="5757.67"/>
    <d v="2024-11-04T08:07:15"/>
    <n v="16"/>
    <s v="Monday"/>
    <n v="-0.994305576612599"/>
    <b v="0"/>
    <b v="0"/>
    <b v="1"/>
    <n v="0"/>
    <m/>
    <n v="0"/>
    <m/>
  </r>
  <r>
    <s v="TX000607"/>
    <s v="AC00225"/>
    <n v="175.15"/>
    <d v="2023-11-09T17:02:41"/>
    <s v="Debit"/>
    <x v="8"/>
    <s v="D000367"/>
    <s v="16.51.235.240"/>
    <s v="M090"/>
    <s v="ATM"/>
    <n v="27"/>
    <s v="Student"/>
    <n v="32"/>
    <n v="1"/>
    <n v="1712.65"/>
    <d v="2024-11-04T08:09:45"/>
    <n v="17"/>
    <s v="Thursday"/>
    <n v="-0.41940521805533898"/>
    <b v="0"/>
    <b v="0"/>
    <b v="1"/>
    <n v="0"/>
    <m/>
    <n v="0"/>
    <m/>
  </r>
  <r>
    <s v="TX000608"/>
    <s v="AC00150"/>
    <n v="32.54"/>
    <d v="2023-07-04T16:25:35"/>
    <s v="Debit"/>
    <x v="5"/>
    <s v="D000008"/>
    <s v="4.101.189.38"/>
    <s v="M022"/>
    <s v="Online"/>
    <n v="25"/>
    <s v="Student"/>
    <n v="183"/>
    <n v="4"/>
    <n v="1544.88"/>
    <d v="2024-11-04T08:07:01"/>
    <n v="16"/>
    <s v="Tuesday"/>
    <n v="-0.90788555727037001"/>
    <b v="0"/>
    <b v="1"/>
    <b v="1"/>
    <n v="1"/>
    <m/>
    <n v="0"/>
    <m/>
  </r>
  <r>
    <s v="TX000609"/>
    <s v="AC00413"/>
    <n v="121.82"/>
    <d v="2023-09-08T18:24:14"/>
    <s v="Debit"/>
    <x v="34"/>
    <s v="D000542"/>
    <s v="40.198.240.246"/>
    <s v="M032"/>
    <s v="Online"/>
    <n v="60"/>
    <s v="Doctor"/>
    <n v="119"/>
    <n v="1"/>
    <n v="13293.83"/>
    <d v="2024-11-04T08:11:30"/>
    <n v="18"/>
    <s v="Friday"/>
    <n v="-0.60207583365268602"/>
    <b v="0"/>
    <b v="0"/>
    <b v="1"/>
    <n v="0"/>
    <m/>
    <n v="0"/>
    <m/>
  </r>
  <r>
    <s v="TX000610"/>
    <s v="AC00479"/>
    <n v="56.12"/>
    <d v="2023-09-13T18:49:55"/>
    <s v="Debit"/>
    <x v="39"/>
    <s v="D000431"/>
    <s v="11.167.243.171"/>
    <s v="M049"/>
    <s v="ATM"/>
    <n v="30"/>
    <s v="Doctor"/>
    <n v="102"/>
    <n v="1"/>
    <n v="8839.67"/>
    <d v="2024-11-04T08:09:30"/>
    <n v="18"/>
    <s v="Wednesday"/>
    <n v="-0.82711726333102198"/>
    <b v="0"/>
    <b v="0"/>
    <b v="1"/>
    <n v="0"/>
    <m/>
    <n v="0"/>
    <m/>
  </r>
  <r>
    <s v="TX000611"/>
    <s v="AC00078"/>
    <n v="424.7"/>
    <d v="2023-01-30T17:37:14"/>
    <s v="Credit"/>
    <x v="19"/>
    <s v="D000066"/>
    <s v="56.116.189.0"/>
    <s v="M032"/>
    <s v="Online"/>
    <n v="56"/>
    <s v="Retired"/>
    <n v="178"/>
    <n v="1"/>
    <n v="6239.89"/>
    <d v="2024-11-04T08:08:25"/>
    <n v="17"/>
    <s v="Monday"/>
    <n v="0.43537543302881399"/>
    <b v="0"/>
    <b v="0"/>
    <b v="1"/>
    <n v="0"/>
    <m/>
    <n v="0"/>
    <m/>
  </r>
  <r>
    <s v="TX000612"/>
    <s v="AC00242"/>
    <n v="35.159999999999997"/>
    <d v="2023-10-25T17:50:23"/>
    <s v="Debit"/>
    <x v="29"/>
    <s v="D000075"/>
    <s v="195.237.152.198"/>
    <s v="M029"/>
    <s v="Branch"/>
    <n v="32"/>
    <s v="Engineer"/>
    <n v="130"/>
    <n v="1"/>
    <n v="8459.18"/>
    <d v="2024-11-04T08:10:34"/>
    <n v="17"/>
    <s v="Wednesday"/>
    <n v="-0.89891130238822103"/>
    <b v="0"/>
    <b v="0"/>
    <b v="1"/>
    <n v="0"/>
    <m/>
    <n v="0"/>
    <m/>
  </r>
  <r>
    <s v="TX000613"/>
    <s v="AC00149"/>
    <n v="35.729999999999997"/>
    <d v="2023-06-12T16:48:03"/>
    <s v="Debit"/>
    <x v="19"/>
    <s v="D000693"/>
    <s v="205.69.66.135"/>
    <s v="M028"/>
    <s v="Branch"/>
    <n v="65"/>
    <s v="Doctor"/>
    <n v="87"/>
    <n v="1"/>
    <n v="9073.17"/>
    <d v="2024-11-04T08:11:09"/>
    <n v="16"/>
    <s v="Monday"/>
    <n v="-0.89695888815813496"/>
    <b v="0"/>
    <b v="0"/>
    <b v="1"/>
    <n v="0"/>
    <m/>
    <n v="0"/>
    <m/>
  </r>
  <r>
    <s v="TX000614"/>
    <s v="AC00084"/>
    <n v="3.44"/>
    <d v="2023-01-19T17:24:30"/>
    <s v="Debit"/>
    <x v="18"/>
    <s v="D000389"/>
    <s v="45.64.74.86"/>
    <s v="M004"/>
    <s v="ATM"/>
    <n v="78"/>
    <s v="Retired"/>
    <n v="108"/>
    <n v="1"/>
    <n v="7561.33"/>
    <d v="2024-11-04T08:12:20"/>
    <n v="17"/>
    <s v="Thursday"/>
    <n v="-1.00756144164844"/>
    <b v="0"/>
    <b v="0"/>
    <b v="1"/>
    <n v="0"/>
    <m/>
    <n v="0"/>
    <m/>
  </r>
  <r>
    <s v="TX000615"/>
    <s v="AC00466"/>
    <n v="1342.25"/>
    <d v="2023-04-28T18:11:55"/>
    <s v="Credit"/>
    <x v="18"/>
    <s v="D000643"/>
    <s v="28.149.72.129"/>
    <s v="M032"/>
    <s v="Branch"/>
    <n v="21"/>
    <s v="Student"/>
    <n v="235"/>
    <n v="1"/>
    <n v="694.03"/>
    <d v="2024-11-04T08:08:00"/>
    <n v="18"/>
    <s v="Friday"/>
    <n v="3.5782485502488699"/>
    <b v="1"/>
    <b v="0"/>
    <b v="1"/>
    <n v="1"/>
    <m/>
    <n v="1"/>
    <m/>
  </r>
  <r>
    <s v="TX000616"/>
    <s v="AC00359"/>
    <n v="139.03"/>
    <d v="2023-08-30T18:00:09"/>
    <s v="Credit"/>
    <x v="16"/>
    <s v="D000359"/>
    <s v="147.125.143.41"/>
    <s v="M076"/>
    <s v="Online"/>
    <n v="50"/>
    <s v="Engineer"/>
    <n v="81"/>
    <n v="1"/>
    <n v="2276.5700000000002"/>
    <d v="2024-11-04T08:11:29"/>
    <n v="18"/>
    <s v="Wednesday"/>
    <n v="-0.54312662505657905"/>
    <b v="0"/>
    <b v="0"/>
    <b v="1"/>
    <n v="0"/>
    <m/>
    <n v="0"/>
    <m/>
  </r>
  <r>
    <s v="TX000617"/>
    <s v="AC00023"/>
    <n v="254.92"/>
    <d v="2023-09-18T16:04:06"/>
    <s v="Credit"/>
    <x v="25"/>
    <s v="D000088"/>
    <s v="198.24.183.157"/>
    <s v="M064"/>
    <s v="ATM"/>
    <n v="28"/>
    <s v="Engineer"/>
    <n v="169"/>
    <n v="1"/>
    <n v="2791.12"/>
    <d v="2024-11-04T08:07:18"/>
    <n v="16"/>
    <s v="Monday"/>
    <n v="-0.14616998448698401"/>
    <b v="0"/>
    <b v="0"/>
    <b v="1"/>
    <n v="0"/>
    <m/>
    <n v="0"/>
    <m/>
  </r>
  <r>
    <s v="TX000618"/>
    <s v="AC00366"/>
    <n v="115.11"/>
    <d v="2023-05-05T17:34:22"/>
    <s v="Debit"/>
    <x v="10"/>
    <s v="D000632"/>
    <s v="190.164.160.79"/>
    <s v="M011"/>
    <s v="Online"/>
    <n v="28"/>
    <s v="Engineer"/>
    <n v="139"/>
    <n v="1"/>
    <n v="9808.9699999999993"/>
    <d v="2024-11-04T08:10:18"/>
    <n v="17"/>
    <s v="Friday"/>
    <n v="-0.62505951695773299"/>
    <b v="0"/>
    <b v="0"/>
    <b v="1"/>
    <n v="0"/>
    <m/>
    <n v="0"/>
    <m/>
  </r>
  <r>
    <s v="TX000619"/>
    <s v="AC00170"/>
    <n v="171.11"/>
    <d v="2023-05-15T16:52:24"/>
    <s v="Debit"/>
    <x v="23"/>
    <s v="D000172"/>
    <s v="55.154.161.250"/>
    <s v="M084"/>
    <s v="ATM"/>
    <n v="57"/>
    <s v="Retired"/>
    <n v="171"/>
    <n v="1"/>
    <n v="6324.09"/>
    <d v="2024-11-04T08:08:40"/>
    <n v="16"/>
    <s v="Monday"/>
    <n v="-0.43324338207208901"/>
    <b v="0"/>
    <b v="0"/>
    <b v="1"/>
    <n v="0"/>
    <m/>
    <n v="0"/>
    <m/>
  </r>
  <r>
    <s v="TX000620"/>
    <s v="AC00130"/>
    <n v="168.54"/>
    <d v="2023-02-02T16:13:13"/>
    <s v="Debit"/>
    <x v="5"/>
    <s v="D000467"/>
    <s v="119.105.89.125"/>
    <s v="M064"/>
    <s v="ATM"/>
    <n v="70"/>
    <s v="Doctor"/>
    <n v="142"/>
    <n v="2"/>
    <n v="13406"/>
    <d v="2024-11-04T08:08:14"/>
    <n v="16"/>
    <s v="Thursday"/>
    <n v="-0.44204637254809098"/>
    <b v="0"/>
    <b v="1"/>
    <b v="1"/>
    <n v="1"/>
    <m/>
    <n v="0"/>
    <m/>
  </r>
  <r>
    <s v="TX000621"/>
    <s v="AC00183"/>
    <n v="420.76"/>
    <d v="2023-02-23T16:04:35"/>
    <s v="Debit"/>
    <x v="19"/>
    <s v="D000329"/>
    <s v="76.0.164.168"/>
    <s v="M054"/>
    <s v="Branch"/>
    <n v="51"/>
    <s v="Retired"/>
    <n v="76"/>
    <n v="1"/>
    <n v="6581.55"/>
    <d v="2024-11-04T08:08:38"/>
    <n v="16"/>
    <s v="Thursday"/>
    <n v="0.42187979782436003"/>
    <b v="0"/>
    <b v="0"/>
    <b v="1"/>
    <n v="0"/>
    <m/>
    <n v="0"/>
    <m/>
  </r>
  <r>
    <s v="TX000622"/>
    <s v="AC00219"/>
    <n v="408.46"/>
    <d v="2023-03-01T16:17:46"/>
    <s v="Debit"/>
    <x v="3"/>
    <s v="D000669"/>
    <s v="201.95.180.152"/>
    <s v="M058"/>
    <s v="Branch"/>
    <n v="64"/>
    <s v="Retired"/>
    <n v="28"/>
    <n v="1"/>
    <n v="3140.79"/>
    <d v="2024-11-04T08:08:20"/>
    <n v="16"/>
    <s v="Wednesday"/>
    <n v="0.37974875391197699"/>
    <b v="0"/>
    <b v="0"/>
    <b v="1"/>
    <n v="0"/>
    <m/>
    <n v="0"/>
    <m/>
  </r>
  <r>
    <s v="TX000623"/>
    <s v="AC00354"/>
    <n v="1162.42"/>
    <d v="2023-08-23T16:35:42"/>
    <s v="Credit"/>
    <x v="8"/>
    <s v="D000153"/>
    <s v="62.152.134.92"/>
    <s v="M009"/>
    <s v="Online"/>
    <n v="30"/>
    <s v="Doctor"/>
    <n v="45"/>
    <n v="1"/>
    <n v="10357.26"/>
    <d v="2024-11-04T08:09:09"/>
    <n v="16"/>
    <s v="Wednesday"/>
    <n v="2.9622789870973398"/>
    <b v="1"/>
    <b v="0"/>
    <b v="1"/>
    <n v="1"/>
    <m/>
    <n v="1"/>
    <m/>
  </r>
  <r>
    <s v="TX000624"/>
    <s v="AC00290"/>
    <n v="342.17"/>
    <d v="2023-12-14T16:09:42"/>
    <s v="Credit"/>
    <x v="22"/>
    <s v="D000532"/>
    <s v="91.204.200.167"/>
    <s v="M033"/>
    <s v="Branch"/>
    <n v="21"/>
    <s v="Student"/>
    <n v="247"/>
    <n v="1"/>
    <n v="461.83"/>
    <d v="2024-11-04T08:08:32"/>
    <n v="16"/>
    <s v="Thursday"/>
    <n v="0.152686404241095"/>
    <b v="0"/>
    <b v="0"/>
    <b v="1"/>
    <n v="0"/>
    <m/>
    <n v="0"/>
    <m/>
  </r>
  <r>
    <s v="TX000625"/>
    <s v="AC00425"/>
    <n v="580.71"/>
    <d v="2023-09-20T16:37:48"/>
    <s v="Debit"/>
    <x v="26"/>
    <s v="D000203"/>
    <s v="115.30.82.168"/>
    <s v="M046"/>
    <s v="ATM"/>
    <n v="53"/>
    <s v="Engineer"/>
    <n v="95"/>
    <n v="1"/>
    <n v="5670"/>
    <d v="2024-11-04T08:10:54"/>
    <n v="16"/>
    <s v="Wednesday"/>
    <n v="0.96975463309148202"/>
    <b v="0"/>
    <b v="0"/>
    <b v="1"/>
    <n v="0"/>
    <m/>
    <n v="0"/>
    <m/>
  </r>
  <r>
    <s v="TX000626"/>
    <s v="AC00370"/>
    <n v="821.54"/>
    <d v="2023-08-22T18:11:16"/>
    <s v="Credit"/>
    <x v="4"/>
    <s v="D000142"/>
    <s v="19.111.192.175"/>
    <s v="M044"/>
    <s v="Branch"/>
    <n v="79"/>
    <s v="Retired"/>
    <n v="36"/>
    <n v="1"/>
    <n v="4040.32"/>
    <d v="2024-11-04T08:11:57"/>
    <n v="18"/>
    <s v="Tuesday"/>
    <n v="1.7946667717434399"/>
    <b v="0"/>
    <b v="0"/>
    <b v="1"/>
    <n v="0"/>
    <m/>
    <n v="0"/>
    <m/>
  </r>
  <r>
    <s v="TX000627"/>
    <s v="AC00454"/>
    <n v="253.47"/>
    <d v="2023-06-14T17:07:08"/>
    <s v="Debit"/>
    <x v="4"/>
    <s v="D000388"/>
    <s v="81.248.235.147"/>
    <s v="M077"/>
    <s v="Branch"/>
    <n v="20"/>
    <s v="Student"/>
    <n v="238"/>
    <n v="1"/>
    <n v="220.51"/>
    <d v="2024-11-04T08:08:12"/>
    <n v="17"/>
    <s v="Wednesday"/>
    <n v="-0.15113665226527301"/>
    <b v="0"/>
    <b v="0"/>
    <b v="1"/>
    <n v="0"/>
    <m/>
    <n v="0"/>
    <m/>
  </r>
  <r>
    <s v="TX000628"/>
    <s v="AC00403"/>
    <n v="22.81"/>
    <d v="2023-05-29T17:53:03"/>
    <s v="Debit"/>
    <x v="22"/>
    <s v="D000065"/>
    <s v="81.102.230.41"/>
    <s v="M083"/>
    <s v="Online"/>
    <n v="62"/>
    <s v="Retired"/>
    <n v="75"/>
    <n v="1"/>
    <n v="3634.76"/>
    <d v="2024-11-04T08:07:59"/>
    <n v="17"/>
    <s v="Monday"/>
    <n v="-0.94121361070675102"/>
    <b v="0"/>
    <b v="0"/>
    <b v="1"/>
    <n v="0"/>
    <m/>
    <n v="0"/>
    <m/>
  </r>
  <r>
    <s v="TX000629"/>
    <s v="AC00358"/>
    <n v="266.57"/>
    <d v="2023-07-03T17:56:59"/>
    <s v="Credit"/>
    <x v="35"/>
    <s v="D000058"/>
    <s v="140.94.123.72"/>
    <s v="M026"/>
    <s v="Online"/>
    <n v="39"/>
    <s v="Engineer"/>
    <n v="96"/>
    <n v="1"/>
    <n v="7180.48"/>
    <d v="2024-11-04T08:07:10"/>
    <n v="17"/>
    <s v="Monday"/>
    <n v="-0.106265377854524"/>
    <b v="0"/>
    <b v="0"/>
    <b v="1"/>
    <n v="0"/>
    <m/>
    <n v="0"/>
    <m/>
  </r>
  <r>
    <s v="TX000630"/>
    <s v="AC00296"/>
    <n v="374.61"/>
    <d v="2023-08-29T18:30:36"/>
    <s v="Credit"/>
    <x v="2"/>
    <s v="D000056"/>
    <s v="34.125.226.63"/>
    <s v="M079"/>
    <s v="Online"/>
    <n v="75"/>
    <s v="Retired"/>
    <n v="37"/>
    <n v="1"/>
    <n v="1389.71"/>
    <d v="2024-11-04T08:11:24"/>
    <n v="18"/>
    <s v="Tuesday"/>
    <n v="0.26380275094985101"/>
    <b v="0"/>
    <b v="0"/>
    <b v="1"/>
    <n v="0"/>
    <m/>
    <n v="0"/>
    <m/>
  </r>
  <r>
    <s v="TX000631"/>
    <s v="AC00393"/>
    <n v="339.35"/>
    <d v="2023-02-03T16:08:47"/>
    <s v="Credit"/>
    <x v="35"/>
    <s v="D000099"/>
    <s v="197.23.128.119"/>
    <s v="M084"/>
    <s v="ATM"/>
    <n v="78"/>
    <s v="Retired"/>
    <n v="70"/>
    <n v="1"/>
    <n v="5002.7"/>
    <d v="2024-11-04T08:08:17"/>
    <n v="16"/>
    <s v="Friday"/>
    <n v="0.14302709173435399"/>
    <b v="0"/>
    <b v="0"/>
    <b v="1"/>
    <n v="0"/>
    <m/>
    <n v="0"/>
    <m/>
  </r>
  <r>
    <s v="TX000632"/>
    <s v="AC00223"/>
    <n v="810.36"/>
    <d v="2023-01-17T16:59:03"/>
    <s v="Debit"/>
    <x v="15"/>
    <s v="D000393"/>
    <s v="139.23.212.102"/>
    <s v="M081"/>
    <s v="ATM"/>
    <n v="20"/>
    <s v="Student"/>
    <n v="67"/>
    <n v="1"/>
    <n v="9239.1200000000008"/>
    <d v="2024-11-04T08:07:19"/>
    <n v="16"/>
    <s v="Tuesday"/>
    <n v="1.7563720505287701"/>
    <b v="0"/>
    <b v="0"/>
    <b v="1"/>
    <n v="0"/>
    <m/>
    <n v="0"/>
    <m/>
  </r>
  <r>
    <s v="TX000633"/>
    <s v="AC00487"/>
    <n v="9.83"/>
    <d v="2023-07-24T17:04:17"/>
    <s v="Debit"/>
    <x v="11"/>
    <s v="D000054"/>
    <s v="210.98.198.143"/>
    <s v="M004"/>
    <s v="ATM"/>
    <n v="24"/>
    <s v="Student"/>
    <n v="86"/>
    <n v="1"/>
    <n v="666.42"/>
    <d v="2024-11-04T08:09:03"/>
    <n v="17"/>
    <s v="Monday"/>
    <n v="-0.98567385054274503"/>
    <b v="0"/>
    <b v="0"/>
    <b v="1"/>
    <n v="0"/>
    <m/>
    <n v="0"/>
    <m/>
  </r>
  <r>
    <s v="TX000634"/>
    <s v="AC00215"/>
    <n v="135.57"/>
    <d v="2023-06-14T17:17:34"/>
    <s v="Credit"/>
    <x v="35"/>
    <s v="D000225"/>
    <s v="147.119.62.178"/>
    <s v="M073"/>
    <s v="Branch"/>
    <n v="51"/>
    <s v="Doctor"/>
    <n v="116"/>
    <n v="1"/>
    <n v="11351.64"/>
    <d v="2024-11-04T08:11:44"/>
    <n v="17"/>
    <s v="Wednesday"/>
    <n v="-0.55497812196201401"/>
    <b v="0"/>
    <b v="0"/>
    <b v="1"/>
    <n v="0"/>
    <m/>
    <n v="0"/>
    <m/>
  </r>
  <r>
    <s v="TX000635"/>
    <s v="AC00275"/>
    <n v="340.05"/>
    <d v="2023-10-27T17:26:53"/>
    <s v="Debit"/>
    <x v="8"/>
    <s v="D000196"/>
    <s v="163.58.140.206"/>
    <s v="M038"/>
    <s v="ATM"/>
    <n v="43"/>
    <s v="Engineer"/>
    <n v="37"/>
    <n v="1"/>
    <n v="7234.15"/>
    <d v="2024-11-04T08:07:43"/>
    <n v="17"/>
    <s v="Friday"/>
    <n v="0.145424793420425"/>
    <b v="0"/>
    <b v="0"/>
    <b v="1"/>
    <n v="0"/>
    <m/>
    <n v="0"/>
    <m/>
  </r>
  <r>
    <s v="TX000636"/>
    <s v="AC00482"/>
    <n v="283.45"/>
    <d v="2023-10-17T17:24:47"/>
    <s v="Debit"/>
    <x v="40"/>
    <s v="D000399"/>
    <s v="128.16.32.183"/>
    <s v="M039"/>
    <s v="Branch"/>
    <n v="27"/>
    <s v="Engineer"/>
    <n v="127"/>
    <n v="1"/>
    <n v="2049.5100000000002"/>
    <d v="2024-11-04T08:08:51"/>
    <n v="17"/>
    <s v="Tuesday"/>
    <n v="-4.8446514338994398E-2"/>
    <b v="0"/>
    <b v="0"/>
    <b v="1"/>
    <n v="0"/>
    <m/>
    <n v="0"/>
    <m/>
  </r>
  <r>
    <s v="TX000637"/>
    <s v="AC00357"/>
    <n v="100.99"/>
    <d v="2023-05-29T16:20:29"/>
    <s v="Debit"/>
    <x v="22"/>
    <s v="D000466"/>
    <s v="109.105.179.186"/>
    <s v="M078"/>
    <s v="ATM"/>
    <n v="68"/>
    <s v="Doctor"/>
    <n v="114"/>
    <n v="1"/>
    <n v="8865.27"/>
    <d v="2024-11-04T08:09:12"/>
    <n v="16"/>
    <s v="Monday"/>
    <n v="-0.67342458525389903"/>
    <b v="0"/>
    <b v="0"/>
    <b v="1"/>
    <n v="0"/>
    <m/>
    <n v="0"/>
    <m/>
  </r>
  <r>
    <s v="TX000638"/>
    <s v="AC00026"/>
    <n v="90.88"/>
    <d v="2023-02-20T16:48:49"/>
    <s v="Debit"/>
    <x v="10"/>
    <s v="D000449"/>
    <s v="196.244.194.198"/>
    <s v="M071"/>
    <s v="Branch"/>
    <n v="18"/>
    <s v="Student"/>
    <n v="176"/>
    <n v="1"/>
    <n v="3908.47"/>
    <d v="2024-11-04T08:07:13"/>
    <n v="16"/>
    <s v="Monday"/>
    <n v="-0.70805424817700402"/>
    <b v="0"/>
    <b v="0"/>
    <b v="1"/>
    <n v="0"/>
    <m/>
    <n v="0"/>
    <m/>
  </r>
  <r>
    <s v="TX000639"/>
    <s v="AC00416"/>
    <n v="655.15"/>
    <d v="2023-01-02T16:22:54"/>
    <s v="Debit"/>
    <x v="6"/>
    <s v="D000626"/>
    <s v="11.167.243.171"/>
    <s v="M083"/>
    <s v="ATM"/>
    <n v="26"/>
    <s v="Engineer"/>
    <n v="264"/>
    <n v="1"/>
    <n v="5587.44"/>
    <d v="2024-11-04T08:07:15"/>
    <n v="16"/>
    <s v="Monday"/>
    <n v="1.2247330809644701"/>
    <b v="0"/>
    <b v="0"/>
    <b v="1"/>
    <n v="0"/>
    <m/>
    <n v="0"/>
    <m/>
  </r>
  <r>
    <s v="TX000640"/>
    <s v="AC00058"/>
    <n v="320.55"/>
    <d v="2023-05-01T17:11:47"/>
    <s v="Debit"/>
    <x v="20"/>
    <s v="D000549"/>
    <s v="199.6.127.153"/>
    <s v="M041"/>
    <s v="Online"/>
    <n v="50"/>
    <s v="Engineer"/>
    <n v="118"/>
    <n v="1"/>
    <n v="438.75"/>
    <d v="2024-11-04T08:08:14"/>
    <n v="17"/>
    <s v="Monday"/>
    <n v="7.8631675022745207E-2"/>
    <b v="0"/>
    <b v="0"/>
    <b v="1"/>
    <n v="0"/>
    <m/>
    <n v="0"/>
    <m/>
  </r>
  <r>
    <s v="TX000641"/>
    <s v="AC00170"/>
    <n v="41.51"/>
    <d v="2023-10-04T16:47:33"/>
    <s v="Debit"/>
    <x v="37"/>
    <s v="D000688"/>
    <s v="16.51.235.240"/>
    <s v="M084"/>
    <s v="Online"/>
    <n v="28"/>
    <s v="Student"/>
    <n v="48"/>
    <n v="1"/>
    <n v="609.6"/>
    <d v="2024-11-04T08:11:54"/>
    <n v="16"/>
    <s v="Wednesday"/>
    <n v="-0.87716072280743795"/>
    <b v="0"/>
    <b v="0"/>
    <b v="1"/>
    <n v="0"/>
    <m/>
    <n v="0"/>
    <m/>
  </r>
  <r>
    <s v="TX000642"/>
    <s v="AC00262"/>
    <n v="71.53"/>
    <d v="2023-10-30T16:49:25"/>
    <s v="Credit"/>
    <x v="36"/>
    <s v="D000420"/>
    <s v="11.188.75.155"/>
    <s v="M030"/>
    <s v="Branch"/>
    <n v="68"/>
    <s v="Retired"/>
    <n v="39"/>
    <n v="1"/>
    <n v="2393.73"/>
    <d v="2024-11-04T08:12:00"/>
    <n v="16"/>
    <s v="Monday"/>
    <n v="-0.77433357335623998"/>
    <b v="0"/>
    <b v="0"/>
    <b v="1"/>
    <n v="0"/>
    <m/>
    <n v="0"/>
    <m/>
  </r>
  <r>
    <s v="TX000643"/>
    <s v="AC00032"/>
    <n v="467.13"/>
    <d v="2023-09-28T17:18:26"/>
    <s v="Credit"/>
    <x v="31"/>
    <s v="D000025"/>
    <s v="162.151.179.167"/>
    <s v="M096"/>
    <s v="Branch"/>
    <n v="54"/>
    <s v="Retired"/>
    <n v="45"/>
    <n v="1"/>
    <n v="3914.84"/>
    <d v="2024-11-04T08:06:58"/>
    <n v="17"/>
    <s v="Thursday"/>
    <n v="0.58071040808591901"/>
    <b v="0"/>
    <b v="0"/>
    <b v="1"/>
    <n v="0"/>
    <m/>
    <n v="0"/>
    <m/>
  </r>
  <r>
    <s v="TX000644"/>
    <s v="AC00131"/>
    <n v="235.4"/>
    <d v="2023-09-26T17:02:25"/>
    <s v="Debit"/>
    <x v="8"/>
    <s v="D000141"/>
    <s v="73.108.76.238"/>
    <s v="M038"/>
    <s v="Branch"/>
    <n v="28"/>
    <s v="Student"/>
    <n v="70"/>
    <n v="1"/>
    <n v="818.36"/>
    <d v="2024-11-04T08:10:13"/>
    <n v="17"/>
    <s v="Tuesday"/>
    <n v="-0.21303160864712301"/>
    <b v="0"/>
    <b v="0"/>
    <b v="1"/>
    <n v="0"/>
    <m/>
    <n v="0"/>
    <m/>
  </r>
  <r>
    <s v="TX000645"/>
    <s v="AC00176"/>
    <n v="159.32"/>
    <d v="2023-01-16T18:57:13"/>
    <s v="Debit"/>
    <x v="6"/>
    <s v="D000446"/>
    <s v="37.227.215.145"/>
    <s v="M033"/>
    <s v="Branch"/>
    <n v="18"/>
    <s v="Student"/>
    <n v="100"/>
    <n v="1"/>
    <n v="304.44"/>
    <d v="2024-11-04T08:10:32"/>
    <n v="18"/>
    <s v="Monday"/>
    <n v="-0.47362752904176297"/>
    <b v="0"/>
    <b v="0"/>
    <b v="1"/>
    <n v="0"/>
    <m/>
    <n v="0"/>
    <m/>
  </r>
  <r>
    <s v="TX000646"/>
    <s v="AC00139"/>
    <n v="50.83"/>
    <d v="2023-12-18T16:06:14"/>
    <s v="Credit"/>
    <x v="26"/>
    <s v="D000421"/>
    <s v="190.164.160.79"/>
    <s v="M076"/>
    <s v="Online"/>
    <n v="30"/>
    <s v="Doctor"/>
    <n v="48"/>
    <n v="1"/>
    <n v="9553.42"/>
    <d v="2024-11-04T08:10:06"/>
    <n v="16"/>
    <s v="Monday"/>
    <n v="-0.84523703750146995"/>
    <b v="0"/>
    <b v="0"/>
    <b v="1"/>
    <n v="0"/>
    <m/>
    <n v="0"/>
    <m/>
  </r>
  <r>
    <s v="TX000647"/>
    <s v="AC00056"/>
    <n v="56.89"/>
    <d v="2023-02-03T18:03:56"/>
    <s v="Credit"/>
    <x v="1"/>
    <s v="D000120"/>
    <s v="31.127.129.152"/>
    <s v="M062"/>
    <s v="Branch"/>
    <n v="59"/>
    <s v="Engineer"/>
    <n v="56"/>
    <n v="1"/>
    <n v="3034.67"/>
    <d v="2024-11-04T08:09:52"/>
    <n v="18"/>
    <s v="Friday"/>
    <n v="-0.82447979147634498"/>
    <b v="0"/>
    <b v="0"/>
    <b v="1"/>
    <n v="0"/>
    <m/>
    <n v="0"/>
    <m/>
  </r>
  <r>
    <s v="TX000648"/>
    <s v="AC00276"/>
    <n v="20.22"/>
    <d v="2023-03-10T18:26:19"/>
    <s v="Debit"/>
    <x v="36"/>
    <s v="D000123"/>
    <s v="170.225.23.251"/>
    <s v="M003"/>
    <s v="ATM"/>
    <n v="43"/>
    <s v="Engineer"/>
    <n v="138"/>
    <n v="1"/>
    <n v="5515.32"/>
    <d v="2024-11-04T08:06:32"/>
    <n v="18"/>
    <s v="Friday"/>
    <n v="-0.95008510694521198"/>
    <b v="0"/>
    <b v="0"/>
    <b v="1"/>
    <n v="0"/>
    <m/>
    <n v="0"/>
    <m/>
  </r>
  <r>
    <s v="TX000649"/>
    <s v="AC00447"/>
    <n v="50.4"/>
    <d v="2023-03-27T17:02:44"/>
    <s v="Debit"/>
    <x v="25"/>
    <s v="D000565"/>
    <s v="44.197.126.59"/>
    <s v="M079"/>
    <s v="Branch"/>
    <n v="36"/>
    <s v="Doctor"/>
    <n v="84"/>
    <n v="1"/>
    <n v="1677.01"/>
    <d v="2024-11-04T08:07:17"/>
    <n v="17"/>
    <s v="Monday"/>
    <n v="-0.84670991139434204"/>
    <b v="0"/>
    <b v="0"/>
    <b v="1"/>
    <n v="0"/>
    <m/>
    <n v="0"/>
    <m/>
  </r>
  <r>
    <s v="TX000650"/>
    <s v="AC00143"/>
    <n v="73.88"/>
    <d v="2023-05-08T17:42:36"/>
    <s v="Debit"/>
    <x v="16"/>
    <s v="D000405"/>
    <s v="134.140.85.231"/>
    <s v="M009"/>
    <s v="Branch"/>
    <n v="53"/>
    <s v="Retired"/>
    <n v="131"/>
    <n v="1"/>
    <n v="4055.55"/>
    <d v="2024-11-04T08:08:11"/>
    <n v="17"/>
    <s v="Monday"/>
    <n v="-0.76628414626728902"/>
    <b v="0"/>
    <b v="0"/>
    <b v="1"/>
    <n v="0"/>
    <m/>
    <n v="0"/>
    <m/>
  </r>
  <r>
    <s v="TX000651"/>
    <s v="AC00139"/>
    <n v="119.61"/>
    <d v="2023-03-14T16:21:01"/>
    <s v="Debit"/>
    <x v="0"/>
    <s v="D000102"/>
    <s v="99.205.173.118"/>
    <s v="M017"/>
    <s v="ATM"/>
    <n v="33"/>
    <s v="Doctor"/>
    <n v="53"/>
    <n v="1"/>
    <n v="9899.94"/>
    <d v="2024-11-04T08:07:28"/>
    <n v="16"/>
    <s v="Tuesday"/>
    <n v="-0.609645720404423"/>
    <b v="0"/>
    <b v="0"/>
    <b v="1"/>
    <n v="0"/>
    <m/>
    <n v="0"/>
    <m/>
  </r>
  <r>
    <s v="TX000652"/>
    <s v="AC00208"/>
    <n v="1241.05"/>
    <d v="2023-11-21T16:26:41"/>
    <s v="Debit"/>
    <x v="19"/>
    <s v="D000105"/>
    <s v="156.96.135.18"/>
    <s v="M089"/>
    <s v="Branch"/>
    <n v="18"/>
    <s v="Student"/>
    <n v="129"/>
    <n v="1"/>
    <n v="756.74"/>
    <d v="2024-11-04T08:11:48"/>
    <n v="16"/>
    <s v="Tuesday"/>
    <n v="3.2316093922055198"/>
    <b v="1"/>
    <b v="0"/>
    <b v="1"/>
    <n v="1"/>
    <m/>
    <n v="1"/>
    <m/>
  </r>
  <r>
    <s v="TX000653"/>
    <s v="AC00426"/>
    <n v="116.58"/>
    <d v="2023-08-31T16:38:18"/>
    <s v="Debit"/>
    <x v="3"/>
    <s v="D000646"/>
    <s v="20.147.6.179"/>
    <s v="M038"/>
    <s v="Branch"/>
    <n v="43"/>
    <s v="Engineer"/>
    <n v="247"/>
    <n v="1"/>
    <n v="2620.7399999999998"/>
    <d v="2024-11-04T08:06:50"/>
    <n v="16"/>
    <s v="Thursday"/>
    <n v="-0.62002434341698498"/>
    <b v="0"/>
    <b v="0"/>
    <b v="1"/>
    <n v="0"/>
    <m/>
    <n v="0"/>
    <m/>
  </r>
  <r>
    <s v="TX000654"/>
    <s v="AC00423"/>
    <n v="1919.11"/>
    <d v="2023-06-27T17:48:25"/>
    <s v="Debit"/>
    <x v="42"/>
    <s v="D000191"/>
    <s v="207.157.126.125"/>
    <s v="M033"/>
    <s v="ATM"/>
    <n v="30"/>
    <s v="Doctor"/>
    <n v="161"/>
    <n v="1"/>
    <n v="11090.24"/>
    <d v="2024-11-04T08:10:27"/>
    <n v="17"/>
    <s v="Tuesday"/>
    <n v="5.5541602568583803"/>
    <b v="1"/>
    <b v="0"/>
    <b v="1"/>
    <n v="1"/>
    <m/>
    <n v="1"/>
    <m/>
  </r>
  <r>
    <s v="TX000655"/>
    <s v="AC00381"/>
    <n v="391.96"/>
    <d v="2023-06-19T16:21:58"/>
    <s v="Debit"/>
    <x v="9"/>
    <s v="D000452"/>
    <s v="121.67.144.20"/>
    <s v="M032"/>
    <s v="ATM"/>
    <n v="64"/>
    <s v="Retired"/>
    <n v="79"/>
    <n v="1"/>
    <n v="2174.16"/>
    <d v="2024-11-04T08:06:47"/>
    <n v="16"/>
    <s v="Monday"/>
    <n v="0.32323149988317101"/>
    <b v="0"/>
    <b v="0"/>
    <b v="1"/>
    <n v="0"/>
    <m/>
    <n v="0"/>
    <m/>
  </r>
  <r>
    <s v="TX000656"/>
    <s v="AC00458"/>
    <n v="156.26"/>
    <d v="2023-01-02T17:49:44"/>
    <s v="Credit"/>
    <x v="33"/>
    <s v="D000134"/>
    <s v="51.196.87.214"/>
    <s v="M059"/>
    <s v="Branch"/>
    <n v="46"/>
    <s v="Engineer"/>
    <n v="160"/>
    <n v="1"/>
    <n v="7854.1"/>
    <d v="2024-11-04T08:09:29"/>
    <n v="17"/>
    <s v="Monday"/>
    <n v="-0.48410891069801398"/>
    <b v="0"/>
    <b v="0"/>
    <b v="1"/>
    <n v="0"/>
    <m/>
    <n v="0"/>
    <m/>
  </r>
  <r>
    <s v="TX000657"/>
    <s v="AC00014"/>
    <n v="427"/>
    <d v="2023-07-31T17:04:29"/>
    <s v="Credit"/>
    <x v="5"/>
    <s v="D000629"/>
    <s v="183.39.94.209"/>
    <s v="M065"/>
    <s v="Branch"/>
    <n v="49"/>
    <s v="Engineer"/>
    <n v="163"/>
    <n v="1"/>
    <n v="8253.65"/>
    <d v="2024-11-04T08:07:30"/>
    <n v="17"/>
    <s v="Monday"/>
    <n v="0.44325359571161699"/>
    <b v="0"/>
    <b v="0"/>
    <b v="1"/>
    <n v="0"/>
    <m/>
    <n v="0"/>
    <m/>
  </r>
  <r>
    <s v="TX000658"/>
    <s v="AC00071"/>
    <n v="443.68"/>
    <d v="2023-04-25T18:58:32"/>
    <s v="Debit"/>
    <x v="28"/>
    <s v="D000400"/>
    <s v="16.94.155.46"/>
    <s v="M012"/>
    <s v="ATM"/>
    <n v="18"/>
    <s v="Student"/>
    <n v="137"/>
    <n v="1"/>
    <n v="874.15"/>
    <d v="2024-11-04T08:10:26"/>
    <n v="18"/>
    <s v="Tuesday"/>
    <n v="0.50038740160255601"/>
    <b v="0"/>
    <b v="0"/>
    <b v="1"/>
    <n v="0"/>
    <m/>
    <n v="0"/>
    <m/>
  </r>
  <r>
    <s v="TX000659"/>
    <s v="AC00054"/>
    <n v="101.76"/>
    <d v="2023-02-20T17:27:24"/>
    <s v="Debit"/>
    <x v="26"/>
    <s v="D000374"/>
    <s v="78.69.172.205"/>
    <s v="M071"/>
    <s v="Branch"/>
    <n v="31"/>
    <s v="Doctor"/>
    <n v="26"/>
    <n v="1"/>
    <n v="6043.25"/>
    <d v="2024-11-04T08:11:08"/>
    <n v="17"/>
    <s v="Monday"/>
    <n v="-0.67078711339922203"/>
    <b v="0"/>
    <b v="0"/>
    <b v="1"/>
    <n v="0"/>
    <m/>
    <n v="0"/>
    <m/>
  </r>
  <r>
    <s v="TX000660"/>
    <s v="AC00182"/>
    <n v="67.569999999999993"/>
    <d v="2023-08-17T16:44:38"/>
    <s v="Debit"/>
    <x v="27"/>
    <s v="D000498"/>
    <s v="165.35.58.173"/>
    <s v="M093"/>
    <s v="Branch"/>
    <n v="37"/>
    <s v="Engineer"/>
    <n v="107"/>
    <n v="1"/>
    <n v="2766.12"/>
    <d v="2024-11-04T08:11:15"/>
    <n v="16"/>
    <s v="Thursday"/>
    <n v="-0.78789771432315403"/>
    <b v="0"/>
    <b v="0"/>
    <b v="1"/>
    <n v="0"/>
    <m/>
    <n v="0"/>
    <m/>
  </r>
  <r>
    <s v="TX000661"/>
    <s v="AC00257"/>
    <n v="326.29000000000002"/>
    <d v="2023-12-06T17:10:35"/>
    <s v="Debit"/>
    <x v="13"/>
    <s v="D000184"/>
    <s v="6.44.165.160"/>
    <s v="M025"/>
    <s v="Online"/>
    <n v="56"/>
    <s v="Engineer"/>
    <n v="179"/>
    <n v="1"/>
    <n v="8171.26"/>
    <d v="2024-11-04T08:10:44"/>
    <n v="17"/>
    <s v="Wednesday"/>
    <n v="9.8292828848523806E-2"/>
    <b v="0"/>
    <b v="0"/>
    <b v="1"/>
    <n v="0"/>
    <m/>
    <n v="0"/>
    <m/>
  </r>
  <r>
    <s v="TX000662"/>
    <s v="AC00006"/>
    <n v="158.56"/>
    <d v="2023-02-28T17:28:13"/>
    <s v="Debit"/>
    <x v="30"/>
    <s v="D000027"/>
    <s v="218.238.171.184"/>
    <s v="M087"/>
    <s v="ATM"/>
    <n v="33"/>
    <s v="Doctor"/>
    <n v="100"/>
    <n v="1"/>
    <n v="5401.21"/>
    <d v="2024-11-04T08:10:48"/>
    <n v="17"/>
    <s v="Tuesday"/>
    <n v="-0.47623074801521098"/>
    <b v="0"/>
    <b v="0"/>
    <b v="1"/>
    <n v="0"/>
    <m/>
    <n v="0"/>
    <m/>
  </r>
  <r>
    <s v="TX000663"/>
    <s v="AC00424"/>
    <n v="56.02"/>
    <d v="2023-06-19T17:50:29"/>
    <s v="Debit"/>
    <x v="11"/>
    <s v="D000455"/>
    <s v="81.248.235.147"/>
    <s v="M003"/>
    <s v="Online"/>
    <n v="27"/>
    <s v="Student"/>
    <n v="142"/>
    <n v="1"/>
    <n v="3548.02"/>
    <d v="2024-11-04T08:07:58"/>
    <n v="17"/>
    <s v="Monday"/>
    <n v="-0.827459792143318"/>
    <b v="0"/>
    <b v="0"/>
    <b v="1"/>
    <n v="0"/>
    <m/>
    <n v="0"/>
    <m/>
  </r>
  <r>
    <s v="TX000664"/>
    <s v="AC00131"/>
    <n v="288.27999999999997"/>
    <d v="2023-01-17T17:11:24"/>
    <s v="Debit"/>
    <x v="42"/>
    <s v="D000127"/>
    <s v="191.25.177.160"/>
    <s v="M087"/>
    <s v="Online"/>
    <n v="27"/>
    <s v="Student"/>
    <n v="36"/>
    <n v="1"/>
    <n v="160.83000000000001"/>
    <d v="2024-11-04T08:06:33"/>
    <n v="17"/>
    <s v="Tuesday"/>
    <n v="-3.1902372705107603E-2"/>
    <b v="0"/>
    <b v="0"/>
    <b v="1"/>
    <n v="0"/>
    <m/>
    <n v="0"/>
    <m/>
  </r>
  <r>
    <s v="TX000665"/>
    <s v="AC00133"/>
    <n v="245.67"/>
    <d v="2023-01-02T18:35:07"/>
    <s v="Credit"/>
    <x v="42"/>
    <s v="D000097"/>
    <s v="3.77.114.6"/>
    <s v="M088"/>
    <s v="Branch"/>
    <n v="24"/>
    <s v="Student"/>
    <n v="107"/>
    <n v="1"/>
    <n v="752.25"/>
    <d v="2024-11-04T08:07:45"/>
    <n v="18"/>
    <s v="Monday"/>
    <n v="-0.177853899624345"/>
    <b v="0"/>
    <b v="0"/>
    <b v="1"/>
    <n v="0"/>
    <m/>
    <n v="0"/>
    <m/>
  </r>
  <r>
    <s v="TX000666"/>
    <s v="AC00393"/>
    <n v="152.18"/>
    <d v="2023-08-07T16:57:22"/>
    <s v="Credit"/>
    <x v="16"/>
    <s v="D000637"/>
    <s v="40.244.94.218"/>
    <s v="M093"/>
    <s v="Online"/>
    <n v="39"/>
    <s v="Engineer"/>
    <n v="176"/>
    <n v="4"/>
    <n v="2459.84"/>
    <d v="2024-11-04T08:10:50"/>
    <n v="16"/>
    <s v="Monday"/>
    <n v="-0.49808408623968298"/>
    <b v="0"/>
    <b v="1"/>
    <b v="1"/>
    <n v="1"/>
    <m/>
    <n v="0"/>
    <m/>
  </r>
  <r>
    <s v="TX000667"/>
    <s v="AC00361"/>
    <n v="114.35"/>
    <d v="2023-11-27T16:16:19"/>
    <s v="Credit"/>
    <x v="39"/>
    <s v="D000264"/>
    <s v="193.221.15.59"/>
    <s v="M025"/>
    <s v="Branch"/>
    <n v="41"/>
    <s v="Engineer"/>
    <n v="21"/>
    <n v="1"/>
    <n v="469.12"/>
    <d v="2024-11-04T08:10:13"/>
    <n v="16"/>
    <s v="Monday"/>
    <n v="-0.62766273593118105"/>
    <b v="0"/>
    <b v="0"/>
    <b v="1"/>
    <n v="0"/>
    <m/>
    <n v="0"/>
    <m/>
  </r>
  <r>
    <s v="TX000668"/>
    <s v="AC00092"/>
    <n v="373.27"/>
    <d v="2023-07-18T18:03:03"/>
    <s v="Credit"/>
    <x v="19"/>
    <s v="D000090"/>
    <s v="35.67.21.23"/>
    <s v="M053"/>
    <s v="Online"/>
    <n v="61"/>
    <s v="Doctor"/>
    <n v="79"/>
    <n v="1"/>
    <n v="8441.61"/>
    <d v="2024-11-04T08:06:36"/>
    <n v="18"/>
    <s v="Tuesday"/>
    <n v="0.25921286486508699"/>
    <b v="0"/>
    <b v="0"/>
    <b v="1"/>
    <n v="0"/>
    <m/>
    <n v="0"/>
    <m/>
  </r>
  <r>
    <s v="TX000669"/>
    <s v="AC00049"/>
    <n v="504.63"/>
    <d v="2023-11-13T17:07:10"/>
    <s v="Debit"/>
    <x v="42"/>
    <s v="D000129"/>
    <s v="77.21.150.75"/>
    <s v="M068"/>
    <s v="Online"/>
    <n v="60"/>
    <s v="Engineer"/>
    <n v="168"/>
    <n v="1"/>
    <n v="3806.16"/>
    <d v="2024-11-04T08:07:50"/>
    <n v="17"/>
    <s v="Monday"/>
    <n v="0.70915871269684205"/>
    <b v="0"/>
    <b v="0"/>
    <b v="1"/>
    <n v="0"/>
    <m/>
    <n v="0"/>
    <m/>
  </r>
  <r>
    <s v="TX000670"/>
    <s v="AC00023"/>
    <n v="126.22"/>
    <d v="2023-05-04T16:25:15"/>
    <s v="Debit"/>
    <x v="4"/>
    <s v="D000094"/>
    <s v="9.230.41.239"/>
    <s v="M081"/>
    <s v="ATM"/>
    <n v="46"/>
    <s v="Engineer"/>
    <n v="77"/>
    <n v="4"/>
    <n v="6133.41"/>
    <d v="2024-11-04T08:07:41"/>
    <n v="16"/>
    <s v="Thursday"/>
    <n v="-0.58700456591167105"/>
    <b v="0"/>
    <b v="1"/>
    <b v="1"/>
    <n v="1"/>
    <m/>
    <n v="0"/>
    <m/>
  </r>
  <r>
    <s v="TX000671"/>
    <s v="AC00323"/>
    <n v="820.15"/>
    <d v="2023-12-18T16:33:01"/>
    <s v="Debit"/>
    <x v="31"/>
    <s v="D000281"/>
    <s v="13.188.62.74"/>
    <s v="M093"/>
    <s v="Branch"/>
    <n v="47"/>
    <s v="Doctor"/>
    <n v="181"/>
    <n v="1"/>
    <n v="8802.9699999999993"/>
    <d v="2024-11-04T08:10:34"/>
    <n v="16"/>
    <s v="Monday"/>
    <n v="1.7899056212525299"/>
    <b v="0"/>
    <b v="0"/>
    <b v="1"/>
    <n v="0"/>
    <m/>
    <n v="0"/>
    <m/>
  </r>
  <r>
    <s v="TX000672"/>
    <s v="AC00372"/>
    <n v="986.81"/>
    <d v="2023-03-31T16:52:35"/>
    <s v="Credit"/>
    <x v="1"/>
    <s v="D000093"/>
    <s v="145.76.10.8"/>
    <s v="M039"/>
    <s v="Online"/>
    <n v="68"/>
    <s v="Doctor"/>
    <n v="127"/>
    <n v="1"/>
    <n v="14881.77"/>
    <d v="2024-11-04T08:09:09"/>
    <n v="16"/>
    <s v="Friday"/>
    <n v="2.3607641398246999"/>
    <b v="1"/>
    <b v="0"/>
    <b v="1"/>
    <n v="1"/>
    <m/>
    <n v="1"/>
    <m/>
  </r>
  <r>
    <s v="TX000673"/>
    <s v="AC00497"/>
    <n v="8.3699999999999992"/>
    <d v="2023-01-12T16:21:27"/>
    <s v="Debit"/>
    <x v="40"/>
    <s v="D000425"/>
    <s v="143.212.47.226"/>
    <s v="M011"/>
    <s v="ATM"/>
    <n v="63"/>
    <s v="Retired"/>
    <n v="135"/>
    <n v="1"/>
    <n v="1106.3399999999999"/>
    <d v="2024-11-04T08:11:23"/>
    <n v="16"/>
    <s v="Thursday"/>
    <n v="-0.99067477120226399"/>
    <b v="0"/>
    <b v="0"/>
    <b v="1"/>
    <n v="0"/>
    <m/>
    <n v="0"/>
    <m/>
  </r>
  <r>
    <s v="TX000674"/>
    <s v="AC00130"/>
    <n v="197.49"/>
    <d v="2023-07-03T16:36:45"/>
    <s v="Credit"/>
    <x v="41"/>
    <s v="D000649"/>
    <s v="167.67.137.223"/>
    <s v="M007"/>
    <s v="Online"/>
    <n v="53"/>
    <s v="Retired"/>
    <n v="30"/>
    <n v="1"/>
    <n v="5005.33"/>
    <d v="2024-11-04T08:06:40"/>
    <n v="16"/>
    <s v="Monday"/>
    <n v="-0.342884281388458"/>
    <b v="0"/>
    <b v="0"/>
    <b v="1"/>
    <n v="0"/>
    <m/>
    <n v="0"/>
    <m/>
  </r>
  <r>
    <s v="TX000675"/>
    <s v="AC00034"/>
    <n v="637.97"/>
    <d v="2023-10-23T17:17:18"/>
    <s v="Debit"/>
    <x v="22"/>
    <s v="D000646"/>
    <s v="104.165.213.58"/>
    <s v="M066"/>
    <s v="Branch"/>
    <n v="58"/>
    <s v="Retired"/>
    <n v="90"/>
    <n v="1"/>
    <n v="7949.03"/>
    <d v="2024-11-04T08:07:56"/>
    <n v="17"/>
    <s v="Monday"/>
    <n v="1.1658866310120499"/>
    <b v="0"/>
    <b v="0"/>
    <b v="1"/>
    <n v="0"/>
    <m/>
    <n v="0"/>
    <m/>
  </r>
  <r>
    <s v="TX000676"/>
    <s v="AC00286"/>
    <n v="13.52"/>
    <d v="2023-05-15T16:51:28"/>
    <s v="Debit"/>
    <x v="6"/>
    <s v="D000584"/>
    <s v="167.67.137.223"/>
    <s v="M001"/>
    <s v="ATM"/>
    <n v="26"/>
    <s v="Student"/>
    <n v="65"/>
    <n v="1"/>
    <n v="259.77"/>
    <d v="2024-11-04T08:06:30"/>
    <n v="16"/>
    <s v="Monday"/>
    <n v="-0.97303453736903101"/>
    <b v="0"/>
    <b v="0"/>
    <b v="1"/>
    <n v="0"/>
    <m/>
    <n v="0"/>
    <m/>
  </r>
  <r>
    <s v="TX000677"/>
    <s v="AC00232"/>
    <n v="432.1"/>
    <d v="2023-03-20T16:28:17"/>
    <s v="Debit"/>
    <x v="23"/>
    <s v="D000264"/>
    <s v="182.84.41.229"/>
    <s v="M048"/>
    <s v="ATM"/>
    <n v="49"/>
    <s v="Engineer"/>
    <n v="240"/>
    <n v="1"/>
    <n v="2114.3000000000002"/>
    <d v="2024-11-04T08:10:16"/>
    <n v="16"/>
    <s v="Monday"/>
    <n v="0.46072256513870302"/>
    <b v="0"/>
    <b v="0"/>
    <b v="1"/>
    <n v="0"/>
    <m/>
    <n v="0"/>
    <m/>
  </r>
  <r>
    <s v="TX000678"/>
    <s v="AC00182"/>
    <n v="375.17"/>
    <d v="2023-06-08T17:20:53"/>
    <s v="Debit"/>
    <x v="18"/>
    <s v="D000226"/>
    <s v="112.196.12.19"/>
    <s v="M053"/>
    <s v="ATM"/>
    <n v="51"/>
    <s v="Engineer"/>
    <n v="66"/>
    <n v="2"/>
    <n v="5495.3"/>
    <d v="2024-11-04T08:11:26"/>
    <n v="17"/>
    <s v="Thursday"/>
    <n v="0.26572091229870698"/>
    <b v="0"/>
    <b v="1"/>
    <b v="1"/>
    <n v="1"/>
    <m/>
    <n v="0"/>
    <m/>
  </r>
  <r>
    <s v="TX000679"/>
    <s v="AC00136"/>
    <n v="642.67999999999995"/>
    <d v="2023-02-17T16:57:11"/>
    <s v="Debit"/>
    <x v="41"/>
    <s v="D000269"/>
    <s v="56.116.189.0"/>
    <s v="M034"/>
    <s v="Branch"/>
    <n v="50"/>
    <s v="Doctor"/>
    <n v="94"/>
    <n v="1"/>
    <n v="8461.4599999999991"/>
    <d v="2024-11-04T08:08:38"/>
    <n v="16"/>
    <s v="Friday"/>
    <n v="1.1820197380711801"/>
    <b v="0"/>
    <b v="0"/>
    <b v="1"/>
    <n v="0"/>
    <m/>
    <n v="0"/>
    <m/>
  </r>
  <r>
    <s v="TX000680"/>
    <s v="AC00101"/>
    <n v="78.44"/>
    <d v="2023-11-21T17:25:30"/>
    <s v="Credit"/>
    <x v="24"/>
    <s v="D000476"/>
    <s v="35.246.53.10"/>
    <s v="M033"/>
    <s v="Online"/>
    <n v="52"/>
    <s v="Retired"/>
    <n v="292"/>
    <n v="1"/>
    <n v="6870.84"/>
    <d v="2024-11-04T08:10:39"/>
    <n v="17"/>
    <s v="Tuesday"/>
    <n v="-0.75066483242660098"/>
    <b v="0"/>
    <b v="0"/>
    <b v="1"/>
    <n v="0"/>
    <m/>
    <n v="0"/>
    <m/>
  </r>
  <r>
    <s v="TX000681"/>
    <s v="AC00328"/>
    <n v="139.72"/>
    <d v="2023-01-16T17:53:00"/>
    <s v="Debit"/>
    <x v="11"/>
    <s v="D000516"/>
    <s v="219.98.242.240"/>
    <s v="M033"/>
    <s v="Branch"/>
    <n v="49"/>
    <s v="Engineer"/>
    <n v="201"/>
    <n v="1"/>
    <n v="5058.83"/>
    <d v="2024-11-04T08:08:24"/>
    <n v="17"/>
    <s v="Monday"/>
    <n v="-0.54076317625173898"/>
    <b v="0"/>
    <b v="0"/>
    <b v="1"/>
    <n v="0"/>
    <m/>
    <n v="0"/>
    <m/>
  </r>
  <r>
    <s v="TX000682"/>
    <s v="AC00356"/>
    <n v="499.99"/>
    <d v="2023-08-02T16:01:17"/>
    <s v="Debit"/>
    <x v="24"/>
    <s v="D000100"/>
    <s v="9.230.41.239"/>
    <s v="M046"/>
    <s v="Branch"/>
    <n v="31"/>
    <s v="Engineer"/>
    <n v="296"/>
    <n v="1"/>
    <n v="8885"/>
    <d v="2024-11-04T08:09:05"/>
    <n v="16"/>
    <s v="Wednesday"/>
    <n v="0.69326537580631697"/>
    <b v="0"/>
    <b v="0"/>
    <b v="1"/>
    <n v="0"/>
    <m/>
    <n v="0"/>
    <m/>
  </r>
  <r>
    <s v="TX000683"/>
    <s v="AC00312"/>
    <n v="10.07"/>
    <d v="2023-01-17T16:47:41"/>
    <s v="Debit"/>
    <x v="10"/>
    <s v="D000494"/>
    <s v="23.92.205.75"/>
    <s v="M029"/>
    <s v="Online"/>
    <n v="24"/>
    <s v="Student"/>
    <n v="49"/>
    <n v="1"/>
    <n v="530.80999999999995"/>
    <d v="2024-11-04T08:08:57"/>
    <n v="16"/>
    <s v="Tuesday"/>
    <n v="-0.98485178139323504"/>
    <b v="0"/>
    <b v="0"/>
    <b v="1"/>
    <n v="0"/>
    <m/>
    <n v="0"/>
    <m/>
  </r>
  <r>
    <s v="TX000684"/>
    <s v="AC00242"/>
    <n v="120.62"/>
    <d v="2023-02-27T16:37:11"/>
    <s v="Debit"/>
    <x v="3"/>
    <s v="D000024"/>
    <s v="134.222.122.238"/>
    <s v="M087"/>
    <s v="ATM"/>
    <n v="23"/>
    <s v="Student"/>
    <n v="85"/>
    <n v="1"/>
    <n v="9379.5300000000007"/>
    <d v="2024-11-04T08:06:39"/>
    <n v="16"/>
    <s v="Monday"/>
    <n v="-0.606186179400235"/>
    <b v="0"/>
    <b v="0"/>
    <b v="1"/>
    <n v="0"/>
    <m/>
    <n v="0"/>
    <m/>
  </r>
  <r>
    <s v="TX000685"/>
    <s v="AC00123"/>
    <n v="578.49"/>
    <d v="2023-10-16T17:46:51"/>
    <s v="Debit"/>
    <x v="9"/>
    <s v="D000463"/>
    <s v="194.88.79.54"/>
    <s v="M032"/>
    <s v="Branch"/>
    <n v="59"/>
    <s v="Retired"/>
    <n v="180"/>
    <n v="1"/>
    <n v="6475.13"/>
    <d v="2024-11-04T08:06:50"/>
    <n v="17"/>
    <s v="Monday"/>
    <n v="0.962150493458516"/>
    <b v="0"/>
    <b v="0"/>
    <b v="1"/>
    <n v="0"/>
    <m/>
    <n v="0"/>
    <m/>
  </r>
  <r>
    <s v="TX000686"/>
    <s v="AC00071"/>
    <n v="119.3"/>
    <d v="2023-08-28T16:08:54"/>
    <s v="Debit"/>
    <x v="2"/>
    <s v="D000597"/>
    <s v="90.111.245.138"/>
    <s v="M058"/>
    <s v="Branch"/>
    <n v="34"/>
    <s v="Engineer"/>
    <n v="22"/>
    <n v="5"/>
    <n v="319.04000000000002"/>
    <d v="2024-11-04T08:08:55"/>
    <n v="16"/>
    <s v="Monday"/>
    <n v="-0.61070755972253998"/>
    <b v="0"/>
    <b v="1"/>
    <b v="1"/>
    <n v="1"/>
    <m/>
    <n v="0"/>
    <m/>
  </r>
  <r>
    <s v="TX000687"/>
    <s v="AC00370"/>
    <n v="280.92"/>
    <d v="2024-01-01T18:21:50"/>
    <s v="Debit"/>
    <x v="37"/>
    <s v="D000320"/>
    <s v="120.170.93.69"/>
    <s v="M048"/>
    <s v="Online"/>
    <n v="41"/>
    <s v="Doctor"/>
    <n v="168"/>
    <n v="1"/>
    <n v="5298.85"/>
    <d v="2024-11-04T08:06:41"/>
    <n v="18"/>
    <s v="Monday"/>
    <n v="-5.7112493290077899E-2"/>
    <b v="0"/>
    <b v="0"/>
    <b v="1"/>
    <n v="0"/>
    <m/>
    <n v="0"/>
    <m/>
  </r>
  <r>
    <s v="TX000688"/>
    <s v="AC00330"/>
    <n v="42.42"/>
    <d v="2023-06-01T17:19:57"/>
    <s v="Debit"/>
    <x v="30"/>
    <s v="D000068"/>
    <s v="61.95.76.233"/>
    <s v="M042"/>
    <s v="Online"/>
    <n v="21"/>
    <s v="Student"/>
    <n v="102"/>
    <n v="1"/>
    <n v="490.57"/>
    <d v="2024-11-04T08:09:11"/>
    <n v="17"/>
    <s v="Thursday"/>
    <n v="-0.87404371061554598"/>
    <b v="0"/>
    <b v="0"/>
    <b v="1"/>
    <n v="0"/>
    <m/>
    <n v="0"/>
    <m/>
  </r>
  <r>
    <s v="TX000689"/>
    <s v="AC00218"/>
    <n v="77.03"/>
    <d v="2023-06-19T16:57:53"/>
    <s v="Debit"/>
    <x v="41"/>
    <s v="D000681"/>
    <s v="121.67.144.20"/>
    <s v="M030"/>
    <s v="ATM"/>
    <n v="67"/>
    <s v="Doctor"/>
    <n v="259"/>
    <n v="1"/>
    <n v="11310.27"/>
    <d v="2024-11-04T08:08:06"/>
    <n v="16"/>
    <s v="Monday"/>
    <n v="-0.75549448867997204"/>
    <b v="0"/>
    <b v="0"/>
    <b v="1"/>
    <n v="0"/>
    <m/>
    <n v="0"/>
    <m/>
  </r>
  <r>
    <s v="TX000690"/>
    <s v="AC00437"/>
    <n v="22.59"/>
    <d v="2023-03-27T16:12:36"/>
    <s v="Debit"/>
    <x v="6"/>
    <s v="D000048"/>
    <s v="113.115.81.178"/>
    <s v="M060"/>
    <s v="ATM"/>
    <n v="62"/>
    <s v="Retired"/>
    <n v="45"/>
    <n v="1"/>
    <n v="3988.75"/>
    <d v="2024-11-04T08:08:22"/>
    <n v="16"/>
    <s v="Monday"/>
    <n v="-0.94196717409380204"/>
    <b v="0"/>
    <b v="0"/>
    <b v="1"/>
    <n v="0"/>
    <m/>
    <n v="0"/>
    <m/>
  </r>
  <r>
    <s v="TX000691"/>
    <s v="AC00287"/>
    <n v="568.76"/>
    <d v="2023-10-09T16:48:50"/>
    <s v="Debit"/>
    <x v="21"/>
    <s v="D000221"/>
    <s v="63.191.171.41"/>
    <s v="M097"/>
    <s v="ATM"/>
    <n v="51"/>
    <s v="Retired"/>
    <n v="155"/>
    <n v="1"/>
    <n v="7484.32"/>
    <d v="2024-11-04T08:12:09"/>
    <n v="16"/>
    <s v="Monday"/>
    <n v="0.92882244002213499"/>
    <b v="0"/>
    <b v="0"/>
    <b v="1"/>
    <n v="0"/>
    <m/>
    <n v="0"/>
    <m/>
  </r>
  <r>
    <s v="TX000692"/>
    <s v="AC00418"/>
    <n v="25.94"/>
    <d v="2023-10-16T18:53:31"/>
    <s v="Credit"/>
    <x v="24"/>
    <s v="D000232"/>
    <s v="42.219.228.159"/>
    <s v="M003"/>
    <s v="Online"/>
    <n v="58"/>
    <s v="Retired"/>
    <n v="211"/>
    <n v="5"/>
    <n v="4815.1099999999997"/>
    <d v="2024-11-04T08:06:38"/>
    <n v="18"/>
    <s v="Monday"/>
    <n v="-0.93049245888189303"/>
    <b v="0"/>
    <b v="1"/>
    <b v="1"/>
    <n v="1"/>
    <m/>
    <n v="0"/>
    <m/>
  </r>
  <r>
    <s v="TX000693"/>
    <s v="AC00465"/>
    <n v="105.94"/>
    <d v="2023-08-07T16:02:55"/>
    <s v="Debit"/>
    <x v="5"/>
    <s v="D000532"/>
    <s v="160.212.125.105"/>
    <s v="M074"/>
    <s v="Branch"/>
    <n v="51"/>
    <s v="Engineer"/>
    <n v="207"/>
    <n v="1"/>
    <n v="5963.1"/>
    <d v="2024-11-04T08:09:59"/>
    <n v="16"/>
    <s v="Monday"/>
    <n v="-0.65646940904525797"/>
    <b v="0"/>
    <b v="0"/>
    <b v="1"/>
    <n v="0"/>
    <m/>
    <n v="0"/>
    <m/>
  </r>
  <r>
    <s v="TX000694"/>
    <s v="AC00011"/>
    <n v="733.29"/>
    <d v="2023-03-15T18:42:16"/>
    <s v="Debit"/>
    <x v="33"/>
    <s v="D000618"/>
    <s v="16.51.235.240"/>
    <s v="M032"/>
    <s v="ATM"/>
    <n v="52"/>
    <s v="Doctor"/>
    <n v="94"/>
    <n v="5"/>
    <n v="10427"/>
    <d v="2024-11-04T08:07:12"/>
    <n v="18"/>
    <s v="Wednesday"/>
    <n v="1.4923850948924"/>
    <b v="0"/>
    <b v="1"/>
    <b v="1"/>
    <n v="1"/>
    <m/>
    <n v="0"/>
    <m/>
  </r>
  <r>
    <s v="TX000695"/>
    <s v="AC00432"/>
    <n v="350.15"/>
    <d v="2023-11-27T16:18:25"/>
    <s v="Credit"/>
    <x v="41"/>
    <s v="D000234"/>
    <s v="11.167.243.171"/>
    <s v="M052"/>
    <s v="ATM"/>
    <n v="21"/>
    <s v="Student"/>
    <n v="195"/>
    <n v="1"/>
    <n v="296.47000000000003"/>
    <d v="2024-11-04T08:08:37"/>
    <n v="16"/>
    <s v="Monday"/>
    <n v="0.18002020346229999"/>
    <b v="0"/>
    <b v="0"/>
    <b v="1"/>
    <n v="0"/>
    <m/>
    <n v="0"/>
    <m/>
  </r>
  <r>
    <s v="TX000696"/>
    <s v="AC00240"/>
    <n v="1151.18"/>
    <d v="2023-08-25T17:26:27"/>
    <s v="Debit"/>
    <x v="31"/>
    <s v="D000208"/>
    <s v="72.192.101.196"/>
    <s v="M055"/>
    <s v="ATM"/>
    <n v="65"/>
    <s v="Doctor"/>
    <n v="105"/>
    <n v="1"/>
    <n v="1100.06"/>
    <d v="2024-11-04T08:07:02"/>
    <n v="17"/>
    <s v="Friday"/>
    <n v="2.9237787485952902"/>
    <b v="1"/>
    <b v="0"/>
    <b v="1"/>
    <n v="1"/>
    <m/>
    <n v="1"/>
    <m/>
  </r>
  <r>
    <s v="TX000697"/>
    <s v="AC00497"/>
    <n v="183.67"/>
    <d v="2023-06-26T16:11:29"/>
    <s v="Debit"/>
    <x v="0"/>
    <s v="D000187"/>
    <s v="77.7.223.184"/>
    <s v="M085"/>
    <s v="Online"/>
    <n v="19"/>
    <s v="Student"/>
    <n v="238"/>
    <n v="1"/>
    <n v="910.26"/>
    <d v="2024-11-04T08:11:05"/>
    <n v="16"/>
    <s v="Monday"/>
    <n v="-0.390221763247737"/>
    <b v="0"/>
    <b v="0"/>
    <b v="1"/>
    <n v="0"/>
    <m/>
    <n v="0"/>
    <m/>
  </r>
  <r>
    <s v="TX000698"/>
    <s v="AC00026"/>
    <n v="278.27"/>
    <d v="2023-04-10T16:47:55"/>
    <s v="Debit"/>
    <x v="28"/>
    <s v="D000141"/>
    <s v="87.234.36.48"/>
    <s v="M027"/>
    <s v="Branch"/>
    <n v="29"/>
    <s v="Doctor"/>
    <n v="123"/>
    <n v="1"/>
    <n v="6684.34"/>
    <d v="2024-11-04T08:09:58"/>
    <n v="16"/>
    <s v="Monday"/>
    <n v="-6.6189506815916496E-2"/>
    <b v="0"/>
    <b v="0"/>
    <b v="1"/>
    <n v="0"/>
    <m/>
    <n v="0"/>
    <m/>
  </r>
  <r>
    <s v="TX000699"/>
    <s v="AC00277"/>
    <n v="470.3"/>
    <d v="2023-09-12T18:46:45"/>
    <s v="Debit"/>
    <x v="14"/>
    <s v="D000695"/>
    <s v="41.110.46.150"/>
    <s v="M091"/>
    <s v="ATM"/>
    <n v="40"/>
    <s v="Doctor"/>
    <n v="88"/>
    <n v="1"/>
    <n v="8524.09"/>
    <d v="2024-11-04T08:08:00"/>
    <n v="18"/>
    <s v="Tuesday"/>
    <n v="0.59156857143569597"/>
    <b v="0"/>
    <b v="0"/>
    <b v="1"/>
    <n v="0"/>
    <m/>
    <n v="0"/>
    <m/>
  </r>
  <r>
    <s v="TX000700"/>
    <s v="AC00116"/>
    <n v="261.69"/>
    <d v="2023-11-27T17:29:25"/>
    <s v="Debit"/>
    <x v="26"/>
    <s v="D000117"/>
    <s v="197.52.3.107"/>
    <s v="M042"/>
    <s v="ATM"/>
    <n v="53"/>
    <s v="Retired"/>
    <n v="84"/>
    <n v="1"/>
    <n v="5126.6499999999996"/>
    <d v="2024-11-04T08:09:09"/>
    <n v="17"/>
    <s v="Monday"/>
    <n v="-0.12298078389455901"/>
    <b v="0"/>
    <b v="0"/>
    <b v="1"/>
    <n v="0"/>
    <m/>
    <n v="0"/>
    <m/>
  </r>
  <r>
    <s v="TX000701"/>
    <s v="AC00367"/>
    <n v="365.04"/>
    <d v="2023-03-06T16:29:57"/>
    <s v="Debit"/>
    <x v="33"/>
    <s v="D000232"/>
    <s v="86.220.59.252"/>
    <s v="M003"/>
    <s v="Branch"/>
    <n v="22"/>
    <s v="Student"/>
    <n v="94"/>
    <n v="1"/>
    <n v="873.89"/>
    <d v="2024-11-04T08:12:08"/>
    <n v="16"/>
    <s v="Monday"/>
    <n v="0.23102274361314301"/>
    <b v="0"/>
    <b v="0"/>
    <b v="1"/>
    <n v="0"/>
    <m/>
    <n v="0"/>
    <m/>
  </r>
  <r>
    <s v="TX000702"/>
    <s v="AC00030"/>
    <n v="211.1"/>
    <d v="2023-09-14T16:58:48"/>
    <s v="Debit"/>
    <x v="19"/>
    <s v="D000653"/>
    <s v="19.228.76.177"/>
    <s v="M070"/>
    <s v="Branch"/>
    <n v="57"/>
    <s v="Retired"/>
    <n v="136"/>
    <n v="1"/>
    <n v="7059.77"/>
    <d v="2024-11-04T08:07:01"/>
    <n v="16"/>
    <s v="Thursday"/>
    <n v="-0.29626611003500097"/>
    <b v="0"/>
    <b v="0"/>
    <b v="1"/>
    <n v="0"/>
    <m/>
    <n v="0"/>
    <m/>
  </r>
  <r>
    <s v="TX000703"/>
    <s v="AC00111"/>
    <n v="21.49"/>
    <d v="2023-05-04T16:51:17"/>
    <s v="Debit"/>
    <x v="13"/>
    <s v="D000108"/>
    <s v="60.43.160.195"/>
    <s v="M050"/>
    <s v="ATM"/>
    <n v="58"/>
    <s v="Doctor"/>
    <n v="240"/>
    <n v="1"/>
    <n v="11991.24"/>
    <d v="2024-11-04T08:08:08"/>
    <n v="16"/>
    <s v="Thursday"/>
    <n v="-0.945734991029056"/>
    <b v="0"/>
    <b v="0"/>
    <b v="1"/>
    <n v="0"/>
    <m/>
    <n v="0"/>
    <m/>
  </r>
  <r>
    <s v="TX000704"/>
    <s v="AC00220"/>
    <n v="63.58"/>
    <d v="2023-09-11T17:43:14"/>
    <s v="Debit"/>
    <x v="15"/>
    <s v="D000081"/>
    <s v="163.129.70.210"/>
    <s v="M093"/>
    <s v="ATM"/>
    <n v="18"/>
    <s v="Student"/>
    <n v="199"/>
    <n v="1"/>
    <n v="8086.04"/>
    <d v="2024-11-04T08:11:56"/>
    <n v="17"/>
    <s v="Monday"/>
    <n v="-0.801564613933756"/>
    <b v="0"/>
    <b v="0"/>
    <b v="1"/>
    <n v="0"/>
    <m/>
    <n v="0"/>
    <m/>
  </r>
  <r>
    <s v="TX000705"/>
    <s v="AC00295"/>
    <n v="321.86"/>
    <d v="2023-07-24T16:25:51"/>
    <s v="Debit"/>
    <x v="25"/>
    <s v="D000554"/>
    <s v="141.241.241.128"/>
    <s v="M005"/>
    <s v="ATM"/>
    <n v="63"/>
    <s v="Doctor"/>
    <n v="167"/>
    <n v="1"/>
    <n v="12626.49"/>
    <d v="2024-11-04T08:06:35"/>
    <n v="16"/>
    <s v="Monday"/>
    <n v="8.3118802463820099E-2"/>
    <b v="0"/>
    <b v="0"/>
    <b v="1"/>
    <n v="0"/>
    <m/>
    <n v="0"/>
    <m/>
  </r>
  <r>
    <s v="TX000706"/>
    <s v="AC00137"/>
    <n v="12.11"/>
    <d v="2023-12-12T16:17:27"/>
    <s v="Debit"/>
    <x v="36"/>
    <s v="D000577"/>
    <s v="57.141.198.111"/>
    <s v="M038"/>
    <s v="Branch"/>
    <n v="75"/>
    <s v="Retired"/>
    <n v="127"/>
    <n v="1"/>
    <n v="1730.28"/>
    <d v="2024-11-04T08:07:10"/>
    <n v="16"/>
    <s v="Tuesday"/>
    <n v="-0.97786419362240096"/>
    <b v="0"/>
    <b v="0"/>
    <b v="1"/>
    <n v="0"/>
    <m/>
    <n v="0"/>
    <m/>
  </r>
  <r>
    <s v="TX000707"/>
    <s v="AC00004"/>
    <n v="642.54"/>
    <d v="2023-05-10T18:49:20"/>
    <s v="Debit"/>
    <x v="20"/>
    <s v="D000663"/>
    <s v="166.79.195.157"/>
    <s v="M025"/>
    <s v="Branch"/>
    <n v="44"/>
    <s v="Engineer"/>
    <n v="28"/>
    <n v="1"/>
    <n v="3143.17"/>
    <d v="2024-11-04T08:10:37"/>
    <n v="18"/>
    <s v="Wednesday"/>
    <n v="1.1815401977339699"/>
    <b v="0"/>
    <b v="0"/>
    <b v="1"/>
    <n v="0"/>
    <m/>
    <n v="0"/>
    <m/>
  </r>
  <r>
    <s v="TX000708"/>
    <s v="AC00442"/>
    <n v="210.45"/>
    <d v="2023-12-11T16:47:05"/>
    <s v="Debit"/>
    <x v="17"/>
    <s v="D000547"/>
    <s v="144.91.150.133"/>
    <s v="M011"/>
    <s v="ATM"/>
    <n v="27"/>
    <s v="Student"/>
    <n v="146"/>
    <n v="1"/>
    <n v="1242.49"/>
    <d v="2024-11-04T08:06:24"/>
    <n v="16"/>
    <s v="Monday"/>
    <n v="-0.29849254731492397"/>
    <b v="0"/>
    <b v="0"/>
    <b v="1"/>
    <n v="0"/>
    <m/>
    <n v="0"/>
    <m/>
  </r>
  <r>
    <s v="TX000709"/>
    <s v="AC00201"/>
    <n v="313.64999999999998"/>
    <d v="2023-01-30T16:08:07"/>
    <s v="Credit"/>
    <x v="29"/>
    <s v="D000288"/>
    <s v="57.232.212.116"/>
    <s v="M017"/>
    <s v="Branch"/>
    <n v="55"/>
    <s v="Retired"/>
    <n v="173"/>
    <n v="1"/>
    <n v="1886.36"/>
    <d v="2024-11-04T08:10:49"/>
    <n v="16"/>
    <s v="Monday"/>
    <n v="5.4997186974335303E-2"/>
    <b v="0"/>
    <b v="0"/>
    <b v="1"/>
    <n v="0"/>
    <m/>
    <n v="0"/>
    <m/>
  </r>
  <r>
    <s v="TX000710"/>
    <s v="AC00462"/>
    <n v="99.76"/>
    <d v="2023-08-07T16:21:37"/>
    <s v="Debit"/>
    <x v="30"/>
    <s v="D000501"/>
    <s v="38.164.132.63"/>
    <s v="M039"/>
    <s v="Branch"/>
    <n v="26"/>
    <s v="Student"/>
    <n v="131"/>
    <n v="1"/>
    <n v="416.89"/>
    <d v="2024-11-04T08:06:26"/>
    <n v="16"/>
    <s v="Monday"/>
    <n v="-0.67763768964513804"/>
    <b v="0"/>
    <b v="0"/>
    <b v="1"/>
    <n v="0"/>
    <m/>
    <n v="0"/>
    <m/>
  </r>
  <r>
    <s v="TX000711"/>
    <s v="AC00390"/>
    <n v="115.32"/>
    <d v="2023-07-25T17:24:07"/>
    <s v="Debit"/>
    <x v="13"/>
    <s v="D000663"/>
    <s v="211.45.75.44"/>
    <s v="M075"/>
    <s v="Branch"/>
    <n v="53"/>
    <s v="Retired"/>
    <n v="113"/>
    <n v="1"/>
    <n v="5929.08"/>
    <d v="2024-11-04T08:08:36"/>
    <n v="17"/>
    <s v="Tuesday"/>
    <n v="-0.62434020645191202"/>
    <b v="0"/>
    <b v="0"/>
    <b v="1"/>
    <n v="0"/>
    <m/>
    <n v="0"/>
    <m/>
  </r>
  <r>
    <s v="TX000712"/>
    <s v="AC00297"/>
    <n v="33.61"/>
    <d v="2023-08-21T17:25:00"/>
    <s v="Debit"/>
    <x v="20"/>
    <s v="D000116"/>
    <s v="142.184.68.230"/>
    <s v="M014"/>
    <s v="Online"/>
    <n v="23"/>
    <s v="Student"/>
    <n v="72"/>
    <n v="1"/>
    <n v="479.08"/>
    <d v="2024-11-04T08:08:40"/>
    <n v="17"/>
    <s v="Monday"/>
    <n v="-0.90422049897880497"/>
    <b v="0"/>
    <b v="0"/>
    <b v="1"/>
    <n v="0"/>
    <m/>
    <n v="0"/>
    <m/>
  </r>
  <r>
    <s v="TX000713"/>
    <s v="AC00173"/>
    <n v="498.59"/>
    <d v="2023-01-30T16:20:26"/>
    <s v="Credit"/>
    <x v="5"/>
    <s v="D000604"/>
    <s v="93.169.212.219"/>
    <s v="M032"/>
    <s v="Online"/>
    <n v="33"/>
    <s v="Doctor"/>
    <n v="32"/>
    <n v="1"/>
    <n v="5862.99"/>
    <d v="2024-11-04T08:06:58"/>
    <n v="16"/>
    <s v="Monday"/>
    <n v="0.68846997243417596"/>
    <b v="0"/>
    <b v="0"/>
    <b v="1"/>
    <n v="0"/>
    <m/>
    <n v="0"/>
    <m/>
  </r>
  <r>
    <s v="TX000714"/>
    <s v="AC00382"/>
    <n v="98.81"/>
    <d v="2023-09-04T16:48:13"/>
    <s v="Debit"/>
    <x v="23"/>
    <s v="D000430"/>
    <s v="38.210.156.148"/>
    <s v="M047"/>
    <s v="Branch"/>
    <n v="27"/>
    <s v="Student"/>
    <n v="91"/>
    <n v="1"/>
    <n v="797.1"/>
    <d v="2024-11-04T08:08:11"/>
    <n v="16"/>
    <s v="Monday"/>
    <n v="-0.68089171336194798"/>
    <b v="0"/>
    <b v="0"/>
    <b v="1"/>
    <n v="0"/>
    <m/>
    <n v="0"/>
    <m/>
  </r>
  <r>
    <s v="TX000715"/>
    <s v="AC00175"/>
    <n v="1.87"/>
    <d v="2023-10-20T18:34:41"/>
    <s v="Debit"/>
    <x v="38"/>
    <s v="D000165"/>
    <s v="30.229.179.194"/>
    <s v="M014"/>
    <s v="ATM"/>
    <n v="65"/>
    <s v="Retired"/>
    <n v="147"/>
    <n v="1"/>
    <n v="7287.94"/>
    <d v="2024-11-04T08:09:48"/>
    <n v="18"/>
    <s v="Friday"/>
    <n v="-1.0129391440014901"/>
    <b v="0"/>
    <b v="0"/>
    <b v="1"/>
    <n v="0"/>
    <m/>
    <n v="0"/>
    <m/>
  </r>
  <r>
    <s v="TX000716"/>
    <s v="AC00035"/>
    <n v="78.92"/>
    <d v="2023-06-15T18:57:42"/>
    <s v="Credit"/>
    <x v="36"/>
    <s v="D000118"/>
    <s v="149.84.108.18"/>
    <s v="M075"/>
    <s v="Online"/>
    <n v="59"/>
    <s v="Engineer"/>
    <n v="95"/>
    <n v="1"/>
    <n v="5624.86"/>
    <d v="2024-11-04T08:08:28"/>
    <n v="18"/>
    <s v="Thursday"/>
    <n v="-0.74902069412758099"/>
    <b v="0"/>
    <b v="0"/>
    <b v="1"/>
    <n v="0"/>
    <m/>
    <n v="0"/>
    <m/>
  </r>
  <r>
    <s v="TX000717"/>
    <s v="AC00219"/>
    <n v="194.29"/>
    <d v="2023-01-23T16:05:42"/>
    <s v="Credit"/>
    <x v="6"/>
    <s v="D000307"/>
    <s v="160.65.101.37"/>
    <s v="M059"/>
    <s v="Branch"/>
    <n v="39"/>
    <s v="Engineer"/>
    <n v="10"/>
    <n v="1"/>
    <n v="2988.41"/>
    <d v="2024-11-04T08:08:57"/>
    <n v="16"/>
    <s v="Monday"/>
    <n v="-0.35384520338192399"/>
    <b v="0"/>
    <b v="0"/>
    <b v="1"/>
    <n v="0"/>
    <m/>
    <n v="0"/>
    <m/>
  </r>
  <r>
    <s v="TX000718"/>
    <s v="AC00416"/>
    <n v="28.73"/>
    <d v="2023-10-31T16:11:57"/>
    <s v="Debit"/>
    <x v="31"/>
    <s v="D000384"/>
    <s v="93.52.44.101"/>
    <s v="M016"/>
    <s v="ATM"/>
    <n v="53"/>
    <s v="Engineer"/>
    <n v="185"/>
    <n v="1"/>
    <n v="2712.96"/>
    <d v="2024-11-04T08:08:37"/>
    <n v="16"/>
    <s v="Tuesday"/>
    <n v="-0.92093590501884004"/>
    <b v="0"/>
    <b v="0"/>
    <b v="1"/>
    <n v="0"/>
    <m/>
    <n v="0"/>
    <m/>
  </r>
  <r>
    <s v="TX000719"/>
    <s v="AC00467"/>
    <n v="105.53"/>
    <d v="2023-06-16T16:36:20"/>
    <s v="Debit"/>
    <x v="40"/>
    <s v="D000003"/>
    <s v="53.131.194.183"/>
    <s v="M026"/>
    <s v="Online"/>
    <n v="24"/>
    <s v="Student"/>
    <n v="88"/>
    <n v="1"/>
    <n v="1433.66"/>
    <d v="2024-11-04T08:10:14"/>
    <n v="16"/>
    <s v="Friday"/>
    <n v="-0.65787377717566997"/>
    <b v="0"/>
    <b v="0"/>
    <b v="1"/>
    <n v="0"/>
    <m/>
    <n v="0"/>
    <m/>
  </r>
  <r>
    <s v="TX000720"/>
    <s v="AC00465"/>
    <n v="737.34"/>
    <d v="2023-03-20T17:45:22"/>
    <s v="Debit"/>
    <x v="19"/>
    <s v="D000041"/>
    <s v="93.146.251.20"/>
    <s v="M006"/>
    <s v="Online"/>
    <n v="30"/>
    <s v="Doctor"/>
    <n v="34"/>
    <n v="1"/>
    <n v="7336.56"/>
    <d v="2024-11-04T08:08:06"/>
    <n v="17"/>
    <s v="Monday"/>
    <n v="1.50625751179038"/>
    <b v="0"/>
    <b v="0"/>
    <b v="1"/>
    <n v="0"/>
    <m/>
    <n v="0"/>
    <m/>
  </r>
  <r>
    <s v="TX000721"/>
    <s v="AC00102"/>
    <n v="237.86"/>
    <d v="2023-02-06T17:48:39"/>
    <s v="Debit"/>
    <x v="26"/>
    <s v="D000274"/>
    <s v="135.73.131.111"/>
    <s v="M044"/>
    <s v="ATM"/>
    <n v="18"/>
    <s v="Student"/>
    <n v="210"/>
    <n v="1"/>
    <n v="475.63"/>
    <d v="2024-11-04T08:10:20"/>
    <n v="17"/>
    <s v="Monday"/>
    <n v="-0.20460539986464599"/>
    <b v="0"/>
    <b v="0"/>
    <b v="1"/>
    <n v="0"/>
    <m/>
    <n v="0"/>
    <m/>
  </r>
  <r>
    <s v="TX000722"/>
    <s v="AC00119"/>
    <n v="409.61"/>
    <d v="2023-07-26T16:05:48"/>
    <s v="Debit"/>
    <x v="31"/>
    <s v="D000618"/>
    <s v="197.23.128.119"/>
    <s v="M024"/>
    <s v="Branch"/>
    <n v="65"/>
    <s v="Doctor"/>
    <n v="89"/>
    <n v="1"/>
    <n v="11698.15"/>
    <d v="2024-11-04T08:10:16"/>
    <n v="16"/>
    <s v="Wednesday"/>
    <n v="0.38368783525337902"/>
    <b v="0"/>
    <b v="0"/>
    <b v="1"/>
    <n v="0"/>
    <m/>
    <n v="0"/>
    <m/>
  </r>
  <r>
    <s v="TX000723"/>
    <s v="AC00418"/>
    <n v="75.53"/>
    <d v="2023-08-21T17:36:05"/>
    <s v="Credit"/>
    <x v="41"/>
    <s v="D000597"/>
    <s v="54.252.249.33"/>
    <s v="M009"/>
    <s v="Online"/>
    <n v="21"/>
    <s v="Student"/>
    <n v="157"/>
    <n v="1"/>
    <n v="1034.3499999999999"/>
    <d v="2024-11-04T08:07:11"/>
    <n v="17"/>
    <s v="Monday"/>
    <n v="-0.76063242086440896"/>
    <b v="0"/>
    <b v="0"/>
    <b v="1"/>
    <n v="0"/>
    <m/>
    <n v="0"/>
    <m/>
  </r>
  <r>
    <s v="TX000724"/>
    <s v="AC00237"/>
    <n v="72.75"/>
    <d v="2023-05-01T16:30:03"/>
    <s v="Debit"/>
    <x v="37"/>
    <s v="D000413"/>
    <s v="105.136.156.29"/>
    <s v="M067"/>
    <s v="ATM"/>
    <n v="64"/>
    <s v="Doctor"/>
    <n v="15"/>
    <n v="1"/>
    <n v="12042.79"/>
    <d v="2024-11-04T08:07:19"/>
    <n v="16"/>
    <s v="Monday"/>
    <n v="-0.77015472184623202"/>
    <b v="0"/>
    <b v="0"/>
    <b v="1"/>
    <n v="0"/>
    <m/>
    <n v="0"/>
    <m/>
  </r>
  <r>
    <s v="TX000725"/>
    <s v="AC00279"/>
    <n v="39.11"/>
    <d v="2023-09-01T18:05:37"/>
    <s v="Debit"/>
    <x v="15"/>
    <s v="D000241"/>
    <s v="196.121.240.10"/>
    <s v="M052"/>
    <s v="Online"/>
    <n v="26"/>
    <s v="Student"/>
    <n v="143"/>
    <n v="1"/>
    <n v="518.54"/>
    <d v="2024-11-04T08:08:27"/>
    <n v="18"/>
    <s v="Friday"/>
    <n v="-0.88538141430253703"/>
    <b v="0"/>
    <b v="0"/>
    <b v="1"/>
    <n v="0"/>
    <m/>
    <n v="0"/>
    <m/>
  </r>
  <r>
    <s v="TX000726"/>
    <s v="AC00067"/>
    <n v="1309.79"/>
    <d v="2023-03-06T16:33:43"/>
    <s v="Debit"/>
    <x v="23"/>
    <s v="D000251"/>
    <s v="3.200.166.167"/>
    <s v="M004"/>
    <s v="ATM"/>
    <n v="23"/>
    <s v="Student"/>
    <n v="139"/>
    <n v="1"/>
    <n v="1258.93"/>
    <d v="2024-11-04T08:11:14"/>
    <n v="16"/>
    <s v="Monday"/>
    <n v="3.4670636977776499"/>
    <b v="1"/>
    <b v="0"/>
    <b v="1"/>
    <n v="1"/>
    <m/>
    <n v="1"/>
    <m/>
  </r>
  <r>
    <s v="TX000727"/>
    <s v="AC00043"/>
    <n v="729.38"/>
    <d v="2023-11-14T17:23:43"/>
    <s v="Debit"/>
    <x v="16"/>
    <s v="D000443"/>
    <s v="99.205.173.118"/>
    <s v="M093"/>
    <s v="ATM"/>
    <n v="68"/>
    <s v="Doctor"/>
    <n v="90"/>
    <n v="1"/>
    <n v="9127.65"/>
    <d v="2024-11-04T08:08:16"/>
    <n v="17"/>
    <s v="Tuesday"/>
    <n v="1.47899221833163"/>
    <b v="0"/>
    <b v="0"/>
    <b v="1"/>
    <n v="0"/>
    <m/>
    <n v="0"/>
    <m/>
  </r>
  <r>
    <s v="TX000728"/>
    <s v="AC00012"/>
    <n v="137.49"/>
    <d v="2023-07-26T16:54:08"/>
    <s v="Debit"/>
    <x v="18"/>
    <s v="D000159"/>
    <s v="42.61.10.112"/>
    <s v="M040"/>
    <s v="ATM"/>
    <n v="34"/>
    <s v="Engineer"/>
    <n v="50"/>
    <n v="1"/>
    <n v="4471.05"/>
    <d v="2024-11-04T08:07:04"/>
    <n v="16"/>
    <s v="Wednesday"/>
    <n v="-0.54840156876593504"/>
    <b v="0"/>
    <b v="0"/>
    <b v="1"/>
    <n v="0"/>
    <m/>
    <n v="0"/>
    <m/>
  </r>
  <r>
    <s v="TX000729"/>
    <s v="AC00244"/>
    <n v="504.71"/>
    <d v="2023-04-10T18:27:51"/>
    <s v="Debit"/>
    <x v="8"/>
    <s v="D000009"/>
    <s v="24.148.92.177"/>
    <s v="M060"/>
    <s v="Online"/>
    <n v="29"/>
    <s v="Engineer"/>
    <n v="61"/>
    <n v="1"/>
    <n v="6214.54"/>
    <d v="2024-11-04T08:08:37"/>
    <n v="18"/>
    <s v="Monday"/>
    <n v="0.70943273574667898"/>
    <b v="0"/>
    <b v="0"/>
    <b v="1"/>
    <n v="0"/>
    <m/>
    <n v="0"/>
    <m/>
  </r>
  <r>
    <s v="TX000730"/>
    <s v="AC00395"/>
    <n v="371.47"/>
    <d v="2023-05-30T16:15:10"/>
    <s v="Credit"/>
    <x v="20"/>
    <s v="D000661"/>
    <s v="32.71.250.58"/>
    <s v="M097"/>
    <s v="Branch"/>
    <n v="24"/>
    <s v="Student"/>
    <n v="58"/>
    <n v="1"/>
    <n v="1187.04"/>
    <d v="2024-11-04T08:07:09"/>
    <n v="16"/>
    <s v="Tuesday"/>
    <n v="0.25304734624376302"/>
    <b v="0"/>
    <b v="0"/>
    <b v="1"/>
    <n v="0"/>
    <m/>
    <n v="0"/>
    <m/>
  </r>
  <r>
    <s v="TX000731"/>
    <s v="AC00253"/>
    <n v="430.35"/>
    <d v="2023-02-20T17:23:03"/>
    <s v="Debit"/>
    <x v="27"/>
    <s v="D000096"/>
    <s v="217.233.219.196"/>
    <s v="M007"/>
    <s v="Online"/>
    <n v="36"/>
    <s v="Doctor"/>
    <n v="205"/>
    <n v="1"/>
    <n v="354.9"/>
    <d v="2024-11-04T08:10:51"/>
    <n v="17"/>
    <s v="Monday"/>
    <n v="0.454728310923526"/>
    <b v="0"/>
    <b v="0"/>
    <b v="1"/>
    <n v="0"/>
    <m/>
    <n v="0"/>
    <m/>
  </r>
  <r>
    <s v="TX000732"/>
    <s v="AC00394"/>
    <n v="230.32"/>
    <d v="2023-05-15T18:15:33"/>
    <s v="Debit"/>
    <x v="17"/>
    <s v="D000272"/>
    <s v="49.174.157.140"/>
    <s v="M015"/>
    <s v="Branch"/>
    <n v="35"/>
    <s v="Engineer"/>
    <n v="56"/>
    <n v="1"/>
    <n v="791.46"/>
    <d v="2024-11-04T08:08:34"/>
    <n v="18"/>
    <s v="Monday"/>
    <n v="-0.230432072311749"/>
    <b v="0"/>
    <b v="0"/>
    <b v="1"/>
    <n v="0"/>
    <m/>
    <n v="0"/>
    <m/>
  </r>
  <r>
    <s v="TX000733"/>
    <s v="AC00457"/>
    <n v="121.71"/>
    <d v="2023-09-05T17:02:23"/>
    <s v="Debit"/>
    <x v="29"/>
    <s v="D000674"/>
    <s v="77.208.193.198"/>
    <s v="M015"/>
    <s v="ATM"/>
    <n v="52"/>
    <s v="Retired"/>
    <n v="140"/>
    <n v="1"/>
    <n v="5878.89"/>
    <d v="2024-11-04T08:11:23"/>
    <n v="17"/>
    <s v="Tuesday"/>
    <n v="-0.60245261534621097"/>
    <b v="0"/>
    <b v="0"/>
    <b v="1"/>
    <n v="0"/>
    <m/>
    <n v="0"/>
    <m/>
  </r>
  <r>
    <s v="TX000734"/>
    <s v="AC00046"/>
    <n v="98.87"/>
    <d v="2023-01-03T17:51:07"/>
    <s v="Debit"/>
    <x v="8"/>
    <s v="D000058"/>
    <s v="219.31.152.129"/>
    <s v="M060"/>
    <s v="Online"/>
    <n v="20"/>
    <s v="Student"/>
    <n v="179"/>
    <n v="1"/>
    <n v="533.20000000000005"/>
    <d v="2024-11-04T08:06:58"/>
    <n v="17"/>
    <s v="Tuesday"/>
    <n v="-0.68068619607457004"/>
    <b v="0"/>
    <b v="0"/>
    <b v="1"/>
    <n v="0"/>
    <m/>
    <n v="0"/>
    <m/>
  </r>
  <r>
    <s v="TX000735"/>
    <s v="AC00011"/>
    <n v="117.55"/>
    <d v="2023-05-19T16:35:07"/>
    <s v="Debit"/>
    <x v="41"/>
    <s v="D000088"/>
    <s v="4.101.189.38"/>
    <s v="M046"/>
    <s v="ATM"/>
    <n v="24"/>
    <s v="Student"/>
    <n v="35"/>
    <n v="1"/>
    <n v="897.94"/>
    <d v="2024-11-04T08:11:13"/>
    <n v="16"/>
    <s v="Friday"/>
    <n v="-0.61670181393771595"/>
    <b v="0"/>
    <b v="0"/>
    <b v="1"/>
    <n v="0"/>
    <m/>
    <n v="0"/>
    <m/>
  </r>
  <r>
    <s v="TX000736"/>
    <s v="AC00045"/>
    <n v="244.64"/>
    <d v="2023-02-21T18:41:39"/>
    <s v="Debit"/>
    <x v="28"/>
    <s v="D000172"/>
    <s v="66.255.7.16"/>
    <s v="M072"/>
    <s v="Branch"/>
    <n v="30"/>
    <s v="Doctor"/>
    <n v="103"/>
    <n v="1"/>
    <n v="9159.56"/>
    <d v="2024-11-04T08:06:53"/>
    <n v="18"/>
    <s v="Tuesday"/>
    <n v="-0.181381946390992"/>
    <b v="0"/>
    <b v="0"/>
    <b v="1"/>
    <n v="0"/>
    <m/>
    <n v="0"/>
    <m/>
  </r>
  <r>
    <s v="TX000737"/>
    <s v="AC00181"/>
    <n v="321.93"/>
    <d v="2023-12-04T18:27:11"/>
    <s v="Debit"/>
    <x v="9"/>
    <s v="D000083"/>
    <s v="45.241.13.208"/>
    <s v="M092"/>
    <s v="ATM"/>
    <n v="45"/>
    <s v="Engineer"/>
    <n v="12"/>
    <n v="1"/>
    <n v="4392.7299999999996"/>
    <d v="2024-11-04T08:07:51"/>
    <n v="18"/>
    <s v="Monday"/>
    <n v="8.3358572632427103E-2"/>
    <b v="0"/>
    <b v="0"/>
    <b v="1"/>
    <n v="0"/>
    <m/>
    <n v="0"/>
    <m/>
  </r>
  <r>
    <s v="TX000738"/>
    <s v="AC00149"/>
    <n v="1092.73"/>
    <d v="2023-01-23T17:24:29"/>
    <s v="Debit"/>
    <x v="15"/>
    <s v="D000688"/>
    <s v="56.89.80.133"/>
    <s v="M064"/>
    <s v="Branch"/>
    <n v="58"/>
    <s v="Retired"/>
    <n v="11"/>
    <n v="1"/>
    <n v="1390.98"/>
    <d v="2024-11-04T08:07:50"/>
    <n v="17"/>
    <s v="Monday"/>
    <n v="2.7235706578083998"/>
    <b v="1"/>
    <b v="0"/>
    <b v="1"/>
    <n v="1"/>
    <m/>
    <n v="1"/>
    <m/>
  </r>
  <r>
    <s v="TX000739"/>
    <s v="AC00288"/>
    <n v="283.23"/>
    <d v="2023-02-06T16:48:45"/>
    <s v="Debit"/>
    <x v="39"/>
    <s v="D000695"/>
    <s v="146.69.70.214"/>
    <s v="M061"/>
    <s v="Online"/>
    <n v="40"/>
    <s v="Engineer"/>
    <n v="98"/>
    <n v="1"/>
    <n v="2008.77"/>
    <d v="2024-11-04T08:07:38"/>
    <n v="16"/>
    <s v="Monday"/>
    <n v="-4.9200077726044997E-2"/>
    <b v="0"/>
    <b v="0"/>
    <b v="1"/>
    <n v="0"/>
    <m/>
    <n v="0"/>
    <m/>
  </r>
  <r>
    <s v="TX000740"/>
    <s v="AC00014"/>
    <n v="346.65"/>
    <d v="2024-01-01T16:17:13"/>
    <s v="Debit"/>
    <x v="38"/>
    <s v="D000077"/>
    <s v="43.98.242.106"/>
    <s v="M062"/>
    <s v="Online"/>
    <n v="30"/>
    <s v="Engineer"/>
    <n v="60"/>
    <n v="1"/>
    <n v="6356.96"/>
    <d v="2024-11-04T08:06:58"/>
    <n v="16"/>
    <s v="Monday"/>
    <n v="0.16803169503194701"/>
    <b v="0"/>
    <b v="0"/>
    <b v="1"/>
    <n v="0"/>
    <m/>
    <n v="0"/>
    <m/>
  </r>
  <r>
    <s v="TX000741"/>
    <s v="AC00153"/>
    <n v="381.62"/>
    <d v="2023-01-27T16:40:28"/>
    <s v="Debit"/>
    <x v="17"/>
    <s v="D000670"/>
    <s v="187.223.139.194"/>
    <s v="M097"/>
    <s v="Online"/>
    <n v="64"/>
    <s v="Retired"/>
    <n v="164"/>
    <n v="1"/>
    <n v="6009.12"/>
    <d v="2024-11-04T08:11:46"/>
    <n v="16"/>
    <s v="Friday"/>
    <n v="0.28781402069178602"/>
    <b v="0"/>
    <b v="0"/>
    <b v="1"/>
    <n v="0"/>
    <m/>
    <n v="0"/>
    <m/>
  </r>
  <r>
    <s v="TX000742"/>
    <s v="AC00164"/>
    <n v="388.65"/>
    <d v="2023-02-21T16:02:33"/>
    <s v="Debit"/>
    <x v="5"/>
    <s v="D000284"/>
    <s v="40.244.94.218"/>
    <s v="M065"/>
    <s v="ATM"/>
    <n v="76"/>
    <s v="Retired"/>
    <n v="43"/>
    <n v="1"/>
    <n v="7896.85"/>
    <d v="2024-11-04T08:08:15"/>
    <n v="16"/>
    <s v="Tuesday"/>
    <n v="0.31189379619618002"/>
    <b v="0"/>
    <b v="0"/>
    <b v="1"/>
    <n v="0"/>
    <m/>
    <n v="0"/>
    <m/>
  </r>
  <r>
    <s v="TX000743"/>
    <s v="AC00159"/>
    <n v="29.22"/>
    <d v="2023-07-06T18:16:05"/>
    <s v="Debit"/>
    <x v="25"/>
    <s v="D000432"/>
    <s v="44.67.137.125"/>
    <s v="M068"/>
    <s v="ATM"/>
    <n v="24"/>
    <s v="Student"/>
    <n v="151"/>
    <n v="1"/>
    <n v="1649.43"/>
    <d v="2024-11-04T08:09:03"/>
    <n v="18"/>
    <s v="Thursday"/>
    <n v="-0.919257513838591"/>
    <b v="0"/>
    <b v="0"/>
    <b v="1"/>
    <n v="0"/>
    <m/>
    <n v="0"/>
    <m/>
  </r>
  <r>
    <s v="TX000744"/>
    <s v="AC00360"/>
    <n v="46.75"/>
    <d v="2023-07-31T17:37:31"/>
    <s v="Debit"/>
    <x v="40"/>
    <s v="D000469"/>
    <s v="196.244.194.198"/>
    <s v="M078"/>
    <s v="Branch"/>
    <n v="67"/>
    <s v="Retired"/>
    <n v="150"/>
    <n v="1"/>
    <n v="2840.43"/>
    <d v="2024-11-04T08:09:20"/>
    <n v="17"/>
    <s v="Monday"/>
    <n v="-0.859212213043138"/>
    <b v="0"/>
    <b v="0"/>
    <b v="1"/>
    <n v="0"/>
    <m/>
    <n v="0"/>
    <m/>
  </r>
  <r>
    <s v="TX000745"/>
    <s v="AC00326"/>
    <n v="348.64"/>
    <d v="2023-06-09T17:12:09"/>
    <s v="Debit"/>
    <x v="24"/>
    <s v="D000221"/>
    <s v="134.222.122.238"/>
    <s v="M098"/>
    <s v="Online"/>
    <n v="57"/>
    <s v="Retired"/>
    <n v="128"/>
    <n v="1"/>
    <n v="3274.96"/>
    <d v="2024-11-04T08:11:22"/>
    <n v="17"/>
    <s v="Friday"/>
    <n v="0.174848018396633"/>
    <b v="0"/>
    <b v="0"/>
    <b v="1"/>
    <n v="0"/>
    <m/>
    <n v="0"/>
    <m/>
  </r>
  <r>
    <s v="TX000746"/>
    <s v="AC00110"/>
    <n v="319.17"/>
    <d v="2023-01-11T16:58:02"/>
    <s v="Debit"/>
    <x v="28"/>
    <s v="D000444"/>
    <s v="7.28.148.225"/>
    <s v="M088"/>
    <s v="Online"/>
    <n v="73"/>
    <s v="Retired"/>
    <n v="81"/>
    <n v="1"/>
    <n v="6501.56"/>
    <d v="2024-11-04T08:08:49"/>
    <n v="16"/>
    <s v="Wednesday"/>
    <n v="7.39047774130632E-2"/>
    <b v="0"/>
    <b v="0"/>
    <b v="1"/>
    <n v="0"/>
    <m/>
    <n v="0"/>
    <m/>
  </r>
  <r>
    <s v="TX000747"/>
    <s v="AC00110"/>
    <n v="73.95"/>
    <d v="2023-11-03T16:39:45"/>
    <s v="Debit"/>
    <x v="31"/>
    <s v="D000337"/>
    <s v="6.204.110.7"/>
    <s v="M012"/>
    <s v="ATM"/>
    <n v="26"/>
    <s v="Student"/>
    <n v="76"/>
    <n v="1"/>
    <n v="363.92"/>
    <d v="2024-11-04T08:07:22"/>
    <n v="16"/>
    <s v="Friday"/>
    <n v="-0.76604437609868203"/>
    <b v="0"/>
    <b v="0"/>
    <b v="1"/>
    <n v="0"/>
    <m/>
    <n v="0"/>
    <m/>
  </r>
  <r>
    <s v="TX000748"/>
    <s v="AC00257"/>
    <n v="389.63"/>
    <d v="2023-02-16T16:20:06"/>
    <s v="Debit"/>
    <x v="2"/>
    <s v="D000645"/>
    <s v="155.140.33.42"/>
    <s v="M100"/>
    <s v="Online"/>
    <n v="27"/>
    <s v="Engineer"/>
    <n v="99"/>
    <n v="1"/>
    <n v="9748.48"/>
    <d v="2024-11-04T08:08:55"/>
    <n v="16"/>
    <s v="Thursday"/>
    <n v="0.31525057855667898"/>
    <b v="0"/>
    <b v="0"/>
    <b v="1"/>
    <n v="0"/>
    <m/>
    <n v="0"/>
    <m/>
  </r>
  <r>
    <s v="TX000749"/>
    <s v="AC00145"/>
    <n v="217.61"/>
    <d v="2023-03-16T17:36:31"/>
    <s v="Debit"/>
    <x v="29"/>
    <s v="D000172"/>
    <s v="216.32.4.105"/>
    <s v="M025"/>
    <s v="ATM"/>
    <n v="19"/>
    <s v="Student"/>
    <n v="45"/>
    <n v="1"/>
    <n v="1404.53"/>
    <d v="2024-11-04T08:10:08"/>
    <n v="17"/>
    <s v="Thursday"/>
    <n v="-0.27396748435454499"/>
    <b v="0"/>
    <b v="0"/>
    <b v="1"/>
    <n v="0"/>
    <m/>
    <n v="0"/>
    <m/>
  </r>
  <r>
    <s v="TX000750"/>
    <s v="AC00455"/>
    <n v="199.84"/>
    <d v="2023-01-16T16:01:34"/>
    <s v="Debit"/>
    <x v="34"/>
    <s v="D000330"/>
    <s v="48.19.99.211"/>
    <s v="M082"/>
    <s v="ATM"/>
    <n v="21"/>
    <s v="Student"/>
    <n v="150"/>
    <n v="1"/>
    <n v="706.44"/>
    <d v="2024-11-04T08:09:14"/>
    <n v="16"/>
    <s v="Monday"/>
    <n v="-0.33483485429950699"/>
    <b v="0"/>
    <b v="0"/>
    <b v="1"/>
    <n v="0"/>
    <m/>
    <n v="0"/>
    <m/>
  </r>
  <r>
    <s v="TX000751"/>
    <s v="AC00282"/>
    <n v="56.35"/>
    <d v="2023-02-09T16:09:00"/>
    <s v="Debit"/>
    <x v="27"/>
    <s v="D000266"/>
    <s v="166.79.195.157"/>
    <s v="M033"/>
    <s v="ATM"/>
    <n v="44"/>
    <s v="Doctor"/>
    <n v="75"/>
    <n v="1"/>
    <n v="5095.7299999999996"/>
    <d v="2024-11-04T08:07:36"/>
    <n v="16"/>
    <s v="Thursday"/>
    <n v="-0.82632944706274203"/>
    <b v="0"/>
    <b v="0"/>
    <b v="1"/>
    <n v="0"/>
    <m/>
    <n v="0"/>
    <m/>
  </r>
  <r>
    <s v="TX000752"/>
    <s v="AC00045"/>
    <n v="248.95"/>
    <d v="2023-06-16T16:19:35"/>
    <s v="Credit"/>
    <x v="23"/>
    <s v="D000454"/>
    <s v="38.210.156.148"/>
    <s v="M068"/>
    <s v="Branch"/>
    <n v="65"/>
    <s v="Retired"/>
    <n v="29"/>
    <n v="1"/>
    <n v="3059.79"/>
    <d v="2024-11-04T08:09:32"/>
    <n v="16"/>
    <s v="Friday"/>
    <n v="-0.16661895458104301"/>
    <b v="0"/>
    <b v="0"/>
    <b v="1"/>
    <n v="0"/>
    <m/>
    <n v="0"/>
    <m/>
  </r>
  <r>
    <s v="TX000753"/>
    <s v="AC00390"/>
    <n v="142.58000000000001"/>
    <d v="2023-06-19T16:20:51"/>
    <s v="Debit"/>
    <x v="25"/>
    <s v="D000647"/>
    <s v="139.23.212.102"/>
    <s v="M048"/>
    <s v="ATM"/>
    <n v="33"/>
    <s v="Engineer"/>
    <n v="145"/>
    <n v="1"/>
    <n v="7844.23"/>
    <d v="2024-11-04T08:06:46"/>
    <n v="16"/>
    <s v="Monday"/>
    <n v="-0.530966852220079"/>
    <b v="0"/>
    <b v="0"/>
    <b v="1"/>
    <n v="0"/>
    <m/>
    <n v="0"/>
    <m/>
  </r>
  <r>
    <s v="TX000754"/>
    <s v="AC00032"/>
    <n v="1020.73"/>
    <d v="2023-07-24T16:42:06"/>
    <s v="Debit"/>
    <x v="18"/>
    <s v="D000676"/>
    <s v="166.79.195.157"/>
    <s v="M087"/>
    <s v="ATM"/>
    <n v="28"/>
    <s v="Student"/>
    <n v="87"/>
    <n v="1"/>
    <n v="1119.6099999999999"/>
    <d v="2024-11-04T08:11:32"/>
    <n v="16"/>
    <s v="Monday"/>
    <n v="2.4769499129554302"/>
    <b v="1"/>
    <b v="0"/>
    <b v="1"/>
    <n v="1"/>
    <m/>
    <n v="1"/>
    <m/>
  </r>
  <r>
    <s v="TX000755"/>
    <s v="AC00153"/>
    <n v="84.34"/>
    <d v="2023-06-08T16:27:56"/>
    <s v="Debit"/>
    <x v="11"/>
    <s v="D000493"/>
    <s v="200.136.146.93"/>
    <s v="M039"/>
    <s v="Online"/>
    <n v="58"/>
    <s v="Retired"/>
    <n v="248"/>
    <n v="3"/>
    <n v="5313.97"/>
    <d v="2024-11-04T08:09:31"/>
    <n v="16"/>
    <s v="Thursday"/>
    <n v="-0.73045563250114898"/>
    <b v="0"/>
    <b v="1"/>
    <b v="1"/>
    <n v="1"/>
    <m/>
    <n v="0"/>
    <m/>
  </r>
  <r>
    <s v="TX000756"/>
    <s v="AC00460"/>
    <n v="1607.55"/>
    <d v="2023-09-07T16:27:03"/>
    <s v="Debit"/>
    <x v="37"/>
    <s v="D000070"/>
    <s v="94.37.250.128"/>
    <s v="M031"/>
    <s v="ATM"/>
    <n v="31"/>
    <s v="Engineer"/>
    <n v="156"/>
    <n v="1"/>
    <n v="6227.99"/>
    <d v="2024-11-04T08:07:33"/>
    <n v="16"/>
    <s v="Thursday"/>
    <n v="4.4869774892696102"/>
    <b v="1"/>
    <b v="0"/>
    <b v="1"/>
    <n v="1"/>
    <m/>
    <n v="1"/>
    <m/>
  </r>
  <r>
    <s v="TX000757"/>
    <s v="AC00154"/>
    <n v="333.78"/>
    <d v="2023-11-30T17:53:48"/>
    <s v="Debit"/>
    <x v="0"/>
    <s v="D000444"/>
    <s v="49.31.186.82"/>
    <s v="M057"/>
    <s v="ATM"/>
    <n v="60"/>
    <s v="Retired"/>
    <n v="98"/>
    <n v="1"/>
    <n v="6810.94"/>
    <d v="2024-11-04T08:07:50"/>
    <n v="17"/>
    <s v="Thursday"/>
    <n v="0.12394823688947799"/>
    <b v="0"/>
    <b v="0"/>
    <b v="1"/>
    <n v="0"/>
    <m/>
    <n v="0"/>
    <m/>
  </r>
  <r>
    <s v="TX000758"/>
    <s v="AC00190"/>
    <n v="332.59"/>
    <d v="2023-07-13T17:50:13"/>
    <s v="Debit"/>
    <x v="25"/>
    <s v="D000163"/>
    <s v="166.41.54.117"/>
    <s v="M060"/>
    <s v="Online"/>
    <n v="55"/>
    <s v="Retired"/>
    <n v="143"/>
    <n v="1"/>
    <n v="1457.07"/>
    <d v="2024-11-04T08:09:05"/>
    <n v="17"/>
    <s v="Thursday"/>
    <n v="0.119872144023158"/>
    <b v="0"/>
    <b v="0"/>
    <b v="1"/>
    <n v="0"/>
    <m/>
    <n v="0"/>
    <m/>
  </r>
  <r>
    <s v="TX000759"/>
    <s v="AC00156"/>
    <n v="236.81"/>
    <d v="2023-10-26T16:59:55"/>
    <s v="Debit"/>
    <x v="5"/>
    <s v="D000274"/>
    <s v="189.168.172.41"/>
    <s v="M013"/>
    <s v="Branch"/>
    <n v="22"/>
    <s v="Student"/>
    <n v="15"/>
    <n v="1"/>
    <n v="813.68"/>
    <d v="2024-11-04T08:07:18"/>
    <n v="16"/>
    <s v="Thursday"/>
    <n v="-0.208201952393752"/>
    <b v="0"/>
    <b v="0"/>
    <b v="1"/>
    <n v="0"/>
    <m/>
    <n v="0"/>
    <m/>
  </r>
  <r>
    <s v="TX000760"/>
    <s v="AC00005"/>
    <n v="417.8"/>
    <d v="2023-06-26T16:21:14"/>
    <s v="Credit"/>
    <x v="26"/>
    <s v="D000630"/>
    <s v="49.31.186.82"/>
    <s v="M066"/>
    <s v="Branch"/>
    <n v="27"/>
    <s v="Student"/>
    <n v="130"/>
    <n v="1"/>
    <n v="1518.82"/>
    <d v="2024-11-04T08:09:17"/>
    <n v="16"/>
    <s v="Monday"/>
    <n v="0.41174094498040398"/>
    <b v="0"/>
    <b v="0"/>
    <b v="1"/>
    <n v="0"/>
    <m/>
    <n v="0"/>
    <m/>
  </r>
  <r>
    <s v="TX000761"/>
    <s v="AC00126"/>
    <n v="319.27"/>
    <d v="2023-08-07T16:54:58"/>
    <s v="Debit"/>
    <x v="25"/>
    <s v="D000172"/>
    <s v="211.97.88.141"/>
    <s v="M052"/>
    <s v="ATM"/>
    <n v="50"/>
    <s v="Doctor"/>
    <n v="150"/>
    <n v="1"/>
    <n v="10269.780000000001"/>
    <d v="2024-11-04T08:12:18"/>
    <n v="16"/>
    <s v="Monday"/>
    <n v="7.4247306225358897E-2"/>
    <b v="0"/>
    <b v="0"/>
    <b v="1"/>
    <n v="0"/>
    <m/>
    <n v="0"/>
    <m/>
  </r>
  <r>
    <s v="TX000762"/>
    <s v="AC00201"/>
    <n v="384.1"/>
    <d v="2023-05-24T18:32:58"/>
    <s v="Debit"/>
    <x v="8"/>
    <s v="D000497"/>
    <s v="199.103.32.145"/>
    <s v="M004"/>
    <s v="Branch"/>
    <n v="42"/>
    <s v="Engineer"/>
    <n v="172"/>
    <n v="1"/>
    <n v="672.79"/>
    <d v="2024-11-04T08:11:42"/>
    <n v="18"/>
    <s v="Wednesday"/>
    <n v="0.29630873523672202"/>
    <b v="0"/>
    <b v="0"/>
    <b v="1"/>
    <n v="0"/>
    <m/>
    <n v="0"/>
    <m/>
  </r>
  <r>
    <s v="TX000763"/>
    <s v="AC00165"/>
    <n v="820.62"/>
    <d v="2023-03-03T17:18:59"/>
    <s v="Credit"/>
    <x v="41"/>
    <s v="D000622"/>
    <s v="47.82.77.181"/>
    <s v="M084"/>
    <s v="Branch"/>
    <n v="61"/>
    <s v="Doctor"/>
    <n v="158"/>
    <n v="1"/>
    <n v="6024.8"/>
    <d v="2024-11-04T08:07:28"/>
    <n v="17"/>
    <s v="Friday"/>
    <n v="1.7915155066703199"/>
    <b v="0"/>
    <b v="0"/>
    <b v="1"/>
    <n v="0"/>
    <m/>
    <n v="0"/>
    <m/>
  </r>
  <r>
    <s v="TX000764"/>
    <s v="AC00420"/>
    <n v="474.77"/>
    <d v="2023-12-25T16:28:20"/>
    <s v="Credit"/>
    <x v="7"/>
    <s v="D000046"/>
    <s v="104.155.121.252"/>
    <s v="M073"/>
    <s v="Online"/>
    <n v="56"/>
    <s v="Engineer"/>
    <n v="50"/>
    <n v="1"/>
    <n v="2158.59"/>
    <d v="2024-11-04T08:08:36"/>
    <n v="16"/>
    <s v="Monday"/>
    <n v="0.60687960934531804"/>
    <b v="0"/>
    <b v="0"/>
    <b v="1"/>
    <n v="0"/>
    <m/>
    <n v="0"/>
    <m/>
  </r>
  <r>
    <s v="TX000765"/>
    <s v="AC00329"/>
    <n v="542.72"/>
    <d v="2023-09-04T18:37:57"/>
    <s v="Credit"/>
    <x v="7"/>
    <s v="D000573"/>
    <s v="34.86.220.205"/>
    <s v="M100"/>
    <s v="Branch"/>
    <n v="43"/>
    <s v="Doctor"/>
    <n v="92"/>
    <n v="1"/>
    <n v="6011.8"/>
    <d v="2024-11-04T08:08:53"/>
    <n v="18"/>
    <s v="Monday"/>
    <n v="0.83962793730031005"/>
    <b v="0"/>
    <b v="0"/>
    <b v="1"/>
    <n v="0"/>
    <m/>
    <n v="0"/>
    <m/>
  </r>
  <r>
    <s v="TX000766"/>
    <s v="AC00037"/>
    <n v="79.8"/>
    <d v="2023-12-22T17:17:34"/>
    <s v="Debit"/>
    <x v="18"/>
    <s v="D000477"/>
    <s v="189.198.67.252"/>
    <s v="M070"/>
    <s v="ATM"/>
    <n v="73"/>
    <s v="Retired"/>
    <n v="76"/>
    <n v="1"/>
    <n v="6372.58"/>
    <d v="2024-11-04T08:06:48"/>
    <n v="17"/>
    <s v="Friday"/>
    <n v="-0.74600644057937804"/>
    <b v="0"/>
    <b v="0"/>
    <b v="1"/>
    <n v="0"/>
    <m/>
    <n v="0"/>
    <m/>
  </r>
  <r>
    <s v="TX000767"/>
    <s v="AC00293"/>
    <n v="46.24"/>
    <d v="2023-03-13T16:05:46"/>
    <s v="Debit"/>
    <x v="0"/>
    <s v="D000590"/>
    <s v="80.155.14.197"/>
    <s v="M043"/>
    <s v="Branch"/>
    <n v="57"/>
    <s v="Engineer"/>
    <n v="52"/>
    <n v="1"/>
    <n v="2569.56"/>
    <d v="2024-11-04T08:07:24"/>
    <n v="16"/>
    <s v="Monday"/>
    <n v="-0.86095910998584702"/>
    <b v="0"/>
    <b v="0"/>
    <b v="1"/>
    <n v="0"/>
    <m/>
    <n v="0"/>
    <m/>
  </r>
  <r>
    <s v="TX000768"/>
    <s v="AC00481"/>
    <n v="327.8"/>
    <d v="2023-11-23T17:44:29"/>
    <s v="Debit"/>
    <x v="23"/>
    <s v="D000517"/>
    <s v="90.111.245.138"/>
    <s v="M054"/>
    <s v="ATM"/>
    <n v="61"/>
    <s v="Doctor"/>
    <n v="54"/>
    <n v="1"/>
    <n v="10585.48"/>
    <d v="2024-11-04T08:09:18"/>
    <n v="17"/>
    <s v="Thursday"/>
    <n v="0.10346501391419"/>
    <b v="0"/>
    <b v="0"/>
    <b v="1"/>
    <n v="0"/>
    <m/>
    <n v="0"/>
    <m/>
  </r>
  <r>
    <s v="TX000769"/>
    <s v="AC00233"/>
    <n v="445.79"/>
    <d v="2023-07-07T17:19:39"/>
    <s v="Debit"/>
    <x v="17"/>
    <s v="D000308"/>
    <s v="207.157.126.125"/>
    <s v="M052"/>
    <s v="ATM"/>
    <n v="52"/>
    <s v="Doctor"/>
    <n v="161"/>
    <n v="1"/>
    <n v="717.99"/>
    <d v="2024-11-04T08:12:05"/>
    <n v="17"/>
    <s v="Friday"/>
    <n v="0.50761475954199697"/>
    <b v="0"/>
    <b v="0"/>
    <b v="1"/>
    <n v="0"/>
    <m/>
    <n v="0"/>
    <m/>
  </r>
  <r>
    <s v="TX000770"/>
    <s v="AC00235"/>
    <n v="55.89"/>
    <d v="2023-08-17T16:54:30"/>
    <s v="Debit"/>
    <x v="41"/>
    <s v="D000461"/>
    <s v="175.230.206.232"/>
    <s v="M026"/>
    <s v="Online"/>
    <n v="72"/>
    <s v="Retired"/>
    <n v="150"/>
    <n v="1"/>
    <n v="3689.65"/>
    <d v="2024-11-04T08:11:33"/>
    <n v="16"/>
    <s v="Thursday"/>
    <n v="-0.82790507959930304"/>
    <b v="0"/>
    <b v="0"/>
    <b v="1"/>
    <n v="0"/>
    <m/>
    <n v="0"/>
    <m/>
  </r>
  <r>
    <s v="TX000771"/>
    <s v="AC00324"/>
    <n v="158.41"/>
    <d v="2023-02-09T16:28:58"/>
    <s v="Debit"/>
    <x v="30"/>
    <s v="D000122"/>
    <s v="188.225.207.71"/>
    <s v="M013"/>
    <s v="Branch"/>
    <n v="28"/>
    <s v="Student"/>
    <n v="16"/>
    <n v="1"/>
    <n v="1512.16"/>
    <d v="2024-11-04T08:10:03"/>
    <n v="16"/>
    <s v="Thursday"/>
    <n v="-0.47674454123365501"/>
    <b v="0"/>
    <b v="0"/>
    <b v="1"/>
    <n v="0"/>
    <m/>
    <n v="0"/>
    <m/>
  </r>
  <r>
    <s v="TX000772"/>
    <s v="AC00029"/>
    <n v="101.19"/>
    <d v="2023-11-29T18:38:41"/>
    <s v="Credit"/>
    <x v="13"/>
    <s v="D000524"/>
    <s v="80.155.14.197"/>
    <s v="M033"/>
    <s v="Online"/>
    <n v="64"/>
    <s v="Doctor"/>
    <n v="75"/>
    <n v="1"/>
    <n v="14389.45"/>
    <d v="2024-11-04T08:09:44"/>
    <n v="18"/>
    <s v="Wednesday"/>
    <n v="-0.672739527629308"/>
    <b v="0"/>
    <b v="0"/>
    <b v="1"/>
    <n v="0"/>
    <m/>
    <n v="0"/>
    <m/>
  </r>
  <r>
    <s v="TX000773"/>
    <s v="AC00093"/>
    <n v="827.14"/>
    <d v="2023-01-17T17:25:13"/>
    <s v="Debit"/>
    <x v="39"/>
    <s v="D000645"/>
    <s v="215.97.143.157"/>
    <s v="M018"/>
    <s v="Branch"/>
    <n v="36"/>
    <s v="Engineer"/>
    <n v="265"/>
    <n v="4"/>
    <n v="9800.2099999999991"/>
    <d v="2024-11-04T08:08:14"/>
    <n v="17"/>
    <s v="Tuesday"/>
    <n v="1.813848385232"/>
    <b v="0"/>
    <b v="1"/>
    <b v="1"/>
    <n v="1"/>
    <m/>
    <n v="0"/>
    <m/>
  </r>
  <r>
    <s v="TX000774"/>
    <s v="AC00141"/>
    <n v="61.97"/>
    <d v="2023-05-22T18:45:23"/>
    <s v="Debit"/>
    <x v="37"/>
    <s v="D000487"/>
    <s v="10.223.224.50"/>
    <s v="M056"/>
    <s v="ATM"/>
    <n v="74"/>
    <s v="Retired"/>
    <n v="95"/>
    <n v="1"/>
    <n v="7014.69"/>
    <d v="2024-11-04T08:10:47"/>
    <n v="18"/>
    <s v="Monday"/>
    <n v="-0.80707932781171798"/>
    <b v="0"/>
    <b v="0"/>
    <b v="1"/>
    <n v="0"/>
    <m/>
    <n v="0"/>
    <m/>
  </r>
  <r>
    <s v="TX000775"/>
    <s v="AC00061"/>
    <n v="27.21"/>
    <d v="2023-06-14T16:34:54"/>
    <s v="Debit"/>
    <x v="24"/>
    <s v="D000700"/>
    <s v="28.149.72.129"/>
    <s v="M050"/>
    <s v="ATM"/>
    <n v="79"/>
    <s v="Retired"/>
    <n v="102"/>
    <n v="1"/>
    <n v="3520.61"/>
    <d v="2024-11-04T08:06:49"/>
    <n v="16"/>
    <s v="Wednesday"/>
    <n v="-0.92614234296573605"/>
    <b v="0"/>
    <b v="0"/>
    <b v="1"/>
    <n v="0"/>
    <m/>
    <n v="0"/>
    <m/>
  </r>
  <r>
    <s v="TX000776"/>
    <s v="AC00092"/>
    <n v="173.74"/>
    <d v="2023-09-08T17:48:22"/>
    <s v="Debit"/>
    <x v="1"/>
    <s v="D000127"/>
    <s v="161.177.41.214"/>
    <s v="M074"/>
    <s v="Online"/>
    <n v="80"/>
    <s v="Retired"/>
    <n v="64"/>
    <n v="1"/>
    <n v="4913.42"/>
    <d v="2024-11-04T08:11:52"/>
    <n v="17"/>
    <s v="Friday"/>
    <n v="-0.42423487430870899"/>
    <b v="0"/>
    <b v="0"/>
    <b v="1"/>
    <n v="0"/>
    <m/>
    <n v="0"/>
    <m/>
  </r>
  <r>
    <s v="TX000777"/>
    <s v="AC00354"/>
    <n v="176.11"/>
    <d v="2023-08-10T16:48:55"/>
    <s v="Debit"/>
    <x v="24"/>
    <s v="D000566"/>
    <s v="86.220.59.252"/>
    <s v="M091"/>
    <s v="Branch"/>
    <n v="38"/>
    <s v="Engineer"/>
    <n v="105"/>
    <n v="1"/>
    <n v="9155.35"/>
    <d v="2024-11-04T08:10:30"/>
    <n v="16"/>
    <s v="Thursday"/>
    <n v="-0.41611694145729899"/>
    <b v="0"/>
    <b v="0"/>
    <b v="1"/>
    <n v="0"/>
    <m/>
    <n v="0"/>
    <m/>
  </r>
  <r>
    <s v="TX000778"/>
    <s v="AC00358"/>
    <n v="88.4"/>
    <d v="2023-11-10T18:02:07"/>
    <s v="Debit"/>
    <x v="18"/>
    <s v="D000112"/>
    <s v="112.196.12.19"/>
    <s v="M065"/>
    <s v="Online"/>
    <n v="46"/>
    <s v="Engineer"/>
    <n v="174"/>
    <n v="1"/>
    <n v="2567.5300000000002"/>
    <d v="2024-11-04T08:09:41"/>
    <n v="18"/>
    <s v="Friday"/>
    <n v="-0.71654896272194002"/>
    <b v="0"/>
    <b v="0"/>
    <b v="1"/>
    <n v="0"/>
    <m/>
    <n v="0"/>
    <m/>
  </r>
  <r>
    <s v="TX000779"/>
    <s v="AC00078"/>
    <n v="567.91999999999996"/>
    <d v="2023-06-20T16:27:07"/>
    <s v="Debit"/>
    <x v="15"/>
    <s v="D000358"/>
    <s v="213.207.62.176"/>
    <s v="M042"/>
    <s v="Online"/>
    <n v="53"/>
    <s v="Retired"/>
    <n v="14"/>
    <n v="1"/>
    <n v="3779.47"/>
    <d v="2024-11-04T08:12:12"/>
    <n v="16"/>
    <s v="Tuesday"/>
    <n v="0.92594519799885"/>
    <b v="0"/>
    <b v="0"/>
    <b v="1"/>
    <n v="0"/>
    <m/>
    <n v="0"/>
    <m/>
  </r>
  <r>
    <s v="TX000780"/>
    <s v="AC00013"/>
    <n v="138.11000000000001"/>
    <d v="2023-12-11T17:29:02"/>
    <s v="Credit"/>
    <x v="37"/>
    <s v="D000227"/>
    <s v="20.147.6.179"/>
    <s v="M001"/>
    <s v="Online"/>
    <n v="68"/>
    <s v="Retired"/>
    <n v="104"/>
    <n v="1"/>
    <n v="4177.6499999999996"/>
    <d v="2024-11-04T08:07:04"/>
    <n v="17"/>
    <s v="Monday"/>
    <n v="-0.54627789012970096"/>
    <b v="0"/>
    <b v="0"/>
    <b v="1"/>
    <n v="0"/>
    <m/>
    <n v="0"/>
    <m/>
  </r>
  <r>
    <s v="TX000781"/>
    <s v="AC00030"/>
    <n v="456.93"/>
    <d v="2023-09-26T16:18:33"/>
    <s v="Credit"/>
    <x v="33"/>
    <s v="D000587"/>
    <s v="214.67.148.245"/>
    <s v="M006"/>
    <s v="Branch"/>
    <n v="28"/>
    <s v="Engineer"/>
    <n v="193"/>
    <n v="1"/>
    <n v="7284.76"/>
    <d v="2024-11-04T08:09:29"/>
    <n v="16"/>
    <s v="Tuesday"/>
    <n v="0.54577246923174805"/>
    <b v="0"/>
    <b v="0"/>
    <b v="1"/>
    <n v="0"/>
    <m/>
    <n v="0"/>
    <m/>
  </r>
  <r>
    <s v="TX000782"/>
    <s v="AC00074"/>
    <n v="101.42"/>
    <d v="2023-04-25T17:00:15"/>
    <s v="Debit"/>
    <x v="4"/>
    <s v="D000195"/>
    <s v="112.56.160.202"/>
    <s v="M036"/>
    <s v="Online"/>
    <n v="66"/>
    <s v="Retired"/>
    <n v="146"/>
    <n v="1"/>
    <n v="6530.59"/>
    <d v="2024-11-04T08:12:22"/>
    <n v="17"/>
    <s v="Tuesday"/>
    <n v="-0.67195171136102705"/>
    <b v="0"/>
    <b v="0"/>
    <b v="1"/>
    <n v="0"/>
    <m/>
    <n v="0"/>
    <m/>
  </r>
  <r>
    <s v="TX000783"/>
    <s v="AC00399"/>
    <n v="300.61"/>
    <d v="2023-05-01T17:21:46"/>
    <s v="Debit"/>
    <x v="39"/>
    <s v="D000086"/>
    <s v="165.35.58.173"/>
    <s v="M006"/>
    <s v="Online"/>
    <n v="44"/>
    <s v="Doctor"/>
    <n v="51"/>
    <n v="1"/>
    <n v="7895.54"/>
    <d v="2024-11-04T08:11:56"/>
    <n v="17"/>
    <s v="Monday"/>
    <n v="1.03314298509639E-2"/>
    <b v="0"/>
    <b v="0"/>
    <b v="1"/>
    <n v="0"/>
    <m/>
    <n v="0"/>
    <m/>
  </r>
  <r>
    <s v="TX000784"/>
    <s v="AC00323"/>
    <n v="265.94"/>
    <d v="2023-06-05T16:11:07"/>
    <s v="Debit"/>
    <x v="35"/>
    <s v="D000581"/>
    <s v="106.244.1.47"/>
    <s v="M085"/>
    <s v="Online"/>
    <n v="54"/>
    <s v="Engineer"/>
    <n v="132"/>
    <n v="1"/>
    <n v="6781.3"/>
    <d v="2024-11-04T08:06:37"/>
    <n v="16"/>
    <s v="Monday"/>
    <n v="-0.10842330937198701"/>
    <b v="0"/>
    <b v="0"/>
    <b v="1"/>
    <n v="0"/>
    <m/>
    <n v="0"/>
    <m/>
  </r>
  <r>
    <s v="TX000785"/>
    <s v="AC00107"/>
    <n v="345.54"/>
    <d v="2023-01-24T16:05:40"/>
    <s v="Debit"/>
    <x v="0"/>
    <s v="D000054"/>
    <s v="215.97.143.157"/>
    <s v="M050"/>
    <s v="Online"/>
    <n v="29"/>
    <s v="Engineer"/>
    <n v="50"/>
    <n v="1"/>
    <n v="2091.7800000000002"/>
    <d v="2024-11-04T08:11:09"/>
    <n v="16"/>
    <s v="Tuesday"/>
    <n v="0.164229625215464"/>
    <b v="0"/>
    <b v="0"/>
    <b v="1"/>
    <n v="0"/>
    <m/>
    <n v="0"/>
    <m/>
  </r>
  <r>
    <s v="TX000786"/>
    <s v="AC00211"/>
    <n v="411.52"/>
    <d v="2023-01-10T17:40:16"/>
    <s v="Debit"/>
    <x v="16"/>
    <s v="D000494"/>
    <s v="52.1.78.30"/>
    <s v="M023"/>
    <s v="ATM"/>
    <n v="41"/>
    <s v="Doctor"/>
    <n v="88"/>
    <n v="1"/>
    <n v="11108.39"/>
    <d v="2024-11-04T08:09:13"/>
    <n v="17"/>
    <s v="Tuesday"/>
    <n v="0.390230135568228"/>
    <b v="0"/>
    <b v="0"/>
    <b v="1"/>
    <n v="0"/>
    <m/>
    <n v="0"/>
    <m/>
  </r>
  <r>
    <s v="TX000787"/>
    <s v="AC00297"/>
    <n v="111.21"/>
    <d v="2023-08-21T18:36:41"/>
    <s v="Debit"/>
    <x v="42"/>
    <s v="D000401"/>
    <s v="216.151.64.40"/>
    <s v="M076"/>
    <s v="Branch"/>
    <n v="35"/>
    <s v="Doctor"/>
    <n v="111"/>
    <n v="1"/>
    <n v="9088.36"/>
    <d v="2024-11-04T08:12:12"/>
    <n v="18"/>
    <s v="Monday"/>
    <n v="-0.63841814063726898"/>
    <b v="0"/>
    <b v="0"/>
    <b v="1"/>
    <n v="0"/>
    <m/>
    <n v="0"/>
    <m/>
  </r>
  <r>
    <s v="TX000788"/>
    <s v="AC00102"/>
    <n v="316.37"/>
    <d v="2023-08-28T17:34:17"/>
    <s v="Debit"/>
    <x v="40"/>
    <s v="D000599"/>
    <s v="218.83.2.94"/>
    <s v="M088"/>
    <s v="ATM"/>
    <n v="53"/>
    <s v="Engineer"/>
    <n v="86"/>
    <n v="1"/>
    <n v="4671.6899999999996"/>
    <d v="2024-11-04T08:08:00"/>
    <n v="17"/>
    <s v="Monday"/>
    <n v="6.4313970668781001E-2"/>
    <b v="0"/>
    <b v="0"/>
    <b v="1"/>
    <n v="0"/>
    <m/>
    <n v="0"/>
    <m/>
  </r>
  <r>
    <s v="TX000789"/>
    <s v="AC00196"/>
    <n v="260.63"/>
    <d v="2023-12-20T18:58:27"/>
    <s v="Debit"/>
    <x v="18"/>
    <s v="D000564"/>
    <s v="36.13.239.172"/>
    <s v="M005"/>
    <s v="Branch"/>
    <n v="37"/>
    <s v="Engineer"/>
    <n v="142"/>
    <n v="1"/>
    <n v="7534.73"/>
    <d v="2024-11-04T08:08:49"/>
    <n v="18"/>
    <s v="Wednesday"/>
    <n v="-0.126611589304894"/>
    <b v="0"/>
    <b v="0"/>
    <b v="1"/>
    <n v="0"/>
    <m/>
    <n v="0"/>
    <m/>
  </r>
  <r>
    <s v="TX000790"/>
    <s v="AC00342"/>
    <n v="92.36"/>
    <d v="2023-03-27T16:48:34"/>
    <s v="Debit"/>
    <x v="34"/>
    <s v="D000598"/>
    <s v="3.200.166.167"/>
    <s v="M092"/>
    <s v="ATM"/>
    <n v="29"/>
    <s v="Engineer"/>
    <n v="144"/>
    <n v="1"/>
    <n v="6353.14"/>
    <d v="2024-11-04T08:07:55"/>
    <n v="16"/>
    <s v="Monday"/>
    <n v="-0.70298482175502697"/>
    <b v="0"/>
    <b v="0"/>
    <b v="1"/>
    <n v="0"/>
    <m/>
    <n v="0"/>
    <m/>
  </r>
  <r>
    <s v="TX000791"/>
    <s v="AC00027"/>
    <n v="262.06"/>
    <d v="2023-09-11T16:09:15"/>
    <s v="Debit"/>
    <x v="5"/>
    <s v="D000408"/>
    <s v="44.73.3.217"/>
    <s v="M029"/>
    <s v="Branch"/>
    <n v="63"/>
    <s v="Doctor"/>
    <n v="118"/>
    <n v="1"/>
    <n v="13587.52"/>
    <d v="2024-11-04T08:10:23"/>
    <n v="16"/>
    <s v="Monday"/>
    <n v="-0.12171342728906399"/>
    <b v="0"/>
    <b v="0"/>
    <b v="1"/>
    <n v="0"/>
    <m/>
    <n v="0"/>
    <m/>
  </r>
  <r>
    <s v="TX000792"/>
    <s v="AC00339"/>
    <n v="64.5"/>
    <d v="2023-08-17T18:32:19"/>
    <s v="Debit"/>
    <x v="13"/>
    <s v="D000076"/>
    <s v="18.72.115.111"/>
    <s v="M062"/>
    <s v="ATM"/>
    <n v="74"/>
    <s v="Retired"/>
    <n v="230"/>
    <n v="1"/>
    <n v="1351.24"/>
    <d v="2024-11-04T08:08:31"/>
    <n v="18"/>
    <s v="Thursday"/>
    <n v="-0.79841334886063497"/>
    <b v="0"/>
    <b v="0"/>
    <b v="1"/>
    <n v="0"/>
    <m/>
    <n v="0"/>
    <m/>
  </r>
  <r>
    <s v="TX000793"/>
    <s v="AC00468"/>
    <n v="253.55"/>
    <d v="2023-01-11T16:56:58"/>
    <s v="Debit"/>
    <x v="36"/>
    <s v="D000112"/>
    <s v="41.82.55.163"/>
    <s v="M007"/>
    <s v="ATM"/>
    <n v="28"/>
    <s v="Engineer"/>
    <n v="85"/>
    <n v="5"/>
    <n v="2797.26"/>
    <d v="2024-11-04T08:09:12"/>
    <n v="16"/>
    <s v="Wednesday"/>
    <n v="-0.150862629215436"/>
    <b v="0"/>
    <b v="1"/>
    <b v="1"/>
    <n v="1"/>
    <m/>
    <n v="0"/>
    <m/>
  </r>
  <r>
    <s v="TX000794"/>
    <s v="AC00262"/>
    <n v="408.28"/>
    <d v="2023-03-15T16:33:09"/>
    <s v="Credit"/>
    <x v="9"/>
    <s v="D000638"/>
    <s v="142.148.226.178"/>
    <s v="M028"/>
    <s v="Branch"/>
    <n v="21"/>
    <s v="Student"/>
    <n v="125"/>
    <n v="3"/>
    <n v="1222.77"/>
    <d v="2024-11-04T08:10:10"/>
    <n v="16"/>
    <s v="Wednesday"/>
    <n v="0.37913220204984499"/>
    <b v="0"/>
    <b v="1"/>
    <b v="1"/>
    <n v="1"/>
    <m/>
    <n v="0"/>
    <m/>
  </r>
  <r>
    <s v="TX000795"/>
    <s v="AC00425"/>
    <n v="175.94"/>
    <d v="2023-06-05T16:16:13"/>
    <s v="Debit"/>
    <x v="7"/>
    <s v="D000438"/>
    <s v="47.167.178.158"/>
    <s v="M044"/>
    <s v="ATM"/>
    <n v="57"/>
    <s v="Retired"/>
    <n v="89"/>
    <n v="1"/>
    <n v="3728.04"/>
    <d v="2024-11-04T08:07:11"/>
    <n v="16"/>
    <s v="Monday"/>
    <n v="-0.416699240438202"/>
    <b v="0"/>
    <b v="0"/>
    <b v="1"/>
    <n v="0"/>
    <m/>
    <n v="0"/>
    <m/>
  </r>
  <r>
    <s v="TX000796"/>
    <s v="AC00161"/>
    <n v="199.47"/>
    <d v="2023-08-14T16:26:38"/>
    <s v="Debit"/>
    <x v="8"/>
    <s v="D000585"/>
    <s v="82.88.241.226"/>
    <s v="M041"/>
    <s v="Online"/>
    <n v="57"/>
    <s v="Doctor"/>
    <n v="142"/>
    <n v="1"/>
    <n v="6067.44"/>
    <d v="2024-11-04T08:07:22"/>
    <n v="16"/>
    <s v="Monday"/>
    <n v="-0.33610221090500197"/>
    <b v="0"/>
    <b v="0"/>
    <b v="1"/>
    <n v="0"/>
    <m/>
    <n v="0"/>
    <m/>
  </r>
  <r>
    <s v="TX000797"/>
    <s v="AC00417"/>
    <n v="51.07"/>
    <d v="2023-01-23T18:06:58"/>
    <s v="Debit"/>
    <x v="34"/>
    <s v="D000114"/>
    <s v="162.198.218.92"/>
    <s v="M017"/>
    <s v="Branch"/>
    <n v="63"/>
    <s v="Retired"/>
    <n v="133"/>
    <n v="1"/>
    <n v="4292.16"/>
    <d v="2024-11-04T08:12:12"/>
    <n v="18"/>
    <s v="Monday"/>
    <n v="-0.84441496835195995"/>
    <b v="0"/>
    <b v="0"/>
    <b v="1"/>
    <n v="0"/>
    <m/>
    <n v="0"/>
    <m/>
  </r>
  <r>
    <s v="TX000798"/>
    <s v="AC00208"/>
    <n v="435.86"/>
    <d v="2023-12-29T17:17:48"/>
    <s v="Debit"/>
    <x v="36"/>
    <s v="D000471"/>
    <s v="147.125.143.41"/>
    <s v="M075"/>
    <s v="ATM"/>
    <n v="56"/>
    <s v="Retired"/>
    <n v="134"/>
    <n v="1"/>
    <n v="3801.82"/>
    <d v="2024-11-04T08:09:18"/>
    <n v="17"/>
    <s v="Friday"/>
    <n v="0.47360164848102498"/>
    <b v="0"/>
    <b v="0"/>
    <b v="1"/>
    <n v="0"/>
    <m/>
    <n v="0"/>
    <m/>
  </r>
  <r>
    <s v="TX000799"/>
    <s v="AC00304"/>
    <n v="74.73"/>
    <d v="2023-01-30T17:17:38"/>
    <s v="Credit"/>
    <x v="36"/>
    <s v="D000566"/>
    <s v="92.180.81.50"/>
    <s v="M009"/>
    <s v="Branch"/>
    <n v="64"/>
    <s v="Retired"/>
    <n v="162"/>
    <n v="1"/>
    <n v="6353.22"/>
    <d v="2024-11-04T08:08:26"/>
    <n v="17"/>
    <s v="Monday"/>
    <n v="-0.76337265136277499"/>
    <b v="0"/>
    <b v="0"/>
    <b v="1"/>
    <n v="0"/>
    <m/>
    <n v="0"/>
    <m/>
  </r>
  <r>
    <s v="TX000800"/>
    <s v="AC00166"/>
    <n v="182.79"/>
    <d v="2023-10-25T16:21:15"/>
    <s v="Credit"/>
    <x v="12"/>
    <s v="D000499"/>
    <s v="35.73.67.98"/>
    <s v="M013"/>
    <s v="Online"/>
    <n v="23"/>
    <s v="Student"/>
    <n v="14"/>
    <n v="1"/>
    <n v="1251.8499999999999"/>
    <d v="2024-11-04T08:06:54"/>
    <n v="16"/>
    <s v="Wednesday"/>
    <n v="-0.39323601679594"/>
    <b v="0"/>
    <b v="0"/>
    <b v="1"/>
    <n v="0"/>
    <m/>
    <n v="0"/>
    <m/>
  </r>
  <r>
    <s v="TX000801"/>
    <s v="AC00279"/>
    <n v="628.36"/>
    <d v="2023-01-20T16:09:37"/>
    <s v="Debit"/>
    <x v="14"/>
    <s v="D000415"/>
    <s v="196.121.240.10"/>
    <s v="M005"/>
    <s v="Online"/>
    <n v="44"/>
    <s v="Doctor"/>
    <n v="108"/>
    <n v="1"/>
    <n v="11869.71"/>
    <d v="2024-11-04T08:07:32"/>
    <n v="16"/>
    <s v="Friday"/>
    <n v="1.13296961215042"/>
    <b v="0"/>
    <b v="0"/>
    <b v="1"/>
    <n v="0"/>
    <m/>
    <n v="0"/>
    <m/>
  </r>
  <r>
    <s v="TX000802"/>
    <s v="AC00114"/>
    <n v="268.39"/>
    <d v="2023-02-21T18:13:02"/>
    <s v="Debit"/>
    <x v="25"/>
    <s v="D000224"/>
    <s v="81.102.230.41"/>
    <s v="M021"/>
    <s v="Online"/>
    <n v="29"/>
    <s v="Doctor"/>
    <n v="177"/>
    <n v="1"/>
    <n v="9409.43"/>
    <d v="2024-11-04T08:11:45"/>
    <n v="18"/>
    <s v="Tuesday"/>
    <n v="-0.10003135347074001"/>
    <b v="0"/>
    <b v="0"/>
    <b v="1"/>
    <n v="0"/>
    <m/>
    <n v="0"/>
    <m/>
  </r>
  <r>
    <s v="TX000803"/>
    <s v="AC00411"/>
    <n v="362.27"/>
    <d v="2023-05-11T16:36:38"/>
    <s v="Debit"/>
    <x v="36"/>
    <s v="D000073"/>
    <s v="69.160.14.157"/>
    <s v="M051"/>
    <s v="ATM"/>
    <n v="80"/>
    <s v="Retired"/>
    <n v="47"/>
    <n v="1"/>
    <n v="6003.59"/>
    <d v="2024-11-04T08:07:35"/>
    <n v="16"/>
    <s v="Thursday"/>
    <n v="0.22153469551255001"/>
    <b v="0"/>
    <b v="0"/>
    <b v="1"/>
    <n v="0"/>
    <m/>
    <n v="0"/>
    <m/>
  </r>
  <r>
    <s v="TX000804"/>
    <s v="AC00380"/>
    <n v="560.15"/>
    <d v="2023-08-14T18:01:36"/>
    <s v="Credit"/>
    <x v="11"/>
    <s v="D000493"/>
    <s v="93.169.212.219"/>
    <s v="M059"/>
    <s v="Online"/>
    <n v="50"/>
    <s v="Engineer"/>
    <n v="92"/>
    <n v="1"/>
    <n v="817.83"/>
    <d v="2024-11-04T08:10:51"/>
    <n v="18"/>
    <s v="Monday"/>
    <n v="0.89933070928346703"/>
    <b v="0"/>
    <b v="0"/>
    <b v="1"/>
    <n v="0"/>
    <m/>
    <n v="0"/>
    <m/>
  </r>
  <r>
    <s v="TX000805"/>
    <s v="AC00272"/>
    <n v="351.99"/>
    <d v="2023-06-12T16:58:04"/>
    <s v="Debit"/>
    <x v="29"/>
    <s v="D000513"/>
    <s v="15.176.70.194"/>
    <s v="M001"/>
    <s v="ATM"/>
    <n v="80"/>
    <s v="Retired"/>
    <n v="45"/>
    <n v="2"/>
    <n v="3663.64"/>
    <d v="2024-11-04T08:11:23"/>
    <n v="16"/>
    <s v="Monday"/>
    <n v="0.18632273360854201"/>
    <b v="0"/>
    <b v="1"/>
    <b v="1"/>
    <n v="1"/>
    <m/>
    <n v="0"/>
    <m/>
  </r>
  <r>
    <s v="TX000806"/>
    <s v="AC00202"/>
    <n v="132.36000000000001"/>
    <d v="2023-03-13T17:01:57"/>
    <s v="Debit"/>
    <x v="40"/>
    <s v="D000203"/>
    <s v="41.0.10.107"/>
    <s v="M094"/>
    <s v="Branch"/>
    <n v="28"/>
    <s v="Student"/>
    <n v="160"/>
    <n v="1"/>
    <n v="319.64999999999998"/>
    <d v="2024-11-04T08:10:05"/>
    <n v="17"/>
    <s v="Monday"/>
    <n v="-0.56597329683670905"/>
    <b v="0"/>
    <b v="0"/>
    <b v="1"/>
    <n v="0"/>
    <m/>
    <n v="0"/>
    <m/>
  </r>
  <r>
    <s v="TX000807"/>
    <s v="AC00053"/>
    <n v="24.77"/>
    <d v="2023-11-01T16:55:58"/>
    <s v="Credit"/>
    <x v="9"/>
    <s v="D000449"/>
    <s v="223.32.70.156"/>
    <s v="M002"/>
    <s v="Online"/>
    <n v="40"/>
    <s v="Engineer"/>
    <n v="17"/>
    <n v="1"/>
    <n v="478.23"/>
    <d v="2024-11-04T08:07:20"/>
    <n v="16"/>
    <s v="Wednesday"/>
    <n v="-0.93450004598575398"/>
    <b v="0"/>
    <b v="0"/>
    <b v="1"/>
    <n v="0"/>
    <m/>
    <n v="0"/>
    <m/>
  </r>
  <r>
    <s v="TX000808"/>
    <s v="AC00316"/>
    <n v="668.67"/>
    <d v="2023-11-07T17:38:05"/>
    <s v="Debit"/>
    <x v="8"/>
    <s v="D000682"/>
    <s v="184.59.28.72"/>
    <s v="M019"/>
    <s v="Online"/>
    <n v="44"/>
    <s v="Doctor"/>
    <n v="143"/>
    <n v="4"/>
    <n v="13446.81"/>
    <d v="2024-11-04T08:06:29"/>
    <n v="17"/>
    <s v="Tuesday"/>
    <n v="1.27104297638686"/>
    <b v="0"/>
    <b v="1"/>
    <b v="1"/>
    <n v="1"/>
    <m/>
    <n v="0"/>
    <m/>
  </r>
  <r>
    <s v="TX000809"/>
    <s v="AC00422"/>
    <n v="80.239999999999995"/>
    <d v="2023-05-19T17:28:42"/>
    <s v="Credit"/>
    <x v="22"/>
    <s v="D000604"/>
    <s v="190.92.63.219"/>
    <s v="M016"/>
    <s v="Branch"/>
    <n v="53"/>
    <s v="Doctor"/>
    <n v="58"/>
    <n v="1"/>
    <n v="8012.81"/>
    <d v="2024-11-04T08:12:13"/>
    <n v="17"/>
    <s v="Friday"/>
    <n v="-0.74449931380527701"/>
    <b v="0"/>
    <b v="0"/>
    <b v="1"/>
    <n v="0"/>
    <m/>
    <n v="0"/>
    <m/>
  </r>
  <r>
    <s v="TX000810"/>
    <s v="AC00083"/>
    <n v="8.65"/>
    <d v="2023-11-20T16:28:19"/>
    <s v="Debit"/>
    <x v="2"/>
    <s v="D000105"/>
    <s v="217.233.219.196"/>
    <s v="M060"/>
    <s v="ATM"/>
    <n v="68"/>
    <s v="Retired"/>
    <n v="198"/>
    <n v="1"/>
    <n v="4201.22"/>
    <d v="2024-11-04T08:11:35"/>
    <n v="16"/>
    <s v="Monday"/>
    <n v="-0.98971569052783603"/>
    <b v="0"/>
    <b v="0"/>
    <b v="1"/>
    <n v="0"/>
    <m/>
    <n v="0"/>
    <m/>
  </r>
  <r>
    <s v="TX000811"/>
    <s v="AC00125"/>
    <n v="178.91"/>
    <d v="2023-03-15T16:37:04"/>
    <s v="Debit"/>
    <x v="32"/>
    <s v="D000041"/>
    <s v="35.67.21.23"/>
    <s v="M035"/>
    <s v="ATM"/>
    <n v="18"/>
    <s v="Student"/>
    <n v="19"/>
    <n v="1"/>
    <n v="8870.89"/>
    <d v="2024-11-04T08:07:06"/>
    <n v="16"/>
    <s v="Wednesday"/>
    <n v="-0.40652613471301702"/>
    <b v="0"/>
    <b v="0"/>
    <b v="1"/>
    <n v="0"/>
    <m/>
    <n v="0"/>
    <m/>
  </r>
  <r>
    <s v="TX000812"/>
    <s v="AC00227"/>
    <n v="115.22"/>
    <d v="2023-12-08T17:05:33"/>
    <s v="Debit"/>
    <x v="23"/>
    <s v="D000185"/>
    <s v="76.0.164.168"/>
    <s v="M063"/>
    <s v="Branch"/>
    <n v="27"/>
    <s v="Engineer"/>
    <n v="108"/>
    <n v="1"/>
    <n v="906.2"/>
    <d v="2024-11-04T08:09:07"/>
    <n v="17"/>
    <s v="Friday"/>
    <n v="-0.62468273526420803"/>
    <b v="0"/>
    <b v="0"/>
    <b v="1"/>
    <n v="0"/>
    <m/>
    <n v="0"/>
    <m/>
  </r>
  <r>
    <s v="TX000813"/>
    <s v="AC00292"/>
    <n v="161.63"/>
    <d v="2023-12-25T16:32:44"/>
    <s v="Debit"/>
    <x v="24"/>
    <s v="D000626"/>
    <s v="34.86.220.205"/>
    <s v="M077"/>
    <s v="Online"/>
    <n v="46"/>
    <s v="Doctor"/>
    <n v="276"/>
    <n v="1"/>
    <n v="9286.3700000000008"/>
    <d v="2024-11-04T08:08:21"/>
    <n v="16"/>
    <s v="Monday"/>
    <n v="-0.46571511347772998"/>
    <b v="0"/>
    <b v="0"/>
    <b v="1"/>
    <n v="0"/>
    <m/>
    <n v="0"/>
    <m/>
  </r>
  <r>
    <s v="TX000814"/>
    <s v="AC00319"/>
    <n v="542.75"/>
    <d v="2023-12-07T18:28:50"/>
    <s v="Credit"/>
    <x v="9"/>
    <s v="D000641"/>
    <s v="82.115.199.37"/>
    <s v="M045"/>
    <s v="Branch"/>
    <n v="70"/>
    <s v="Retired"/>
    <n v="63"/>
    <n v="1"/>
    <n v="2224.08"/>
    <d v="2024-11-04T08:08:27"/>
    <n v="18"/>
    <s v="Thursday"/>
    <n v="0.83973069594399896"/>
    <b v="0"/>
    <b v="0"/>
    <b v="1"/>
    <n v="0"/>
    <m/>
    <n v="0"/>
    <m/>
  </r>
  <r>
    <s v="TX000815"/>
    <s v="AC00431"/>
    <n v="317.47000000000003"/>
    <d v="2023-05-01T17:31:34"/>
    <s v="Credit"/>
    <x v="30"/>
    <s v="D000060"/>
    <s v="119.163.214.161"/>
    <s v="M083"/>
    <s v="Online"/>
    <n v="67"/>
    <s v="Doctor"/>
    <n v="16"/>
    <n v="1"/>
    <n v="14639.28"/>
    <d v="2024-11-04T08:07:58"/>
    <n v="17"/>
    <s v="Monday"/>
    <n v="6.8081787604034799E-2"/>
    <b v="0"/>
    <b v="0"/>
    <b v="1"/>
    <n v="0"/>
    <m/>
    <n v="0"/>
    <m/>
  </r>
  <r>
    <s v="TX000816"/>
    <s v="AC00365"/>
    <n v="280.99"/>
    <d v="2023-02-20T18:03:01"/>
    <s v="Debit"/>
    <x v="1"/>
    <s v="D000374"/>
    <s v="11.167.243.171"/>
    <s v="M096"/>
    <s v="Branch"/>
    <n v="45"/>
    <s v="Engineer"/>
    <n v="29"/>
    <n v="1"/>
    <n v="9733.59"/>
    <d v="2024-11-04T08:07:24"/>
    <n v="18"/>
    <s v="Monday"/>
    <n v="-5.6872723121470799E-2"/>
    <b v="0"/>
    <b v="0"/>
    <b v="1"/>
    <n v="0"/>
    <m/>
    <n v="0"/>
    <m/>
  </r>
  <r>
    <s v="TX000817"/>
    <s v="AC00050"/>
    <n v="24.19"/>
    <d v="2023-02-08T17:33:08"/>
    <s v="Debit"/>
    <x v="0"/>
    <s v="D000099"/>
    <s v="186.135.2.148"/>
    <s v="M061"/>
    <s v="ATM"/>
    <n v="29"/>
    <s v="Engineer"/>
    <n v="28"/>
    <n v="1"/>
    <n v="2756.2"/>
    <d v="2024-11-04T08:07:26"/>
    <n v="17"/>
    <s v="Wednesday"/>
    <n v="-0.93648671309706899"/>
    <b v="0"/>
    <b v="0"/>
    <b v="1"/>
    <n v="0"/>
    <m/>
    <n v="0"/>
    <m/>
  </r>
  <r>
    <s v="TX000818"/>
    <s v="AC00129"/>
    <n v="586.85"/>
    <d v="2023-08-15T16:57:27"/>
    <s v="Debit"/>
    <x v="2"/>
    <s v="D000515"/>
    <s v="187.199.178.27"/>
    <s v="M014"/>
    <s v="ATM"/>
    <n v="36"/>
    <s v="Doctor"/>
    <n v="86"/>
    <n v="1"/>
    <n v="6655.15"/>
    <d v="2024-11-04T08:12:18"/>
    <n v="16"/>
    <s v="Tuesday"/>
    <n v="0.99078590216644402"/>
    <b v="0"/>
    <b v="0"/>
    <b v="1"/>
    <n v="0"/>
    <m/>
    <n v="0"/>
    <m/>
  </r>
  <r>
    <s v="TX000819"/>
    <s v="AC00366"/>
    <n v="372.41"/>
    <d v="2023-06-19T18:12:16"/>
    <s v="Debit"/>
    <x v="0"/>
    <s v="D000362"/>
    <s v="214.125.131.88"/>
    <s v="M088"/>
    <s v="ATM"/>
    <n v="55"/>
    <s v="Retired"/>
    <n v="143"/>
    <n v="1"/>
    <n v="3233.87"/>
    <d v="2024-11-04T08:06:34"/>
    <n v="18"/>
    <s v="Monday"/>
    <n v="0.25626711707934302"/>
    <b v="0"/>
    <b v="0"/>
    <b v="1"/>
    <n v="0"/>
    <m/>
    <n v="0"/>
    <m/>
  </r>
  <r>
    <s v="TX000820"/>
    <s v="AC00452"/>
    <n v="63.17"/>
    <d v="2023-07-25T18:28:57"/>
    <s v="Debit"/>
    <x v="41"/>
    <s v="D000647"/>
    <s v="113.137.153.101"/>
    <s v="M039"/>
    <s v="ATM"/>
    <n v="20"/>
    <s v="Student"/>
    <n v="148"/>
    <n v="1"/>
    <n v="1676.57"/>
    <d v="2024-11-04T08:07:18"/>
    <n v="18"/>
    <s v="Tuesday"/>
    <n v="-0.802968982064169"/>
    <b v="0"/>
    <b v="0"/>
    <b v="1"/>
    <n v="0"/>
    <m/>
    <n v="0"/>
    <m/>
  </r>
  <r>
    <s v="TX000821"/>
    <s v="AC00339"/>
    <n v="383.69"/>
    <d v="2023-10-31T17:06:08"/>
    <s v="Debit"/>
    <x v="40"/>
    <s v="D000133"/>
    <s v="107.248.120.12"/>
    <s v="M064"/>
    <s v="Online"/>
    <n v="54"/>
    <s v="Engineer"/>
    <n v="285"/>
    <n v="1"/>
    <n v="8371.11"/>
    <d v="2024-11-04T08:10:03"/>
    <n v="17"/>
    <s v="Tuesday"/>
    <n v="0.29490436710630902"/>
    <b v="0"/>
    <b v="0"/>
    <b v="1"/>
    <n v="0"/>
    <m/>
    <n v="0"/>
    <m/>
  </r>
  <r>
    <s v="TX000822"/>
    <s v="AC00389"/>
    <n v="247.17"/>
    <d v="2023-05-22T17:58:55"/>
    <s v="Credit"/>
    <x v="29"/>
    <s v="D000081"/>
    <s v="56.89.80.133"/>
    <s v="M096"/>
    <s v="Branch"/>
    <n v="65"/>
    <s v="Retired"/>
    <n v="149"/>
    <n v="1"/>
    <n v="2611.64"/>
    <d v="2024-11-04T08:07:43"/>
    <n v="17"/>
    <s v="Monday"/>
    <n v="-0.172715967439908"/>
    <b v="0"/>
    <b v="0"/>
    <b v="1"/>
    <n v="0"/>
    <m/>
    <n v="0"/>
    <m/>
  </r>
  <r>
    <s v="TX000823"/>
    <s v="AC00188"/>
    <n v="48.78"/>
    <d v="2023-08-11T16:43:41"/>
    <s v="Credit"/>
    <x v="31"/>
    <s v="D000071"/>
    <s v="112.222.0.29"/>
    <s v="M006"/>
    <s v="Branch"/>
    <n v="18"/>
    <s v="Student"/>
    <n v="136"/>
    <n v="1"/>
    <n v="552.05999999999995"/>
    <d v="2024-11-04T08:10:11"/>
    <n v="16"/>
    <s v="Friday"/>
    <n v="-0.85225887815353396"/>
    <b v="0"/>
    <b v="0"/>
    <b v="1"/>
    <n v="0"/>
    <m/>
    <n v="0"/>
    <m/>
  </r>
  <r>
    <s v="TX000824"/>
    <s v="AC00039"/>
    <n v="4.1500000000000004"/>
    <d v="2023-10-19T16:34:39"/>
    <s v="Credit"/>
    <x v="32"/>
    <s v="D000214"/>
    <s v="166.41.54.117"/>
    <s v="M019"/>
    <s v="Branch"/>
    <n v="60"/>
    <s v="Retired"/>
    <n v="119"/>
    <n v="1"/>
    <n v="6017.36"/>
    <d v="2024-11-04T08:09:48"/>
    <n v="16"/>
    <s v="Thursday"/>
    <n v="-1.00512948708114"/>
    <b v="0"/>
    <b v="0"/>
    <b v="1"/>
    <n v="0"/>
    <m/>
    <n v="0"/>
    <m/>
  </r>
  <r>
    <s v="TX000825"/>
    <s v="AC00319"/>
    <n v="60.99"/>
    <d v="2023-08-01T17:14:17"/>
    <s v="Debit"/>
    <x v="5"/>
    <s v="D000651"/>
    <s v="5.50.152.168"/>
    <s v="M037"/>
    <s v="Branch"/>
    <n v="34"/>
    <s v="Engineer"/>
    <n v="58"/>
    <n v="1"/>
    <n v="7281.46"/>
    <d v="2024-11-04T08:07:51"/>
    <n v="17"/>
    <s v="Tuesday"/>
    <n v="-0.81043611017221695"/>
    <b v="0"/>
    <b v="0"/>
    <b v="1"/>
    <n v="0"/>
    <m/>
    <n v="0"/>
    <m/>
  </r>
  <r>
    <s v="TX000826"/>
    <s v="AC00077"/>
    <n v="408.19"/>
    <d v="2023-12-15T16:48:08"/>
    <s v="Debit"/>
    <x v="2"/>
    <s v="D000369"/>
    <s v="19.20.13.234"/>
    <s v="M038"/>
    <s v="Branch"/>
    <n v="26"/>
    <s v="Engineer"/>
    <n v="241"/>
    <n v="1"/>
    <n v="6847.47"/>
    <d v="2024-11-04T08:08:29"/>
    <n v="16"/>
    <s v="Friday"/>
    <n v="0.37882392611877802"/>
    <b v="0"/>
    <b v="0"/>
    <b v="1"/>
    <n v="0"/>
    <m/>
    <n v="0"/>
    <m/>
  </r>
  <r>
    <s v="TX000827"/>
    <s v="AC00131"/>
    <n v="524.6"/>
    <d v="2023-04-07T17:37:34"/>
    <s v="Debit"/>
    <x v="39"/>
    <s v="D000593"/>
    <s v="44.73.3.217"/>
    <s v="M002"/>
    <s v="Branch"/>
    <n v="58"/>
    <s v="Doctor"/>
    <n v="76"/>
    <n v="1"/>
    <n v="13017.7"/>
    <d v="2024-11-04T08:09:46"/>
    <n v="17"/>
    <s v="Friday"/>
    <n v="0.77756171651231198"/>
    <b v="0"/>
    <b v="0"/>
    <b v="1"/>
    <n v="0"/>
    <m/>
    <n v="0"/>
    <m/>
  </r>
  <r>
    <s v="TX000828"/>
    <s v="AC00180"/>
    <n v="108.96"/>
    <d v="2023-10-10T18:12:07"/>
    <s v="Debit"/>
    <x v="20"/>
    <s v="D000240"/>
    <s v="49.31.186.82"/>
    <s v="M070"/>
    <s v="ATM"/>
    <n v="26"/>
    <s v="Student"/>
    <n v="247"/>
    <n v="1"/>
    <n v="7597.66"/>
    <d v="2024-11-04T08:06:40"/>
    <n v="18"/>
    <s v="Tuesday"/>
    <n v="-0.64612503891392503"/>
    <b v="0"/>
    <b v="0"/>
    <b v="1"/>
    <n v="0"/>
    <m/>
    <n v="0"/>
    <m/>
  </r>
  <r>
    <s v="TX000829"/>
    <s v="AC00249"/>
    <n v="70.03"/>
    <d v="2023-12-18T18:34:33"/>
    <s v="Debit"/>
    <x v="9"/>
    <s v="D000005"/>
    <s v="193.221.15.59"/>
    <s v="M073"/>
    <s v="Branch"/>
    <n v="63"/>
    <s v="Retired"/>
    <n v="49"/>
    <n v="1"/>
    <n v="7330.31"/>
    <d v="2024-11-04T08:07:55"/>
    <n v="18"/>
    <s v="Monday"/>
    <n v="-0.77947150554067701"/>
    <b v="0"/>
    <b v="0"/>
    <b v="1"/>
    <n v="0"/>
    <m/>
    <n v="0"/>
    <m/>
  </r>
  <r>
    <s v="TX000830"/>
    <s v="AC00454"/>
    <n v="124.84"/>
    <d v="2023-09-22T17:44:42"/>
    <s v="Debit"/>
    <x v="12"/>
    <s v="D000640"/>
    <s v="18.72.115.111"/>
    <s v="M051"/>
    <s v="Online"/>
    <n v="52"/>
    <s v="Retired"/>
    <n v="79"/>
    <n v="1"/>
    <n v="6711.78"/>
    <d v="2024-11-04T08:11:28"/>
    <n v="17"/>
    <s v="Friday"/>
    <n v="-0.59173146352135297"/>
    <b v="0"/>
    <b v="0"/>
    <b v="1"/>
    <n v="0"/>
    <m/>
    <n v="0"/>
    <m/>
  </r>
  <r>
    <s v="TX000831"/>
    <s v="AC00076"/>
    <n v="324.04000000000002"/>
    <d v="2023-07-05T16:49:05"/>
    <s v="Debit"/>
    <x v="33"/>
    <s v="D000642"/>
    <s v="101.120.142.50"/>
    <s v="M043"/>
    <s v="ATM"/>
    <n v="54"/>
    <s v="Retired"/>
    <n v="30"/>
    <n v="1"/>
    <n v="2248.06"/>
    <d v="2024-11-04T08:08:07"/>
    <n v="16"/>
    <s v="Wednesday"/>
    <n v="9.0585930571868395E-2"/>
    <b v="0"/>
    <b v="0"/>
    <b v="1"/>
    <n v="0"/>
    <m/>
    <n v="0"/>
    <m/>
  </r>
  <r>
    <s v="TX000832"/>
    <s v="AC00386"/>
    <n v="39.69"/>
    <d v="2023-04-24T17:16:27"/>
    <s v="Debit"/>
    <x v="14"/>
    <s v="D000539"/>
    <s v="219.98.242.240"/>
    <s v="M089"/>
    <s v="Online"/>
    <n v="70"/>
    <s v="Retired"/>
    <n v="163"/>
    <n v="1"/>
    <n v="3524.68"/>
    <d v="2024-11-04T08:07:44"/>
    <n v="17"/>
    <s v="Monday"/>
    <n v="-0.88339474719122102"/>
    <b v="0"/>
    <b v="0"/>
    <b v="1"/>
    <n v="0"/>
    <m/>
    <n v="0"/>
    <m/>
  </r>
  <r>
    <s v="TX000833"/>
    <s v="AC00444"/>
    <n v="157.69999999999999"/>
    <d v="2023-12-01T17:29:15"/>
    <s v="Credit"/>
    <x v="32"/>
    <s v="D000075"/>
    <s v="21.190.11.223"/>
    <s v="M019"/>
    <s v="Branch"/>
    <n v="58"/>
    <s v="Engineer"/>
    <n v="46"/>
    <n v="1"/>
    <n v="8332.58"/>
    <d v="2024-11-04T08:11:00"/>
    <n v="17"/>
    <s v="Friday"/>
    <n v="-0.479176495800955"/>
    <b v="0"/>
    <b v="0"/>
    <b v="1"/>
    <n v="0"/>
    <m/>
    <n v="0"/>
    <m/>
  </r>
  <r>
    <s v="TX000834"/>
    <s v="AC00307"/>
    <n v="81.27"/>
    <d v="2023-11-07T16:36:34"/>
    <s v="Credit"/>
    <x v="6"/>
    <s v="D000228"/>
    <s v="201.95.180.152"/>
    <s v="M051"/>
    <s v="Online"/>
    <n v="22"/>
    <s v="Student"/>
    <n v="68"/>
    <n v="1"/>
    <n v="1814.48"/>
    <d v="2024-11-04T08:10:47"/>
    <n v="16"/>
    <s v="Tuesday"/>
    <n v="-0.74097126703863003"/>
    <b v="0"/>
    <b v="0"/>
    <b v="1"/>
    <n v="0"/>
    <m/>
    <n v="0"/>
    <m/>
  </r>
  <r>
    <s v="TX000835"/>
    <s v="AC00397"/>
    <n v="193.82"/>
    <d v="2023-04-20T17:52:46"/>
    <s v="Debit"/>
    <x v="31"/>
    <s v="D000531"/>
    <s v="16.128.130.153"/>
    <s v="M042"/>
    <s v="Branch"/>
    <n v="37"/>
    <s v="Engineer"/>
    <n v="176"/>
    <n v="1"/>
    <n v="3886.77"/>
    <d v="2024-11-04T08:12:09"/>
    <n v="17"/>
    <s v="Thursday"/>
    <n v="-0.35545508879971399"/>
    <b v="0"/>
    <b v="0"/>
    <b v="1"/>
    <n v="0"/>
    <m/>
    <n v="0"/>
    <m/>
  </r>
  <r>
    <s v="TX000836"/>
    <s v="AC00078"/>
    <n v="16.73"/>
    <d v="2023-11-30T17:48:36"/>
    <s v="Debit"/>
    <x v="32"/>
    <s v="D000660"/>
    <s v="205.45.234.42"/>
    <s v="M022"/>
    <s v="Online"/>
    <n v="79"/>
    <s v="Retired"/>
    <n v="165"/>
    <n v="1"/>
    <n v="7591.13"/>
    <d v="2024-11-04T08:08:04"/>
    <n v="17"/>
    <s v="Thursday"/>
    <n v="-0.96203936249433497"/>
    <b v="0"/>
    <b v="0"/>
    <b v="1"/>
    <n v="0"/>
    <m/>
    <n v="0"/>
    <m/>
  </r>
  <r>
    <s v="TX000837"/>
    <s v="AC00348"/>
    <n v="474.05"/>
    <d v="2023-08-10T18:30:37"/>
    <s v="Debit"/>
    <x v="24"/>
    <s v="D000643"/>
    <s v="24.129.74.189"/>
    <s v="M031"/>
    <s v="ATM"/>
    <n v="57"/>
    <s v="Retired"/>
    <n v="214"/>
    <n v="1"/>
    <n v="1484.31"/>
    <d v="2024-11-04T08:10:46"/>
    <n v="18"/>
    <s v="Thursday"/>
    <n v="0.60441340189678805"/>
    <b v="0"/>
    <b v="0"/>
    <b v="1"/>
    <n v="0"/>
    <m/>
    <n v="0"/>
    <m/>
  </r>
  <r>
    <s v="TX000838"/>
    <s v="AC00169"/>
    <n v="39.21"/>
    <d v="2023-05-10T16:15:31"/>
    <s v="Debit"/>
    <x v="19"/>
    <s v="D000059"/>
    <s v="105.87.212.115"/>
    <s v="M093"/>
    <s v="ATM"/>
    <n v="66"/>
    <s v="Doctor"/>
    <n v="245"/>
    <n v="4"/>
    <n v="9385.57"/>
    <d v="2024-11-04T08:11:52"/>
    <n v="16"/>
    <s v="Wednesday"/>
    <n v="-0.88503888549024101"/>
    <b v="0"/>
    <b v="1"/>
    <b v="1"/>
    <n v="1"/>
    <m/>
    <n v="0"/>
    <m/>
  </r>
  <r>
    <s v="TX000839"/>
    <s v="AC00007"/>
    <n v="637.75"/>
    <d v="2023-07-24T16:07:05"/>
    <s v="Debit"/>
    <x v="34"/>
    <s v="D000561"/>
    <s v="184.57.159.204"/>
    <s v="M028"/>
    <s v="Branch"/>
    <n v="79"/>
    <s v="Retired"/>
    <n v="152"/>
    <n v="1"/>
    <n v="4202.92"/>
    <d v="2024-11-04T08:08:51"/>
    <n v="16"/>
    <s v="Monday"/>
    <n v="1.165133067625"/>
    <b v="0"/>
    <b v="0"/>
    <b v="1"/>
    <n v="0"/>
    <m/>
    <n v="0"/>
    <m/>
  </r>
  <r>
    <s v="TX000840"/>
    <s v="AC00009"/>
    <n v="153.59"/>
    <d v="2023-05-04T17:43:59"/>
    <s v="Credit"/>
    <x v="42"/>
    <s v="D000270"/>
    <s v="204.120.80.105"/>
    <s v="M001"/>
    <s v="Branch"/>
    <n v="66"/>
    <s v="Retired"/>
    <n v="174"/>
    <n v="1"/>
    <n v="4813.12"/>
    <d v="2024-11-04T08:09:43"/>
    <n v="17"/>
    <s v="Thursday"/>
    <n v="-0.49325442998631203"/>
    <b v="0"/>
    <b v="0"/>
    <b v="1"/>
    <n v="0"/>
    <m/>
    <n v="0"/>
    <m/>
  </r>
  <r>
    <s v="TX000841"/>
    <s v="AC00065"/>
    <n v="186.6"/>
    <d v="2023-10-25T16:03:16"/>
    <s v="Debit"/>
    <x v="28"/>
    <s v="D000554"/>
    <s v="184.185.209.72"/>
    <s v="M086"/>
    <s v="Branch"/>
    <n v="18"/>
    <s v="Student"/>
    <n v="139"/>
    <n v="1"/>
    <n v="9716.68"/>
    <d v="2024-11-04T08:10:37"/>
    <n v="16"/>
    <s v="Wednesday"/>
    <n v="-0.38018566904746998"/>
    <b v="0"/>
    <b v="0"/>
    <b v="1"/>
    <n v="0"/>
    <m/>
    <n v="0"/>
    <m/>
  </r>
  <r>
    <s v="TX000842"/>
    <s v="AC00362"/>
    <n v="644.08000000000004"/>
    <d v="2023-05-08T17:29:00"/>
    <s v="Debit"/>
    <x v="4"/>
    <s v="D000377"/>
    <s v="57.232.212.116"/>
    <s v="M018"/>
    <s v="Online"/>
    <n v="24"/>
    <s v="Student"/>
    <n v="55"/>
    <n v="1"/>
    <n v="1980.62"/>
    <d v="2024-11-04T08:07:18"/>
    <n v="17"/>
    <s v="Monday"/>
    <n v="1.1868151414433199"/>
    <b v="0"/>
    <b v="0"/>
    <b v="1"/>
    <n v="0"/>
    <m/>
    <n v="0"/>
    <m/>
  </r>
  <r>
    <s v="TX000843"/>
    <s v="AC00444"/>
    <n v="226.66"/>
    <d v="2023-12-27T18:55:13"/>
    <s v="Debit"/>
    <x v="14"/>
    <s v="D000644"/>
    <s v="16.94.155.46"/>
    <s v="M001"/>
    <s v="Branch"/>
    <n v="41"/>
    <s v="Doctor"/>
    <n v="168"/>
    <n v="1"/>
    <n v="10216.25"/>
    <d v="2024-11-04T08:07:45"/>
    <n v="18"/>
    <s v="Wednesday"/>
    <n v="-0.242968626841775"/>
    <b v="0"/>
    <b v="0"/>
    <b v="1"/>
    <n v="0"/>
    <m/>
    <n v="0"/>
    <m/>
  </r>
  <r>
    <s v="TX000844"/>
    <s v="AC00106"/>
    <n v="305"/>
    <d v="2023-10-12T17:20:30"/>
    <s v="Debit"/>
    <x v="37"/>
    <s v="D000608"/>
    <s v="199.103.32.145"/>
    <s v="M003"/>
    <s v="ATM"/>
    <n v="22"/>
    <s v="Student"/>
    <n v="222"/>
    <n v="1"/>
    <n v="944.83"/>
    <d v="2024-11-04T08:06:50"/>
    <n v="17"/>
    <s v="Thursday"/>
    <n v="2.5368444710749199E-2"/>
    <b v="0"/>
    <b v="0"/>
    <b v="1"/>
    <n v="0"/>
    <m/>
    <n v="0"/>
    <m/>
  </r>
  <r>
    <s v="TX000845"/>
    <s v="AC00241"/>
    <n v="233.1"/>
    <d v="2023-01-16T17:28:48"/>
    <s v="Credit"/>
    <x v="9"/>
    <s v="D000472"/>
    <s v="38.164.132.63"/>
    <s v="M011"/>
    <s v="Branch"/>
    <n v="42"/>
    <s v="Doctor"/>
    <n v="37"/>
    <n v="1"/>
    <n v="7469.2"/>
    <d v="2024-11-04T08:11:39"/>
    <n v="17"/>
    <s v="Monday"/>
    <n v="-0.22090977132992601"/>
    <b v="0"/>
    <b v="0"/>
    <b v="1"/>
    <n v="0"/>
    <m/>
    <n v="0"/>
    <m/>
  </r>
  <r>
    <s v="TX000846"/>
    <s v="AC00092"/>
    <n v="793.13"/>
    <d v="2023-05-10T16:38:07"/>
    <s v="Debit"/>
    <x v="11"/>
    <s v="D000518"/>
    <s v="173.232.121.213"/>
    <s v="M035"/>
    <s v="Online"/>
    <n v="68"/>
    <s v="Doctor"/>
    <n v="76"/>
    <n v="1"/>
    <n v="13389.16"/>
    <d v="2024-11-04T08:09:45"/>
    <n v="16"/>
    <s v="Wednesday"/>
    <n v="1.6973543361701999"/>
    <b v="0"/>
    <b v="0"/>
    <b v="1"/>
    <n v="0"/>
    <m/>
    <n v="0"/>
    <m/>
  </r>
  <r>
    <s v="TX000847"/>
    <s v="AC00173"/>
    <n v="224.19"/>
    <d v="2023-09-21T16:42:38"/>
    <s v="Debit"/>
    <x v="1"/>
    <s v="D000266"/>
    <s v="46.150.175.171"/>
    <s v="M017"/>
    <s v="ATM"/>
    <n v="52"/>
    <s v="Doctor"/>
    <n v="93"/>
    <n v="1"/>
    <n v="8475.4699999999993"/>
    <d v="2024-11-04T08:07:34"/>
    <n v="16"/>
    <s v="Thursday"/>
    <n v="-0.25142908850548101"/>
    <b v="0"/>
    <b v="0"/>
    <b v="1"/>
    <n v="0"/>
    <m/>
    <n v="0"/>
    <m/>
  </r>
  <r>
    <s v="TX000848"/>
    <s v="AC00363"/>
    <n v="214.83"/>
    <d v="2023-03-20T18:12:30"/>
    <s v="Credit"/>
    <x v="28"/>
    <s v="D000228"/>
    <s v="205.45.234.42"/>
    <s v="M009"/>
    <s v="ATM"/>
    <n v="23"/>
    <s v="Student"/>
    <n v="63"/>
    <n v="1"/>
    <n v="991.69"/>
    <d v="2024-11-04T08:11:45"/>
    <n v="18"/>
    <s v="Monday"/>
    <n v="-0.28348978533636798"/>
    <b v="0"/>
    <b v="0"/>
    <b v="1"/>
    <n v="0"/>
    <m/>
    <n v="0"/>
    <m/>
  </r>
  <r>
    <s v="TX000849"/>
    <s v="AC00185"/>
    <n v="163.46"/>
    <d v="2023-09-08T17:09:54"/>
    <s v="Credit"/>
    <x v="21"/>
    <s v="D000150"/>
    <s v="39.129.125.110"/>
    <s v="M037"/>
    <s v="Branch"/>
    <n v="63"/>
    <s v="Retired"/>
    <n v="111"/>
    <n v="1"/>
    <n v="6953.8"/>
    <d v="2024-11-04T08:11:32"/>
    <n v="17"/>
    <s v="Friday"/>
    <n v="-0.45944683621271698"/>
    <b v="0"/>
    <b v="0"/>
    <b v="1"/>
    <n v="0"/>
    <m/>
    <n v="0"/>
    <m/>
  </r>
  <r>
    <s v="TX000850"/>
    <s v="AC00370"/>
    <n v="194.99"/>
    <d v="2023-12-01T17:01:30"/>
    <s v="Debit"/>
    <x v="36"/>
    <s v="D000442"/>
    <s v="173.232.121.213"/>
    <s v="M097"/>
    <s v="Branch"/>
    <n v="34"/>
    <s v="Engineer"/>
    <n v="91"/>
    <n v="1"/>
    <n v="1370.03"/>
    <d v="2024-11-04T08:07:50"/>
    <n v="17"/>
    <s v="Friday"/>
    <n v="-0.35144750169585298"/>
    <b v="0"/>
    <b v="0"/>
    <b v="1"/>
    <n v="0"/>
    <m/>
    <n v="0"/>
    <m/>
  </r>
  <r>
    <s v="TX000851"/>
    <s v="AC00124"/>
    <n v="23.4"/>
    <d v="2023-02-08T18:27:49"/>
    <s v="Debit"/>
    <x v="39"/>
    <s v="D000079"/>
    <s v="74.58.165.67"/>
    <s v="M027"/>
    <s v="ATM"/>
    <n v="46"/>
    <s v="Doctor"/>
    <n v="175"/>
    <n v="4"/>
    <n v="14851.28"/>
    <d v="2024-11-04T08:07:14"/>
    <n v="18"/>
    <s v="Wednesday"/>
    <n v="-0.93919269071420597"/>
    <b v="0"/>
    <b v="1"/>
    <b v="1"/>
    <n v="1"/>
    <m/>
    <n v="0"/>
    <m/>
  </r>
  <r>
    <s v="TX000852"/>
    <s v="AC00412"/>
    <n v="227.5"/>
    <d v="2023-03-13T16:59:33"/>
    <s v="Debit"/>
    <x v="30"/>
    <s v="D000227"/>
    <s v="134.140.85.231"/>
    <s v="M055"/>
    <s v="Online"/>
    <n v="34"/>
    <s v="Doctor"/>
    <n v="277"/>
    <n v="1"/>
    <n v="11505.35"/>
    <d v="2024-11-04T08:11:35"/>
    <n v="16"/>
    <s v="Monday"/>
    <n v="-0.24009138481849099"/>
    <b v="0"/>
    <b v="0"/>
    <b v="1"/>
    <n v="0"/>
    <m/>
    <n v="0"/>
    <m/>
  </r>
  <r>
    <s v="TX000853"/>
    <s v="AC00068"/>
    <n v="259.89999999999998"/>
    <d v="2023-06-22T16:08:43"/>
    <s v="Debit"/>
    <x v="5"/>
    <s v="D000551"/>
    <s v="14.200.197.126"/>
    <s v="M083"/>
    <s v="Online"/>
    <n v="26"/>
    <s v="Student"/>
    <n v="100"/>
    <n v="1"/>
    <n v="914.28"/>
    <d v="2024-11-04T08:07:29"/>
    <n v="16"/>
    <s v="Thursday"/>
    <n v="-0.129112049634653"/>
    <b v="0"/>
    <b v="0"/>
    <b v="1"/>
    <n v="0"/>
    <m/>
    <n v="0"/>
    <m/>
  </r>
  <r>
    <s v="TX000854"/>
    <s v="AC00321"/>
    <n v="59.51"/>
    <d v="2023-04-04T16:12:25"/>
    <s v="Credit"/>
    <x v="34"/>
    <s v="D000263"/>
    <s v="86.220.59.252"/>
    <s v="M086"/>
    <s v="Online"/>
    <n v="36"/>
    <s v="Doctor"/>
    <n v="55"/>
    <n v="1"/>
    <n v="9955.8799999999992"/>
    <d v="2024-11-04T08:12:18"/>
    <n v="16"/>
    <s v="Tuesday"/>
    <n v="-0.815505536594195"/>
    <b v="0"/>
    <b v="0"/>
    <b v="1"/>
    <n v="0"/>
    <m/>
    <n v="0"/>
    <m/>
  </r>
  <r>
    <s v="TX000855"/>
    <s v="AC00302"/>
    <n v="50.63"/>
    <d v="2023-05-24T16:21:09"/>
    <s v="Debit"/>
    <x v="15"/>
    <s v="D000314"/>
    <s v="9.230.41.239"/>
    <s v="M045"/>
    <s v="Online"/>
    <n v="64"/>
    <s v="Retired"/>
    <n v="143"/>
    <n v="1"/>
    <n v="4732.8100000000004"/>
    <d v="2024-11-04T08:12:22"/>
    <n v="16"/>
    <s v="Wednesday"/>
    <n v="-0.84592209512606098"/>
    <b v="0"/>
    <b v="0"/>
    <b v="1"/>
    <n v="0"/>
    <m/>
    <n v="0"/>
    <m/>
  </r>
  <r>
    <s v="TX000856"/>
    <s v="AC00217"/>
    <n v="1074.95"/>
    <d v="2023-06-02T16:49:03"/>
    <s v="Debit"/>
    <x v="36"/>
    <s v="D000674"/>
    <s v="167.95.191.52"/>
    <s v="M089"/>
    <s v="Branch"/>
    <n v="20"/>
    <s v="Student"/>
    <n v="91"/>
    <n v="1"/>
    <n v="530.86"/>
    <d v="2024-11-04T08:09:58"/>
    <n v="16"/>
    <s v="Friday"/>
    <n v="2.6626690349822102"/>
    <b v="1"/>
    <b v="0"/>
    <b v="1"/>
    <n v="1"/>
    <m/>
    <n v="1"/>
    <m/>
  </r>
  <r>
    <s v="TX000857"/>
    <s v="AC00298"/>
    <n v="112.94"/>
    <d v="2023-11-24T17:35:47"/>
    <s v="Credit"/>
    <x v="25"/>
    <s v="D000265"/>
    <s v="142.160.124.244"/>
    <s v="M091"/>
    <s v="Online"/>
    <n v="73"/>
    <s v="Retired"/>
    <n v="31"/>
    <n v="1"/>
    <n v="3807.84"/>
    <d v="2024-11-04T08:07:19"/>
    <n v="17"/>
    <s v="Friday"/>
    <n v="-0.632492392184552"/>
    <b v="0"/>
    <b v="0"/>
    <b v="1"/>
    <n v="0"/>
    <m/>
    <n v="0"/>
    <m/>
  </r>
  <r>
    <s v="TX000858"/>
    <s v="AC00327"/>
    <n v="11.81"/>
    <d v="2023-02-27T16:07:38"/>
    <s v="Debit"/>
    <x v="37"/>
    <s v="D000295"/>
    <s v="96.162.11.85"/>
    <s v="M072"/>
    <s v="ATM"/>
    <n v="21"/>
    <s v="Student"/>
    <n v="131"/>
    <n v="1"/>
    <n v="320.25"/>
    <d v="2024-11-04T08:07:53"/>
    <n v="16"/>
    <s v="Monday"/>
    <n v="-0.97889178005928901"/>
    <b v="0"/>
    <b v="0"/>
    <b v="1"/>
    <n v="0"/>
    <m/>
    <n v="0"/>
    <m/>
  </r>
  <r>
    <s v="TX000859"/>
    <s v="AC00054"/>
    <n v="329.14"/>
    <d v="2023-11-14T16:37:42"/>
    <s v="Debit"/>
    <x v="30"/>
    <s v="D000156"/>
    <s v="6.204.110.7"/>
    <s v="M018"/>
    <s v="Branch"/>
    <n v="55"/>
    <s v="Doctor"/>
    <n v="14"/>
    <n v="1"/>
    <n v="12033.92"/>
    <d v="2024-11-04T08:09:00"/>
    <n v="16"/>
    <s v="Tuesday"/>
    <n v="0.108054899998953"/>
    <b v="0"/>
    <b v="0"/>
    <b v="1"/>
    <n v="0"/>
    <m/>
    <n v="0"/>
    <m/>
  </r>
  <r>
    <s v="TX000860"/>
    <s v="AC00403"/>
    <n v="154.24"/>
    <d v="2023-11-06T16:19:31"/>
    <s v="Debit"/>
    <x v="2"/>
    <s v="D000129"/>
    <s v="219.98.242.240"/>
    <s v="M049"/>
    <s v="ATM"/>
    <n v="61"/>
    <s v="Retired"/>
    <n v="82"/>
    <n v="1"/>
    <n v="6109.55"/>
    <d v="2024-11-04T08:08:33"/>
    <n v="16"/>
    <s v="Monday"/>
    <n v="-0.49102799270638903"/>
    <b v="0"/>
    <b v="0"/>
    <b v="1"/>
    <n v="0"/>
    <m/>
    <n v="0"/>
    <m/>
  </r>
  <r>
    <s v="TX000861"/>
    <s v="AC00397"/>
    <n v="233.44"/>
    <d v="2023-01-20T16:23:48"/>
    <s v="Debit"/>
    <x v="29"/>
    <s v="D000334"/>
    <s v="37.213.85.222"/>
    <s v="M037"/>
    <s v="Online"/>
    <n v="20"/>
    <s v="Student"/>
    <n v="297"/>
    <n v="1"/>
    <n v="1691.88"/>
    <d v="2024-11-04T08:07:54"/>
    <n v="16"/>
    <s v="Friday"/>
    <n v="-0.21974517336811999"/>
    <b v="0"/>
    <b v="0"/>
    <b v="1"/>
    <n v="0"/>
    <m/>
    <n v="0"/>
    <m/>
  </r>
  <r>
    <s v="TX000862"/>
    <s v="AC00383"/>
    <n v="141.80000000000001"/>
    <d v="2023-11-15T18:56:02"/>
    <s v="Debit"/>
    <x v="29"/>
    <s v="D000046"/>
    <s v="184.4.253.143"/>
    <s v="M088"/>
    <s v="ATM"/>
    <n v="18"/>
    <s v="Student"/>
    <n v="116"/>
    <n v="1"/>
    <n v="1697.67"/>
    <d v="2024-11-04T08:08:34"/>
    <n v="18"/>
    <s v="Wednesday"/>
    <n v="-0.53363857695598604"/>
    <b v="0"/>
    <b v="0"/>
    <b v="1"/>
    <n v="0"/>
    <m/>
    <n v="0"/>
    <m/>
  </r>
  <r>
    <s v="TX000863"/>
    <s v="AC00450"/>
    <n v="209.03"/>
    <d v="2023-10-09T18:20:39"/>
    <s v="Debit"/>
    <x v="8"/>
    <s v="D000371"/>
    <s v="175.210.47.87"/>
    <s v="M012"/>
    <s v="Branch"/>
    <n v="55"/>
    <s v="Engineer"/>
    <n v="126"/>
    <n v="1"/>
    <n v="8359.5"/>
    <d v="2024-11-04T08:10:58"/>
    <n v="18"/>
    <s v="Monday"/>
    <n v="-0.30335645644952403"/>
    <b v="0"/>
    <b v="0"/>
    <b v="1"/>
    <n v="0"/>
    <m/>
    <n v="0"/>
    <m/>
  </r>
  <r>
    <s v="TX000864"/>
    <s v="AC00086"/>
    <n v="1137.6300000000001"/>
    <d v="2023-02-14T16:55:26"/>
    <s v="Debit"/>
    <x v="21"/>
    <s v="D000494"/>
    <s v="213.207.62.176"/>
    <s v="M074"/>
    <s v="ATM"/>
    <n v="26"/>
    <s v="Student"/>
    <n v="144"/>
    <n v="1"/>
    <n v="1629.12"/>
    <d v="2024-11-04T08:08:03"/>
    <n v="16"/>
    <s v="Tuesday"/>
    <n v="2.8773660945292101"/>
    <b v="1"/>
    <b v="0"/>
    <b v="1"/>
    <n v="1"/>
    <m/>
    <n v="1"/>
    <m/>
  </r>
  <r>
    <s v="TX000865"/>
    <s v="AC00156"/>
    <n v="261.14"/>
    <d v="2023-05-15T18:44:04"/>
    <s v="Debit"/>
    <x v="25"/>
    <s v="D000218"/>
    <s v="186.135.2.148"/>
    <s v="M040"/>
    <s v="ATM"/>
    <n v="42"/>
    <s v="Engineer"/>
    <n v="162"/>
    <n v="1"/>
    <n v="6100.08"/>
    <d v="2024-11-04T08:08:53"/>
    <n v="18"/>
    <s v="Monday"/>
    <n v="-0.124864692362186"/>
    <b v="0"/>
    <b v="0"/>
    <b v="1"/>
    <n v="0"/>
    <m/>
    <n v="0"/>
    <m/>
  </r>
  <r>
    <s v="TX000866"/>
    <s v="AC00418"/>
    <n v="101.81"/>
    <d v="2023-06-29T17:51:45"/>
    <s v="Debit"/>
    <x v="18"/>
    <s v="D000209"/>
    <s v="160.212.125.105"/>
    <s v="M087"/>
    <s v="ATM"/>
    <n v="45"/>
    <s v="Doctor"/>
    <n v="105"/>
    <n v="1"/>
    <n v="13872.03"/>
    <d v="2024-11-04T08:11:23"/>
    <n v="17"/>
    <s v="Thursday"/>
    <n v="-0.67061584899307403"/>
    <b v="0"/>
    <b v="0"/>
    <b v="1"/>
    <n v="0"/>
    <m/>
    <n v="0"/>
    <m/>
  </r>
  <r>
    <s v="TX000867"/>
    <s v="AC00263"/>
    <n v="98.71"/>
    <d v="2023-09-18T17:41:29"/>
    <s v="Debit"/>
    <x v="18"/>
    <s v="D000276"/>
    <s v="79.227.202.117"/>
    <s v="M070"/>
    <s v="ATM"/>
    <n v="32"/>
    <s v="Doctor"/>
    <n v="117"/>
    <n v="1"/>
    <n v="10095.23"/>
    <d v="2024-11-04T08:07:42"/>
    <n v="17"/>
    <s v="Monday"/>
    <n v="-0.681234242174244"/>
    <b v="0"/>
    <b v="0"/>
    <b v="1"/>
    <n v="0"/>
    <m/>
    <n v="0"/>
    <m/>
  </r>
  <r>
    <s v="TX000868"/>
    <s v="AC00009"/>
    <n v="87.38"/>
    <d v="2023-03-03T18:23:29"/>
    <s v="Debit"/>
    <x v="4"/>
    <s v="D000356"/>
    <s v="3.200.166.167"/>
    <s v="M054"/>
    <s v="Branch"/>
    <n v="21"/>
    <s v="Student"/>
    <n v="252"/>
    <n v="1"/>
    <n v="1504.99"/>
    <d v="2024-11-04T08:09:45"/>
    <n v="18"/>
    <s v="Friday"/>
    <n v="-0.72004275660735695"/>
    <b v="0"/>
    <b v="0"/>
    <b v="1"/>
    <n v="0"/>
    <m/>
    <n v="0"/>
    <m/>
  </r>
  <r>
    <s v="TX000869"/>
    <s v="AC00436"/>
    <n v="83.39"/>
    <d v="2023-09-18T16:00:54"/>
    <s v="Debit"/>
    <x v="32"/>
    <s v="D000069"/>
    <s v="135.73.131.111"/>
    <s v="M042"/>
    <s v="Branch"/>
    <n v="32"/>
    <s v="Doctor"/>
    <n v="158"/>
    <n v="1"/>
    <n v="13182.11"/>
    <d v="2024-11-04T08:12:20"/>
    <n v="16"/>
    <s v="Monday"/>
    <n v="-0.73370965621795903"/>
    <b v="0"/>
    <b v="0"/>
    <b v="1"/>
    <n v="0"/>
    <m/>
    <n v="0"/>
    <m/>
  </r>
  <r>
    <s v="TX000870"/>
    <s v="AC00399"/>
    <n v="267.55"/>
    <d v="2023-06-13T16:06:05"/>
    <s v="Debit"/>
    <x v="27"/>
    <s v="D000138"/>
    <s v="170.99.15.217"/>
    <s v="M084"/>
    <s v="Online"/>
    <n v="46"/>
    <s v="Engineer"/>
    <n v="40"/>
    <n v="1"/>
    <n v="4330.04"/>
    <d v="2024-11-04T08:12:03"/>
    <n v="16"/>
    <s v="Tuesday"/>
    <n v="-0.10290859549402499"/>
    <b v="0"/>
    <b v="0"/>
    <b v="1"/>
    <n v="0"/>
    <m/>
    <n v="0"/>
    <m/>
  </r>
  <r>
    <s v="TX000871"/>
    <s v="AC00182"/>
    <n v="870.05"/>
    <d v="2023-08-31T16:42:18"/>
    <s v="Debit"/>
    <x v="39"/>
    <s v="D000098"/>
    <s v="80.90.35.146"/>
    <s v="M077"/>
    <s v="ATM"/>
    <n v="29"/>
    <s v="Doctor"/>
    <n v="39"/>
    <n v="1"/>
    <n v="905.25"/>
    <d v="2024-11-04T08:11:02"/>
    <n v="16"/>
    <s v="Thursday"/>
    <n v="1.96082749858813"/>
    <b v="0"/>
    <b v="0"/>
    <b v="1"/>
    <n v="0"/>
    <m/>
    <n v="0"/>
    <m/>
  </r>
  <r>
    <s v="TX000872"/>
    <s v="AC00482"/>
    <n v="154.32"/>
    <d v="2024-01-01T16:53:32"/>
    <s v="Credit"/>
    <x v="28"/>
    <s v="D000055"/>
    <s v="8.244.162.185"/>
    <s v="M015"/>
    <s v="ATM"/>
    <n v="38"/>
    <s v="Engineer"/>
    <n v="269"/>
    <n v="1"/>
    <n v="6972.5"/>
    <d v="2024-11-04T08:11:43"/>
    <n v="16"/>
    <s v="Monday"/>
    <n v="-0.49075396965655299"/>
    <b v="0"/>
    <b v="0"/>
    <b v="1"/>
    <n v="0"/>
    <m/>
    <n v="0"/>
    <m/>
  </r>
  <r>
    <s v="TX000873"/>
    <s v="AC00475"/>
    <n v="164.51"/>
    <d v="2023-06-05T18:09:44"/>
    <s v="Debit"/>
    <x v="12"/>
    <s v="D000105"/>
    <s v="189.248.139.91"/>
    <s v="M056"/>
    <s v="Branch"/>
    <n v="78"/>
    <s v="Retired"/>
    <n v="110"/>
    <n v="1"/>
    <n v="3553.69"/>
    <d v="2024-11-04T08:07:10"/>
    <n v="18"/>
    <s v="Monday"/>
    <n v="-0.45585028368361102"/>
    <b v="0"/>
    <b v="0"/>
    <b v="1"/>
    <n v="0"/>
    <m/>
    <n v="0"/>
    <m/>
  </r>
  <r>
    <s v="TX000874"/>
    <s v="AC00253"/>
    <n v="758.12"/>
    <d v="2023-07-03T18:46:29"/>
    <s v="Debit"/>
    <x v="23"/>
    <s v="D000413"/>
    <s v="179.132.235.182"/>
    <s v="M028"/>
    <s v="ATM"/>
    <n v="69"/>
    <s v="Retired"/>
    <n v="90"/>
    <n v="1"/>
    <n v="6164.65"/>
    <d v="2024-11-04T08:11:14"/>
    <n v="18"/>
    <s v="Monday"/>
    <n v="1.5774349989854499"/>
    <b v="0"/>
    <b v="0"/>
    <b v="1"/>
    <n v="0"/>
    <m/>
    <n v="0"/>
    <m/>
  </r>
  <r>
    <s v="TX000875"/>
    <s v="AC00376"/>
    <n v="103.76"/>
    <d v="2023-03-29T16:20:33"/>
    <s v="Debit"/>
    <x v="31"/>
    <s v="D000667"/>
    <s v="79.47.176.19"/>
    <s v="M085"/>
    <s v="Online"/>
    <n v="28"/>
    <s v="Engineer"/>
    <n v="188"/>
    <n v="1"/>
    <n v="9626.14"/>
    <d v="2024-11-04T08:11:31"/>
    <n v="16"/>
    <s v="Wednesday"/>
    <n v="-0.66393653715330603"/>
    <b v="0"/>
    <b v="0"/>
    <b v="1"/>
    <n v="0"/>
    <m/>
    <n v="0"/>
    <m/>
  </r>
  <r>
    <s v="TX000876"/>
    <s v="AC00058"/>
    <n v="583.91999999999996"/>
    <d v="2023-08-01T16:11:52"/>
    <s v="Debit"/>
    <x v="31"/>
    <s v="D000429"/>
    <s v="32.169.88.41"/>
    <s v="M024"/>
    <s v="Online"/>
    <n v="55"/>
    <s v="Engineer"/>
    <n v="139"/>
    <n v="1"/>
    <n v="6364.14"/>
    <d v="2024-11-04T08:06:32"/>
    <n v="16"/>
    <s v="Tuesday"/>
    <n v="0.98074980796617695"/>
    <b v="0"/>
    <b v="0"/>
    <b v="1"/>
    <n v="0"/>
    <m/>
    <n v="0"/>
    <m/>
  </r>
  <r>
    <s v="TX000877"/>
    <s v="AC00304"/>
    <n v="204.06"/>
    <d v="2023-01-02T16:07:17"/>
    <s v="Debit"/>
    <x v="38"/>
    <s v="D000685"/>
    <s v="150.231.20.169"/>
    <s v="M069"/>
    <s v="Online"/>
    <n v="77"/>
    <s v="Retired"/>
    <n v="159"/>
    <n v="1"/>
    <n v="4351.83"/>
    <d v="2024-11-04T08:07:22"/>
    <n v="16"/>
    <s v="Monday"/>
    <n v="-0.32038013842062502"/>
    <b v="0"/>
    <b v="0"/>
    <b v="1"/>
    <n v="0"/>
    <m/>
    <n v="0"/>
    <m/>
  </r>
  <r>
    <s v="TX000878"/>
    <s v="AC00035"/>
    <n v="53.51"/>
    <d v="2023-10-26T16:54:32"/>
    <s v="Debit"/>
    <x v="22"/>
    <s v="D000671"/>
    <s v="136.172.149.77"/>
    <s v="M030"/>
    <s v="Online"/>
    <n v="56"/>
    <s v="Retired"/>
    <n v="165"/>
    <n v="1"/>
    <n v="5773.5"/>
    <d v="2024-11-04T08:11:18"/>
    <n v="16"/>
    <s v="Thursday"/>
    <n v="-0.83605726533194202"/>
    <b v="0"/>
    <b v="0"/>
    <b v="1"/>
    <n v="0"/>
    <m/>
    <n v="0"/>
    <m/>
  </r>
  <r>
    <s v="TX000879"/>
    <s v="AC00366"/>
    <n v="1108.46"/>
    <d v="2023-08-31T16:16:15"/>
    <s v="Debit"/>
    <x v="16"/>
    <s v="D000353"/>
    <s v="48.89.167.189"/>
    <s v="M046"/>
    <s v="Branch"/>
    <n v="30"/>
    <s v="Engineer"/>
    <n v="262"/>
    <n v="1"/>
    <n v="9257.0400000000009"/>
    <d v="2024-11-04T08:06:36"/>
    <n v="16"/>
    <s v="Thursday"/>
    <n v="2.7774504399825299"/>
    <b v="1"/>
    <b v="0"/>
    <b v="1"/>
    <n v="1"/>
    <m/>
    <n v="1"/>
    <m/>
  </r>
  <r>
    <s v="TX000880"/>
    <s v="AC00362"/>
    <n v="52.95"/>
    <d v="2023-08-07T18:02:59"/>
    <s v="Credit"/>
    <x v="27"/>
    <s v="D000652"/>
    <s v="148.234.210.167"/>
    <s v="M061"/>
    <s v="Online"/>
    <n v="68"/>
    <s v="Retired"/>
    <n v="14"/>
    <n v="1"/>
    <n v="6335.58"/>
    <d v="2024-11-04T08:07:52"/>
    <n v="18"/>
    <s v="Monday"/>
    <n v="-0.83797542668079905"/>
    <b v="0"/>
    <b v="0"/>
    <b v="1"/>
    <n v="0"/>
    <m/>
    <n v="0"/>
    <m/>
  </r>
  <r>
    <s v="TX000881"/>
    <s v="AC00094"/>
    <n v="120.17"/>
    <d v="2023-08-08T17:07:42"/>
    <s v="Debit"/>
    <x v="42"/>
    <s v="D000052"/>
    <s v="47.167.178.158"/>
    <s v="M023"/>
    <s v="ATM"/>
    <n v="49"/>
    <s v="Doctor"/>
    <n v="105"/>
    <n v="1"/>
    <n v="5403.79"/>
    <d v="2024-11-04T08:11:50"/>
    <n v="17"/>
    <s v="Tuesday"/>
    <n v="-0.60772755905556597"/>
    <b v="0"/>
    <b v="0"/>
    <b v="1"/>
    <n v="0"/>
    <m/>
    <n v="0"/>
    <m/>
  </r>
  <r>
    <s v="TX000882"/>
    <s v="AC00225"/>
    <n v="220.8"/>
    <d v="2023-09-06T18:43:52"/>
    <s v="Debit"/>
    <x v="7"/>
    <s v="D000532"/>
    <s v="10.223.224.50"/>
    <s v="M021"/>
    <s v="Online"/>
    <n v="31"/>
    <s v="Engineer"/>
    <n v="28"/>
    <n v="1"/>
    <n v="8135.31"/>
    <d v="2024-11-04T08:10:00"/>
    <n v="18"/>
    <s v="Wednesday"/>
    <n v="-0.26304081524230899"/>
    <b v="0"/>
    <b v="0"/>
    <b v="1"/>
    <n v="0"/>
    <m/>
    <n v="0"/>
    <m/>
  </r>
  <r>
    <s v="TX000883"/>
    <s v="AC00474"/>
    <n v="119.01"/>
    <d v="2023-03-13T17:26:41"/>
    <s v="Debit"/>
    <x v="26"/>
    <s v="D000418"/>
    <s v="14.200.197.126"/>
    <s v="M069"/>
    <s v="ATM"/>
    <n v="45"/>
    <s v="Doctor"/>
    <n v="87"/>
    <n v="1"/>
    <n v="9798.26"/>
    <d v="2024-11-04T08:09:17"/>
    <n v="17"/>
    <s v="Monday"/>
    <n v="-0.61170089327819699"/>
    <b v="0"/>
    <b v="0"/>
    <b v="1"/>
    <n v="0"/>
    <m/>
    <n v="0"/>
    <m/>
  </r>
  <r>
    <s v="TX000884"/>
    <s v="AC00448"/>
    <n v="183.32"/>
    <d v="2023-05-10T16:27:51"/>
    <s v="Debit"/>
    <x v="3"/>
    <s v="D000450"/>
    <s v="162.207.77.170"/>
    <s v="M041"/>
    <s v="ATM"/>
    <n v="21"/>
    <s v="Student"/>
    <n v="74"/>
    <n v="1"/>
    <n v="137.41999999999999"/>
    <d v="2024-11-04T08:09:31"/>
    <n v="16"/>
    <s v="Wednesday"/>
    <n v="-0.391420614090772"/>
    <b v="0"/>
    <b v="0"/>
    <b v="1"/>
    <n v="0"/>
    <m/>
    <n v="0"/>
    <m/>
  </r>
  <r>
    <s v="TX000885"/>
    <s v="AC00439"/>
    <n v="858.88"/>
    <d v="2023-08-22T16:31:34"/>
    <s v="Debit"/>
    <x v="36"/>
    <s v="D000389"/>
    <s v="146.53.16.47"/>
    <s v="M085"/>
    <s v="Online"/>
    <n v="60"/>
    <s v="Engineer"/>
    <n v="227"/>
    <n v="1"/>
    <n v="7015.46"/>
    <d v="2024-11-04T08:12:11"/>
    <n v="16"/>
    <s v="Tuesday"/>
    <n v="1.92256703025469"/>
    <b v="0"/>
    <b v="0"/>
    <b v="1"/>
    <n v="0"/>
    <m/>
    <n v="0"/>
    <m/>
  </r>
  <r>
    <s v="TX000886"/>
    <s v="AC00133"/>
    <n v="11.46"/>
    <d v="2023-02-13T16:53:17"/>
    <s v="Credit"/>
    <x v="23"/>
    <s v="D000315"/>
    <s v="13.188.62.74"/>
    <s v="M092"/>
    <s v="Online"/>
    <n v="41"/>
    <s v="Engineer"/>
    <n v="128"/>
    <n v="1"/>
    <n v="2356.71"/>
    <d v="2024-11-04T08:09:16"/>
    <n v="16"/>
    <s v="Monday"/>
    <n v="-0.98009063090232396"/>
    <b v="0"/>
    <b v="0"/>
    <b v="1"/>
    <n v="0"/>
    <m/>
    <n v="0"/>
    <m/>
  </r>
  <r>
    <s v="TX000887"/>
    <s v="AC00480"/>
    <n v="61.37"/>
    <d v="2023-02-06T16:54:19"/>
    <s v="Debit"/>
    <x v="15"/>
    <s v="D000074"/>
    <s v="57.141.198.111"/>
    <s v="M001"/>
    <s v="Branch"/>
    <n v="75"/>
    <s v="Retired"/>
    <n v="164"/>
    <n v="1"/>
    <n v="4294.4399999999996"/>
    <d v="2024-11-04T08:10:55"/>
    <n v="16"/>
    <s v="Monday"/>
    <n v="-0.80913450068549297"/>
    <b v="0"/>
    <b v="0"/>
    <b v="1"/>
    <n v="0"/>
    <m/>
    <n v="0"/>
    <m/>
  </r>
  <r>
    <s v="TX000888"/>
    <s v="AC00265"/>
    <n v="103.08"/>
    <d v="2023-02-27T16:48:02"/>
    <s v="Credit"/>
    <x v="20"/>
    <s v="D000304"/>
    <s v="66.255.7.16"/>
    <s v="M096"/>
    <s v="Branch"/>
    <n v="49"/>
    <s v="Engineer"/>
    <n v="150"/>
    <n v="1"/>
    <n v="9251.3799999999992"/>
    <d v="2024-11-04T08:06:42"/>
    <n v="16"/>
    <s v="Monday"/>
    <n v="-0.66626573307691705"/>
    <b v="0"/>
    <b v="0"/>
    <b v="1"/>
    <n v="0"/>
    <m/>
    <n v="0"/>
    <m/>
  </r>
  <r>
    <s v="TX000889"/>
    <s v="AC00176"/>
    <n v="1.21"/>
    <d v="2023-08-21T17:19:06"/>
    <s v="Debit"/>
    <x v="4"/>
    <s v="D000369"/>
    <s v="96.115.67.230"/>
    <s v="M039"/>
    <s v="Branch"/>
    <n v="55"/>
    <s v="Retired"/>
    <n v="196"/>
    <n v="1"/>
    <n v="7542.74"/>
    <d v="2024-11-04T08:11:34"/>
    <n v="17"/>
    <s v="Monday"/>
    <n v="-1.01519983416264"/>
    <b v="0"/>
    <b v="0"/>
    <b v="1"/>
    <n v="0"/>
    <m/>
    <n v="0"/>
    <m/>
  </r>
  <r>
    <s v="TX000890"/>
    <s v="AC00278"/>
    <n v="425.18"/>
    <d v="2023-10-04T16:00:54"/>
    <s v="Credit"/>
    <x v="40"/>
    <s v="D000496"/>
    <s v="77.92.193.22"/>
    <s v="M051"/>
    <s v="Online"/>
    <n v="26"/>
    <s v="Engineer"/>
    <n v="172"/>
    <n v="1"/>
    <n v="9880.7099999999991"/>
    <d v="2024-11-04T08:08:39"/>
    <n v="16"/>
    <s v="Wednesday"/>
    <n v="0.43701957132783398"/>
    <b v="0"/>
    <b v="0"/>
    <b v="1"/>
    <n v="0"/>
    <m/>
    <n v="0"/>
    <m/>
  </r>
  <r>
    <s v="TX000891"/>
    <s v="AC00216"/>
    <n v="60.96"/>
    <d v="2023-10-23T16:35:48"/>
    <s v="Debit"/>
    <x v="40"/>
    <s v="D000090"/>
    <s v="184.185.209.72"/>
    <s v="M065"/>
    <s v="ATM"/>
    <n v="52"/>
    <s v="Retired"/>
    <n v="238"/>
    <n v="1"/>
    <n v="6189.24"/>
    <d v="2024-11-04T08:09:58"/>
    <n v="16"/>
    <s v="Monday"/>
    <n v="-0.81053886881590598"/>
    <b v="0"/>
    <b v="0"/>
    <b v="1"/>
    <n v="0"/>
    <m/>
    <n v="0"/>
    <m/>
  </r>
  <r>
    <s v="TX000892"/>
    <s v="AC00431"/>
    <n v="64.209999999999994"/>
    <d v="2023-01-09T16:36:16"/>
    <s v="Debit"/>
    <x v="32"/>
    <s v="D000527"/>
    <s v="134.222.122.238"/>
    <s v="M028"/>
    <s v="ATM"/>
    <n v="51"/>
    <s v="Doctor"/>
    <n v="37"/>
    <n v="1"/>
    <n v="12540.18"/>
    <d v="2024-11-04T08:09:24"/>
    <n v="16"/>
    <s v="Monday"/>
    <n v="-0.79940668241629298"/>
    <b v="0"/>
    <b v="0"/>
    <b v="1"/>
    <n v="0"/>
    <m/>
    <n v="0"/>
    <m/>
  </r>
  <r>
    <s v="TX000893"/>
    <s v="AC00063"/>
    <n v="523.02"/>
    <d v="2023-05-19T18:32:45"/>
    <s v="Debit"/>
    <x v="36"/>
    <s v="D000689"/>
    <s v="124.180.225.109"/>
    <s v="M010"/>
    <s v="Online"/>
    <n v="53"/>
    <s v="Retired"/>
    <n v="83"/>
    <n v="1"/>
    <n v="4586.1099999999997"/>
    <d v="2024-11-04T08:06:38"/>
    <n v="18"/>
    <s v="Friday"/>
    <n v="0.77214976127803903"/>
    <b v="0"/>
    <b v="0"/>
    <b v="1"/>
    <n v="0"/>
    <m/>
    <n v="0"/>
    <m/>
  </r>
  <r>
    <s v="TX000894"/>
    <s v="AC00090"/>
    <n v="50.26"/>
    <d v="2023-11-09T17:51:35"/>
    <s v="Debit"/>
    <x v="17"/>
    <s v="D000268"/>
    <s v="52.1.78.30"/>
    <s v="M055"/>
    <s v="Branch"/>
    <n v="65"/>
    <s v="Retired"/>
    <n v="164"/>
    <n v="1"/>
    <n v="1519.38"/>
    <d v="2024-11-04T08:10:47"/>
    <n v="17"/>
    <s v="Thursday"/>
    <n v="-0.84718945173155602"/>
    <b v="0"/>
    <b v="0"/>
    <b v="1"/>
    <n v="0"/>
    <m/>
    <n v="0"/>
    <m/>
  </r>
  <r>
    <s v="TX000895"/>
    <s v="AC00133"/>
    <n v="110.08"/>
    <d v="2023-11-20T17:15:13"/>
    <s v="Debit"/>
    <x v="8"/>
    <s v="D000560"/>
    <s v="207.157.126.125"/>
    <s v="M059"/>
    <s v="Branch"/>
    <n v="19"/>
    <s v="Student"/>
    <n v="95"/>
    <n v="1"/>
    <n v="1447.26"/>
    <d v="2024-11-04T08:08:19"/>
    <n v="17"/>
    <s v="Monday"/>
    <n v="-0.64228871621621197"/>
    <b v="0"/>
    <b v="0"/>
    <b v="1"/>
    <n v="0"/>
    <m/>
    <n v="0"/>
    <m/>
  </r>
  <r>
    <s v="TX000896"/>
    <s v="AC00357"/>
    <n v="54.47"/>
    <d v="2023-11-13T17:47:07"/>
    <s v="Credit"/>
    <x v="26"/>
    <s v="D000434"/>
    <s v="190.92.63.219"/>
    <s v="M100"/>
    <s v="Branch"/>
    <n v="23"/>
    <s v="Student"/>
    <n v="34"/>
    <n v="1"/>
    <n v="1131.42"/>
    <d v="2024-11-04T08:11:15"/>
    <n v="17"/>
    <s v="Monday"/>
    <n v="-0.83276898873390304"/>
    <b v="0"/>
    <b v="0"/>
    <b v="1"/>
    <n v="0"/>
    <m/>
    <n v="0"/>
    <m/>
  </r>
  <r>
    <s v="TX000897"/>
    <s v="AC00404"/>
    <n v="79.760000000000005"/>
    <d v="2023-04-03T16:25:35"/>
    <s v="Debit"/>
    <x v="31"/>
    <s v="D000110"/>
    <s v="221.169.49.152"/>
    <s v="M043"/>
    <s v="Online"/>
    <n v="68"/>
    <s v="Doctor"/>
    <n v="115"/>
    <n v="1"/>
    <n v="10278.75"/>
    <d v="2024-11-04T08:08:14"/>
    <n v="16"/>
    <s v="Monday"/>
    <n v="-0.746143452104297"/>
    <b v="0"/>
    <b v="0"/>
    <b v="1"/>
    <n v="0"/>
    <m/>
    <n v="0"/>
    <m/>
  </r>
  <r>
    <s v="TX000898"/>
    <s v="AC00390"/>
    <n v="16.79"/>
    <d v="2023-11-06T16:42:34"/>
    <s v="Credit"/>
    <x v="8"/>
    <s v="D000317"/>
    <s v="204.120.80.105"/>
    <s v="M023"/>
    <s v="Online"/>
    <n v="30"/>
    <s v="Doctor"/>
    <n v="146"/>
    <n v="1"/>
    <n v="535.15"/>
    <d v="2024-11-04T08:11:01"/>
    <n v="16"/>
    <s v="Monday"/>
    <n v="-0.96183384520695803"/>
    <b v="0"/>
    <b v="0"/>
    <b v="1"/>
    <n v="0"/>
    <m/>
    <n v="0"/>
    <m/>
  </r>
  <r>
    <s v="TX000899"/>
    <s v="AC00083"/>
    <n v="1531.31"/>
    <d v="2023-10-23T18:00:29"/>
    <s v="Debit"/>
    <x v="0"/>
    <s v="D000319"/>
    <s v="91.204.200.167"/>
    <s v="M078"/>
    <s v="Online"/>
    <n v="18"/>
    <s v="Student"/>
    <n v="62"/>
    <n v="4"/>
    <n v="859.86"/>
    <d v="2024-11-04T08:06:40"/>
    <n v="18"/>
    <s v="Monday"/>
    <n v="4.2258335227752903"/>
    <b v="1"/>
    <b v="1"/>
    <b v="1"/>
    <n v="2"/>
    <m/>
    <n v="1"/>
    <m/>
  </r>
  <r>
    <s v="TX000900"/>
    <s v="AC00161"/>
    <n v="68.62"/>
    <d v="2023-06-29T16:57:52"/>
    <s v="Debit"/>
    <x v="32"/>
    <s v="D000044"/>
    <s v="167.67.137.223"/>
    <s v="M091"/>
    <s v="Branch"/>
    <n v="29"/>
    <s v="Doctor"/>
    <n v="157"/>
    <n v="1"/>
    <n v="13891.47"/>
    <d v="2024-11-04T08:10:59"/>
    <n v="16"/>
    <s v="Thursday"/>
    <n v="-0.78430116179404796"/>
    <b v="0"/>
    <b v="0"/>
    <b v="1"/>
    <n v="0"/>
    <m/>
    <n v="0"/>
    <m/>
  </r>
  <r>
    <s v="TX000901"/>
    <s v="AC00425"/>
    <n v="157.16"/>
    <d v="2023-03-13T17:34:30"/>
    <s v="Debit"/>
    <x v="22"/>
    <s v="D000682"/>
    <s v="133.223.159.151"/>
    <s v="M068"/>
    <s v="Branch"/>
    <n v="20"/>
    <s v="Student"/>
    <n v="280"/>
    <n v="1"/>
    <n v="1545.77"/>
    <d v="2024-11-04T08:07:27"/>
    <n v="17"/>
    <s v="Monday"/>
    <n v="-0.481026151387352"/>
    <b v="0"/>
    <b v="0"/>
    <b v="1"/>
    <n v="0"/>
    <m/>
    <n v="0"/>
    <m/>
  </r>
  <r>
    <s v="TX000902"/>
    <s v="AC00363"/>
    <n v="643.38"/>
    <d v="2023-11-06T17:19:21"/>
    <s v="Credit"/>
    <x v="8"/>
    <s v="D000251"/>
    <s v="107.247.202.71"/>
    <s v="M044"/>
    <s v="Online"/>
    <n v="18"/>
    <s v="Student"/>
    <n v="105"/>
    <n v="1"/>
    <n v="1046.74"/>
    <d v="2024-11-04T08:12:01"/>
    <n v="17"/>
    <s v="Monday"/>
    <n v="1.18441743975725"/>
    <b v="0"/>
    <b v="0"/>
    <b v="1"/>
    <n v="0"/>
    <m/>
    <n v="0"/>
    <m/>
  </r>
  <r>
    <s v="TX000903"/>
    <s v="AC00385"/>
    <n v="328.34"/>
    <d v="2023-10-12T16:17:47"/>
    <s v="Credit"/>
    <x v="0"/>
    <s v="D000245"/>
    <s v="106.244.1.47"/>
    <s v="M014"/>
    <s v="Online"/>
    <n v="42"/>
    <s v="Engineer"/>
    <n v="31"/>
    <n v="1"/>
    <n v="2840.45"/>
    <d v="2024-11-04T08:09:00"/>
    <n v="16"/>
    <s v="Thursday"/>
    <n v="0.105314669500587"/>
    <b v="0"/>
    <b v="0"/>
    <b v="1"/>
    <n v="0"/>
    <m/>
    <n v="0"/>
    <m/>
  </r>
  <r>
    <s v="TX000904"/>
    <s v="AC00045"/>
    <n v="72.680000000000007"/>
    <d v="2023-07-21T17:56:49"/>
    <s v="Debit"/>
    <x v="6"/>
    <s v="D000697"/>
    <s v="87.234.36.48"/>
    <s v="M072"/>
    <s v="Online"/>
    <n v="69"/>
    <s v="Retired"/>
    <n v="44"/>
    <n v="1"/>
    <n v="6216.77"/>
    <d v="2024-11-04T08:10:20"/>
    <n v="17"/>
    <s v="Friday"/>
    <n v="-0.77039449201483901"/>
    <b v="0"/>
    <b v="0"/>
    <b v="1"/>
    <n v="0"/>
    <m/>
    <n v="0"/>
    <m/>
  </r>
  <r>
    <s v="TX000905"/>
    <s v="AC00480"/>
    <n v="354.76"/>
    <d v="2023-05-17T16:30:05"/>
    <s v="Debit"/>
    <x v="8"/>
    <s v="D000135"/>
    <s v="54.252.249.33"/>
    <s v="M065"/>
    <s v="Branch"/>
    <n v="51"/>
    <s v="Doctor"/>
    <n v="279"/>
    <n v="1"/>
    <n v="10141.92"/>
    <d v="2024-11-04T08:07:39"/>
    <n v="16"/>
    <s v="Wednesday"/>
    <n v="0.19581078170913599"/>
    <b v="0"/>
    <b v="0"/>
    <b v="1"/>
    <n v="0"/>
    <m/>
    <n v="0"/>
    <m/>
  </r>
  <r>
    <s v="TX000906"/>
    <s v="AC00369"/>
    <n v="793.88"/>
    <d v="2023-02-22T16:17:29"/>
    <s v="Credit"/>
    <x v="16"/>
    <s v="D000317"/>
    <s v="89.237.88.251"/>
    <s v="M036"/>
    <s v="ATM"/>
    <n v="22"/>
    <s v="Student"/>
    <n v="252"/>
    <n v="1"/>
    <n v="1404.06"/>
    <d v="2024-11-04T08:07:13"/>
    <n v="16"/>
    <s v="Wednesday"/>
    <n v="1.6999233022624201"/>
    <b v="0"/>
    <b v="0"/>
    <b v="1"/>
    <n v="0"/>
    <m/>
    <n v="0"/>
    <m/>
  </r>
  <r>
    <s v="TX000907"/>
    <s v="AC00109"/>
    <n v="29.22"/>
    <d v="2023-02-27T18:33:48"/>
    <s v="Debit"/>
    <x v="8"/>
    <s v="D000660"/>
    <s v="218.83.2.94"/>
    <s v="M056"/>
    <s v="ATM"/>
    <n v="27"/>
    <s v="Engineer"/>
    <n v="69"/>
    <n v="1"/>
    <n v="7795.79"/>
    <d v="2024-11-04T08:10:28"/>
    <n v="18"/>
    <s v="Monday"/>
    <n v="-0.919257513838591"/>
    <b v="0"/>
    <b v="0"/>
    <b v="1"/>
    <n v="0"/>
    <m/>
    <n v="0"/>
    <m/>
  </r>
  <r>
    <s v="TX000908"/>
    <s v="AC00264"/>
    <n v="653.97"/>
    <d v="2023-10-04T17:41:08"/>
    <s v="Debit"/>
    <x v="19"/>
    <s v="D000464"/>
    <s v="141.241.241.128"/>
    <s v="M067"/>
    <s v="Online"/>
    <n v="37"/>
    <s v="Engineer"/>
    <n v="100"/>
    <n v="1"/>
    <n v="3886.65"/>
    <d v="2024-11-04T08:11:57"/>
    <n v="17"/>
    <s v="Wednesday"/>
    <n v="1.22069124097938"/>
    <b v="0"/>
    <b v="0"/>
    <b v="1"/>
    <n v="0"/>
    <m/>
    <n v="0"/>
    <m/>
  </r>
  <r>
    <s v="TX000909"/>
    <s v="AC00076"/>
    <n v="366.43"/>
    <d v="2023-01-30T16:38:59"/>
    <s v="Credit"/>
    <x v="42"/>
    <s v="D000069"/>
    <s v="40.244.94.218"/>
    <s v="M080"/>
    <s v="Online"/>
    <n v="21"/>
    <s v="Student"/>
    <n v="92"/>
    <n v="1"/>
    <n v="1560.45"/>
    <d v="2024-11-04T08:09:38"/>
    <n v="16"/>
    <s v="Monday"/>
    <n v="0.23578389410405501"/>
    <b v="0"/>
    <b v="0"/>
    <b v="1"/>
    <n v="0"/>
    <m/>
    <n v="0"/>
    <m/>
  </r>
  <r>
    <s v="TX000910"/>
    <s v="AC00438"/>
    <n v="120.86"/>
    <d v="2023-11-16T17:57:45"/>
    <s v="Debit"/>
    <x v="40"/>
    <s v="D000035"/>
    <s v="184.146.10.88"/>
    <s v="M081"/>
    <s v="Online"/>
    <n v="33"/>
    <s v="Doctor"/>
    <n v="162"/>
    <n v="4"/>
    <n v="13566.58"/>
    <d v="2024-11-04T08:11:48"/>
    <n v="17"/>
    <s v="Thursday"/>
    <n v="-0.60536411025072501"/>
    <b v="0"/>
    <b v="1"/>
    <b v="1"/>
    <n v="1"/>
    <m/>
    <n v="0"/>
    <m/>
  </r>
  <r>
    <s v="TX000911"/>
    <s v="AC00453"/>
    <n v="233.74"/>
    <d v="2023-02-13T16:43:40"/>
    <s v="Debit"/>
    <x v="35"/>
    <s v="D000373"/>
    <s v="6.44.165.160"/>
    <s v="M056"/>
    <s v="Online"/>
    <n v="72"/>
    <s v="Retired"/>
    <n v="142"/>
    <n v="1"/>
    <n v="4749.54"/>
    <d v="2024-11-04T08:06:27"/>
    <n v="16"/>
    <s v="Monday"/>
    <n v="-0.218717586931233"/>
    <b v="0"/>
    <b v="0"/>
    <b v="1"/>
    <n v="0"/>
    <m/>
    <n v="0"/>
    <m/>
  </r>
  <r>
    <s v="TX000912"/>
    <s v="AC00222"/>
    <n v="471.84"/>
    <d v="2023-09-29T17:31:24"/>
    <s v="Debit"/>
    <x v="3"/>
    <s v="D000163"/>
    <s v="137.33.78.168"/>
    <s v="M080"/>
    <s v="ATM"/>
    <n v="18"/>
    <s v="Student"/>
    <n v="138"/>
    <n v="1"/>
    <n v="1044.33"/>
    <d v="2024-11-04T08:08:45"/>
    <n v="17"/>
    <s v="Friday"/>
    <n v="0.59684351514505096"/>
    <b v="0"/>
    <b v="0"/>
    <b v="1"/>
    <n v="0"/>
    <m/>
    <n v="0"/>
    <m/>
  </r>
  <r>
    <s v="TX000913"/>
    <s v="AC00179"/>
    <n v="213.4"/>
    <d v="2023-08-14T16:40:38"/>
    <s v="Credit"/>
    <x v="18"/>
    <s v="D000203"/>
    <s v="198.73.211.114"/>
    <s v="M087"/>
    <s v="Branch"/>
    <n v="73"/>
    <s v="Retired"/>
    <n v="100"/>
    <n v="1"/>
    <n v="2012.24"/>
    <d v="2024-11-04T08:09:27"/>
    <n v="16"/>
    <s v="Monday"/>
    <n v="-0.28838794735219703"/>
    <b v="0"/>
    <b v="0"/>
    <b v="1"/>
    <n v="0"/>
    <m/>
    <n v="0"/>
    <m/>
  </r>
  <r>
    <s v="TX000914"/>
    <s v="AC00386"/>
    <n v="254.21"/>
    <d v="2023-05-22T16:48:08"/>
    <s v="Debit"/>
    <x v="37"/>
    <s v="D000487"/>
    <s v="137.33.78.168"/>
    <s v="M030"/>
    <s v="ATM"/>
    <n v="48"/>
    <s v="Engineer"/>
    <n v="46"/>
    <n v="1"/>
    <n v="2487.1999999999998"/>
    <d v="2024-11-04T08:10:50"/>
    <n v="16"/>
    <s v="Monday"/>
    <n v="-0.14860193905428401"/>
    <b v="0"/>
    <b v="0"/>
    <b v="1"/>
    <n v="0"/>
    <m/>
    <n v="0"/>
    <m/>
  </r>
  <r>
    <s v="TX000915"/>
    <s v="AC00171"/>
    <n v="577.73"/>
    <d v="2023-11-10T16:26:28"/>
    <s v="Debit"/>
    <x v="24"/>
    <s v="D000527"/>
    <s v="93.146.251.20"/>
    <s v="M033"/>
    <s v="ATM"/>
    <n v="37"/>
    <s v="Doctor"/>
    <n v="63"/>
    <n v="1"/>
    <n v="14977.99"/>
    <d v="2024-11-04T08:06:37"/>
    <n v="16"/>
    <s v="Friday"/>
    <n v="0.95954727448506805"/>
    <b v="0"/>
    <b v="0"/>
    <b v="1"/>
    <n v="0"/>
    <m/>
    <n v="0"/>
    <m/>
  </r>
  <r>
    <s v="TX000916"/>
    <s v="AC00336"/>
    <n v="170.26"/>
    <d v="2023-09-25T16:58:25"/>
    <s v="Debit"/>
    <x v="29"/>
    <s v="D000445"/>
    <s v="6.44.165.160"/>
    <s v="M053"/>
    <s v="ATM"/>
    <n v="27"/>
    <s v="Student"/>
    <n v="265"/>
    <n v="1"/>
    <n v="1969.48"/>
    <d v="2024-11-04T08:07:32"/>
    <n v="16"/>
    <s v="Monday"/>
    <n v="-0.43615487697660299"/>
    <b v="0"/>
    <b v="0"/>
    <b v="1"/>
    <n v="0"/>
    <m/>
    <n v="0"/>
    <m/>
  </r>
  <r>
    <s v="TX000917"/>
    <s v="AC00272"/>
    <n v="337.73"/>
    <d v="2023-05-23T17:12:39"/>
    <s v="Debit"/>
    <x v="25"/>
    <s v="D000480"/>
    <s v="219.193.239.152"/>
    <s v="M065"/>
    <s v="Online"/>
    <n v="78"/>
    <s v="Retired"/>
    <n v="107"/>
    <n v="4"/>
    <n v="7001.2"/>
    <d v="2024-11-04T08:07:28"/>
    <n v="17"/>
    <s v="Tuesday"/>
    <n v="0.13747812497516201"/>
    <b v="0"/>
    <b v="1"/>
    <b v="1"/>
    <n v="1"/>
    <m/>
    <n v="0"/>
    <m/>
  </r>
  <r>
    <s v="TX000918"/>
    <s v="AC00402"/>
    <n v="330.61"/>
    <d v="2023-07-06T16:04:39"/>
    <s v="Credit"/>
    <x v="9"/>
    <s v="D000648"/>
    <s v="186.54.68.246"/>
    <s v="M099"/>
    <s v="Branch"/>
    <n v="64"/>
    <s v="Retired"/>
    <n v="113"/>
    <n v="1"/>
    <n v="2525.25"/>
    <d v="2024-11-04T08:10:34"/>
    <n v="16"/>
    <s v="Thursday"/>
    <n v="0.113090073539702"/>
    <b v="0"/>
    <b v="0"/>
    <b v="1"/>
    <n v="0"/>
    <m/>
    <n v="0"/>
    <m/>
  </r>
  <r>
    <s v="TX000919"/>
    <s v="AC00136"/>
    <n v="132.33000000000001"/>
    <d v="2023-11-10T16:32:24"/>
    <s v="Credit"/>
    <x v="37"/>
    <s v="D000437"/>
    <s v="88.55.149.101"/>
    <s v="M004"/>
    <s v="ATM"/>
    <n v="35"/>
    <s v="Engineer"/>
    <n v="47"/>
    <n v="1"/>
    <n v="7457.94"/>
    <d v="2024-11-04T08:08:40"/>
    <n v="16"/>
    <s v="Friday"/>
    <n v="-0.56607605548039797"/>
    <b v="0"/>
    <b v="0"/>
    <b v="1"/>
    <n v="0"/>
    <m/>
    <n v="0"/>
    <m/>
  </r>
  <r>
    <s v="TX000920"/>
    <s v="AC00280"/>
    <n v="672.74"/>
    <d v="2023-08-10T16:39:33"/>
    <s v="Credit"/>
    <x v="40"/>
    <s v="D000033"/>
    <s v="169.67.220.37"/>
    <s v="M068"/>
    <s v="Branch"/>
    <n v="46"/>
    <s v="Engineer"/>
    <n v="118"/>
    <n v="1"/>
    <n v="5386.52"/>
    <d v="2024-11-04T08:11:42"/>
    <n v="16"/>
    <s v="Thursday"/>
    <n v="1.2849838990472999"/>
    <b v="0"/>
    <b v="0"/>
    <b v="1"/>
    <n v="0"/>
    <m/>
    <n v="0"/>
    <m/>
  </r>
  <r>
    <s v="TX000921"/>
    <s v="AC00352"/>
    <n v="74.040000000000006"/>
    <d v="2023-02-23T18:23:29"/>
    <s v="Debit"/>
    <x v="11"/>
    <s v="D000103"/>
    <s v="188.124.181.12"/>
    <s v="M094"/>
    <s v="Online"/>
    <n v="18"/>
    <s v="Student"/>
    <n v="66"/>
    <n v="1"/>
    <n v="1690.23"/>
    <d v="2024-11-04T08:11:29"/>
    <n v="18"/>
    <s v="Thursday"/>
    <n v="-0.76573610016761595"/>
    <b v="0"/>
    <b v="0"/>
    <b v="1"/>
    <n v="0"/>
    <m/>
    <n v="0"/>
    <m/>
  </r>
  <r>
    <s v="TX000922"/>
    <s v="AC00495"/>
    <n v="197.18"/>
    <d v="2023-05-09T16:47:42"/>
    <s v="Debit"/>
    <x v="28"/>
    <s v="D000042"/>
    <s v="189.20.224.220"/>
    <s v="M011"/>
    <s v="Online"/>
    <n v="28"/>
    <s v="Engineer"/>
    <n v="135"/>
    <n v="1"/>
    <n v="3114.92"/>
    <d v="2024-11-04T08:10:02"/>
    <n v="16"/>
    <s v="Tuesday"/>
    <n v="-0.34394612070657499"/>
    <b v="0"/>
    <b v="0"/>
    <b v="1"/>
    <n v="0"/>
    <m/>
    <n v="0"/>
    <m/>
  </r>
  <r>
    <s v="TX000923"/>
    <s v="AC00061"/>
    <n v="21.15"/>
    <d v="2023-11-20T16:06:10"/>
    <s v="Debit"/>
    <x v="15"/>
    <s v="D000484"/>
    <s v="159.37.30.154"/>
    <s v="M058"/>
    <s v="Branch"/>
    <n v="70"/>
    <s v="Retired"/>
    <n v="180"/>
    <n v="1"/>
    <n v="3466.74"/>
    <d v="2024-11-04T08:09:46"/>
    <n v="16"/>
    <s v="Monday"/>
    <n v="-0.94689958899086102"/>
    <b v="0"/>
    <b v="0"/>
    <b v="1"/>
    <n v="0"/>
    <m/>
    <n v="0"/>
    <m/>
  </r>
  <r>
    <s v="TX000924"/>
    <s v="AC00129"/>
    <n v="218.37"/>
    <d v="2023-06-05T16:27:31"/>
    <s v="Debit"/>
    <x v="1"/>
    <s v="D000651"/>
    <s v="147.119.62.178"/>
    <s v="M075"/>
    <s v="ATM"/>
    <n v="62"/>
    <s v="Doctor"/>
    <n v="105"/>
    <n v="1"/>
    <n v="9942.24"/>
    <d v="2024-11-04T08:10:54"/>
    <n v="16"/>
    <s v="Monday"/>
    <n v="-0.27136426538109698"/>
    <b v="0"/>
    <b v="0"/>
    <b v="1"/>
    <n v="0"/>
    <m/>
    <n v="0"/>
    <m/>
  </r>
  <r>
    <s v="TX000925"/>
    <s v="AC00237"/>
    <n v="590.01"/>
    <d v="2023-02-06T16:42:16"/>
    <s v="Debit"/>
    <x v="24"/>
    <s v="D000248"/>
    <s v="197.162.55.147"/>
    <s v="M044"/>
    <s v="Online"/>
    <n v="29"/>
    <s v="Doctor"/>
    <n v="140"/>
    <n v="3"/>
    <n v="9791.74"/>
    <d v="2024-11-04T08:07:46"/>
    <n v="16"/>
    <s v="Monday"/>
    <n v="1.0016098126349899"/>
    <b v="0"/>
    <b v="1"/>
    <b v="1"/>
    <n v="1"/>
    <m/>
    <n v="0"/>
    <m/>
  </r>
  <r>
    <s v="TX000926"/>
    <s v="AC00230"/>
    <n v="697.82"/>
    <d v="2023-11-27T16:10:37"/>
    <s v="Debit"/>
    <x v="22"/>
    <s v="D000377"/>
    <s v="161.25.82.11"/>
    <s v="M092"/>
    <s v="Online"/>
    <n v="44"/>
    <s v="Engineer"/>
    <n v="153"/>
    <n v="1"/>
    <n v="6824"/>
    <d v="2024-11-04T08:07:11"/>
    <n v="16"/>
    <s v="Monday"/>
    <n v="1.3708901251710801"/>
    <b v="0"/>
    <b v="0"/>
    <b v="1"/>
    <n v="0"/>
    <m/>
    <n v="0"/>
    <m/>
  </r>
  <r>
    <s v="TX000927"/>
    <s v="AC00224"/>
    <n v="302.76"/>
    <d v="2023-11-16T17:14:01"/>
    <s v="Debit"/>
    <x v="30"/>
    <s v="D000640"/>
    <s v="221.23.158.87"/>
    <s v="M043"/>
    <s v="ATM"/>
    <n v="38"/>
    <s v="Engineer"/>
    <n v="88"/>
    <n v="3"/>
    <n v="8583.39"/>
    <d v="2024-11-04T08:11:08"/>
    <n v="17"/>
    <s v="Thursday"/>
    <n v="1.7695799315323401E-2"/>
    <b v="0"/>
    <b v="1"/>
    <b v="1"/>
    <n v="1"/>
    <m/>
    <n v="0"/>
    <m/>
  </r>
  <r>
    <s v="TX000928"/>
    <s v="AC00354"/>
    <n v="148"/>
    <d v="2023-01-23T16:48:16"/>
    <s v="Debit"/>
    <x v="28"/>
    <s v="D000530"/>
    <s v="38.164.132.63"/>
    <s v="M065"/>
    <s v="Branch"/>
    <n v="20"/>
    <s v="Student"/>
    <n v="35"/>
    <n v="1"/>
    <n v="1488.65"/>
    <d v="2024-11-04T08:06:39"/>
    <n v="16"/>
    <s v="Monday"/>
    <n v="-0.51240179059364699"/>
    <b v="0"/>
    <b v="0"/>
    <b v="1"/>
    <n v="0"/>
    <m/>
    <n v="0"/>
    <m/>
  </r>
  <r>
    <s v="TX000929"/>
    <s v="AC00479"/>
    <n v="22.26"/>
    <d v="2023-01-30T18:50:00"/>
    <s v="Debit"/>
    <x v="25"/>
    <s v="D000028"/>
    <s v="211.45.75.44"/>
    <s v="M057"/>
    <s v="Branch"/>
    <n v="19"/>
    <s v="Student"/>
    <n v="56"/>
    <n v="1"/>
    <n v="5583.88"/>
    <d v="2024-11-04T08:08:53"/>
    <n v="18"/>
    <s v="Monday"/>
    <n v="-0.94309751917437801"/>
    <b v="0"/>
    <b v="0"/>
    <b v="1"/>
    <n v="0"/>
    <m/>
    <n v="0"/>
    <m/>
  </r>
  <r>
    <s v="TX000930"/>
    <s v="AC00329"/>
    <n v="0.86"/>
    <d v="2023-02-13T17:49:27"/>
    <s v="Debit"/>
    <x v="40"/>
    <s v="D000082"/>
    <s v="120.16.186.17"/>
    <s v="M050"/>
    <s v="ATM"/>
    <n v="25"/>
    <s v="Student"/>
    <n v="139"/>
    <n v="1"/>
    <n v="1357.22"/>
    <d v="2024-11-04T08:12:22"/>
    <n v="17"/>
    <s v="Monday"/>
    <n v="-1.0163986850056701"/>
    <b v="0"/>
    <b v="0"/>
    <b v="1"/>
    <n v="0"/>
    <m/>
    <n v="0"/>
    <m/>
  </r>
  <r>
    <s v="TX000931"/>
    <s v="AC00160"/>
    <n v="757.1"/>
    <d v="2023-01-23T17:22:25"/>
    <s v="Debit"/>
    <x v="4"/>
    <s v="D000667"/>
    <s v="14.200.197.126"/>
    <s v="M071"/>
    <s v="Branch"/>
    <n v="65"/>
    <s v="Doctor"/>
    <n v="203"/>
    <n v="1"/>
    <n v="10553.23"/>
    <d v="2024-11-04T08:11:06"/>
    <n v="17"/>
    <s v="Monday"/>
    <n v="1.5739412051000301"/>
    <b v="0"/>
    <b v="0"/>
    <b v="1"/>
    <n v="0"/>
    <m/>
    <n v="0"/>
    <m/>
  </r>
  <r>
    <s v="TX000932"/>
    <s v="AC00050"/>
    <n v="38.81"/>
    <d v="2023-04-28T18:52:30"/>
    <s v="Credit"/>
    <x v="33"/>
    <s v="D000285"/>
    <s v="120.32.147.210"/>
    <s v="M001"/>
    <s v="Online"/>
    <n v="25"/>
    <s v="Student"/>
    <n v="145"/>
    <n v="1"/>
    <n v="1619.6"/>
    <d v="2024-11-04T08:12:12"/>
    <n v="18"/>
    <s v="Friday"/>
    <n v="-0.88640900073942397"/>
    <b v="0"/>
    <b v="0"/>
    <b v="1"/>
    <n v="0"/>
    <m/>
    <n v="0"/>
    <m/>
  </r>
  <r>
    <s v="TX000933"/>
    <s v="AC00200"/>
    <n v="76.510000000000005"/>
    <d v="2023-04-03T16:01:51"/>
    <s v="Credit"/>
    <x v="2"/>
    <s v="D000242"/>
    <s v="200.22.195.243"/>
    <s v="M016"/>
    <s v="Online"/>
    <n v="49"/>
    <s v="Engineer"/>
    <n v="120"/>
    <n v="4"/>
    <n v="9475.4"/>
    <d v="2024-11-04T08:07:51"/>
    <n v="16"/>
    <s v="Monday"/>
    <n v="-0.75727563850391"/>
    <b v="0"/>
    <b v="1"/>
    <b v="1"/>
    <n v="1"/>
    <m/>
    <n v="0"/>
    <m/>
  </r>
  <r>
    <s v="TX000934"/>
    <s v="AC00254"/>
    <n v="32.46"/>
    <d v="2023-03-10T18:59:46"/>
    <s v="Debit"/>
    <x v="27"/>
    <s v="D000536"/>
    <s v="156.187.182.236"/>
    <s v="M092"/>
    <s v="Online"/>
    <n v="31"/>
    <s v="Doctor"/>
    <n v="10"/>
    <n v="1"/>
    <n v="8656.18"/>
    <d v="2024-11-04T08:09:33"/>
    <n v="18"/>
    <s v="Friday"/>
    <n v="-0.90815958032020705"/>
    <b v="0"/>
    <b v="0"/>
    <b v="1"/>
    <n v="0"/>
    <m/>
    <n v="0"/>
    <m/>
  </r>
  <r>
    <s v="TX000935"/>
    <s v="AC00456"/>
    <n v="1022.75"/>
    <d v="2023-01-19T16:45:16"/>
    <s v="Credit"/>
    <x v="24"/>
    <s v="D000294"/>
    <s v="190.164.160.79"/>
    <s v="M091"/>
    <s v="Branch"/>
    <n v="62"/>
    <s v="Doctor"/>
    <n v="158"/>
    <n v="1"/>
    <n v="207.74"/>
    <d v="2024-11-04T08:10:47"/>
    <n v="16"/>
    <s v="Thursday"/>
    <n v="2.4838689949638"/>
    <b v="1"/>
    <b v="0"/>
    <b v="1"/>
    <n v="1"/>
    <m/>
    <n v="1"/>
    <m/>
  </r>
  <r>
    <s v="TX000936"/>
    <s v="AC00320"/>
    <n v="20.64"/>
    <d v="2023-04-20T16:01:05"/>
    <s v="Debit"/>
    <x v="27"/>
    <s v="D000063"/>
    <s v="197.23.128.119"/>
    <s v="M079"/>
    <s v="Branch"/>
    <n v="22"/>
    <s v="Student"/>
    <n v="59"/>
    <n v="1"/>
    <n v="949.38"/>
    <d v="2024-11-04T08:09:17"/>
    <n v="16"/>
    <s v="Thursday"/>
    <n v="-0.94864648593357004"/>
    <b v="0"/>
    <b v="0"/>
    <b v="1"/>
    <n v="0"/>
    <m/>
    <n v="0"/>
    <m/>
  </r>
  <r>
    <s v="TX000937"/>
    <s v="AC00446"/>
    <n v="662.11"/>
    <d v="2023-02-02T16:52:26"/>
    <s v="Debit"/>
    <x v="4"/>
    <s v="D000416"/>
    <s v="145.246.171.225"/>
    <s v="M100"/>
    <s v="Branch"/>
    <n v="23"/>
    <s v="Student"/>
    <n v="219"/>
    <n v="1"/>
    <n v="1996.38"/>
    <d v="2024-11-04T08:07:34"/>
    <n v="16"/>
    <s v="Thursday"/>
    <n v="1.24857308630025"/>
    <b v="0"/>
    <b v="0"/>
    <b v="1"/>
    <n v="0"/>
    <m/>
    <n v="0"/>
    <m/>
  </r>
  <r>
    <s v="TX000938"/>
    <s v="AC00292"/>
    <n v="288.77"/>
    <d v="2023-11-13T16:42:16"/>
    <s v="Debit"/>
    <x v="16"/>
    <s v="D000422"/>
    <s v="94.37.250.128"/>
    <s v="M025"/>
    <s v="ATM"/>
    <n v="55"/>
    <s v="Engineer"/>
    <n v="110"/>
    <n v="1"/>
    <n v="8836.51"/>
    <d v="2024-11-04T08:09:44"/>
    <n v="16"/>
    <s v="Monday"/>
    <n v="-3.0223981524858199E-2"/>
    <b v="0"/>
    <b v="0"/>
    <b v="1"/>
    <n v="0"/>
    <m/>
    <n v="0"/>
    <m/>
  </r>
  <r>
    <s v="TX000939"/>
    <s v="AC00111"/>
    <n v="35.049999999999997"/>
    <d v="2023-09-27T18:52:36"/>
    <s v="Debit"/>
    <x v="35"/>
    <s v="D000589"/>
    <s v="115.241.186.164"/>
    <s v="M047"/>
    <s v="Branch"/>
    <n v="30"/>
    <s v="Doctor"/>
    <n v="105"/>
    <n v="1"/>
    <n v="14330.47"/>
    <d v="2024-11-04T08:07:17"/>
    <n v="18"/>
    <s v="Wednesday"/>
    <n v="-0.89928808408174599"/>
    <b v="0"/>
    <b v="0"/>
    <b v="1"/>
    <n v="0"/>
    <m/>
    <n v="0"/>
    <m/>
  </r>
  <r>
    <s v="TX000940"/>
    <s v="AC00157"/>
    <n v="214.73"/>
    <d v="2023-11-10T18:28:09"/>
    <s v="Credit"/>
    <x v="16"/>
    <s v="D000104"/>
    <s v="57.166.147.242"/>
    <s v="M061"/>
    <s v="ATM"/>
    <n v="46"/>
    <s v="Doctor"/>
    <n v="26"/>
    <n v="1"/>
    <n v="5368.42"/>
    <d v="2024-11-04T08:07:39"/>
    <n v="18"/>
    <s v="Friday"/>
    <n v="-0.283832314148664"/>
    <b v="0"/>
    <b v="0"/>
    <b v="1"/>
    <n v="0"/>
    <m/>
    <n v="0"/>
    <m/>
  </r>
  <r>
    <s v="TX000941"/>
    <s v="AC00429"/>
    <n v="25.38"/>
    <d v="2023-10-23T16:03:09"/>
    <s v="Debit"/>
    <x v="12"/>
    <s v="D000222"/>
    <s v="201.114.165.141"/>
    <s v="M024"/>
    <s v="Branch"/>
    <n v="57"/>
    <s v="Engineer"/>
    <n v="66"/>
    <n v="1"/>
    <n v="8616.0499999999993"/>
    <d v="2024-11-04T08:11:41"/>
    <n v="16"/>
    <s v="Monday"/>
    <n v="-0.93241062023074905"/>
    <b v="0"/>
    <b v="0"/>
    <b v="1"/>
    <n v="0"/>
    <m/>
    <n v="0"/>
    <m/>
  </r>
  <r>
    <s v="TX000942"/>
    <s v="AC00182"/>
    <n v="617.66"/>
    <d v="2023-01-30T16:34:16"/>
    <s v="Debit"/>
    <x v="11"/>
    <s v="D000116"/>
    <s v="100.4.40.132"/>
    <s v="M036"/>
    <s v="ATM"/>
    <n v="41"/>
    <s v="Engineer"/>
    <n v="40"/>
    <n v="1"/>
    <n v="5906.58"/>
    <d v="2024-11-04T08:10:17"/>
    <n v="16"/>
    <s v="Monday"/>
    <n v="1.09631902923477"/>
    <b v="0"/>
    <b v="0"/>
    <b v="1"/>
    <n v="0"/>
    <m/>
    <n v="0"/>
    <m/>
  </r>
  <r>
    <s v="TX000943"/>
    <s v="AC00166"/>
    <n v="446.39"/>
    <d v="2023-12-12T17:41:53"/>
    <s v="Debit"/>
    <x v="1"/>
    <s v="D000102"/>
    <s v="155.37.19.43"/>
    <s v="M019"/>
    <s v="ATM"/>
    <n v="63"/>
    <s v="Retired"/>
    <n v="77"/>
    <n v="1"/>
    <n v="7863.6"/>
    <d v="2024-11-04T08:07:42"/>
    <n v="17"/>
    <s v="Tuesday"/>
    <n v="0.50966993241577196"/>
    <b v="0"/>
    <b v="0"/>
    <b v="1"/>
    <n v="0"/>
    <m/>
    <n v="0"/>
    <m/>
  </r>
  <r>
    <s v="TX000944"/>
    <s v="AC00005"/>
    <n v="377.92"/>
    <d v="2023-02-22T17:29:36"/>
    <s v="Debit"/>
    <x v="3"/>
    <s v="D000360"/>
    <s v="179.43.245.131"/>
    <s v="M029"/>
    <s v="Branch"/>
    <n v="33"/>
    <s v="Engineer"/>
    <n v="204"/>
    <n v="1"/>
    <n v="2254.71"/>
    <d v="2024-11-04T08:06:53"/>
    <n v="17"/>
    <s v="Wednesday"/>
    <n v="0.275140454636842"/>
    <b v="0"/>
    <b v="0"/>
    <b v="1"/>
    <n v="0"/>
    <m/>
    <n v="0"/>
    <m/>
  </r>
  <r>
    <s v="TX000945"/>
    <s v="AC00459"/>
    <n v="11.04"/>
    <d v="2023-02-13T18:17:28"/>
    <s v="Debit"/>
    <x v="37"/>
    <s v="D000638"/>
    <s v="168.36.49.167"/>
    <s v="M036"/>
    <s v="Online"/>
    <n v="30"/>
    <s v="Engineer"/>
    <n v="43"/>
    <n v="1"/>
    <n v="6983.04"/>
    <d v="2024-11-04T08:10:40"/>
    <n v="18"/>
    <s v="Monday"/>
    <n v="-0.98152925191396601"/>
    <b v="0"/>
    <b v="0"/>
    <b v="1"/>
    <n v="0"/>
    <m/>
    <n v="0"/>
    <m/>
  </r>
  <r>
    <s v="TX000946"/>
    <s v="AC00432"/>
    <n v="275.45999999999998"/>
    <d v="2023-07-24T17:09:05"/>
    <s v="Debit"/>
    <x v="18"/>
    <s v="D000027"/>
    <s v="31.75.105.19"/>
    <s v="M032"/>
    <s v="ATM"/>
    <n v="36"/>
    <s v="Doctor"/>
    <n v="67"/>
    <n v="1"/>
    <n v="9697.75"/>
    <d v="2024-11-04T08:12:13"/>
    <n v="17"/>
    <s v="Monday"/>
    <n v="-7.5814566441428297E-2"/>
    <b v="0"/>
    <b v="0"/>
    <b v="1"/>
    <n v="0"/>
    <m/>
    <n v="0"/>
    <m/>
  </r>
  <r>
    <s v="TX000947"/>
    <s v="AC00317"/>
    <n v="179.76"/>
    <d v="2023-07-12T16:11:30"/>
    <s v="Debit"/>
    <x v="26"/>
    <s v="D000038"/>
    <s v="193.190.29.63"/>
    <s v="M039"/>
    <s v="Online"/>
    <n v="78"/>
    <s v="Retired"/>
    <n v="81"/>
    <n v="1"/>
    <n v="5909.52"/>
    <d v="2024-11-04T08:09:23"/>
    <n v="16"/>
    <s v="Wednesday"/>
    <n v="-0.40361463980850298"/>
    <b v="0"/>
    <b v="0"/>
    <b v="1"/>
    <n v="0"/>
    <m/>
    <n v="0"/>
    <m/>
  </r>
  <r>
    <s v="TX000948"/>
    <s v="AC00377"/>
    <n v="32.340000000000003"/>
    <d v="2023-06-21T16:52:25"/>
    <s v="Debit"/>
    <x v="31"/>
    <s v="D000622"/>
    <s v="176.96.83.253"/>
    <s v="M080"/>
    <s v="Branch"/>
    <n v="44"/>
    <s v="Doctor"/>
    <n v="45"/>
    <n v="1"/>
    <n v="7847.62"/>
    <d v="2024-11-04T08:09:28"/>
    <n v="16"/>
    <s v="Wednesday"/>
    <n v="-0.90857061489496205"/>
    <b v="0"/>
    <b v="0"/>
    <b v="1"/>
    <n v="0"/>
    <m/>
    <n v="0"/>
    <m/>
  </r>
  <r>
    <s v="TX000949"/>
    <s v="AC00130"/>
    <n v="273.92"/>
    <d v="2023-07-04T17:50:02"/>
    <s v="Debit"/>
    <x v="42"/>
    <s v="D000646"/>
    <s v="116.43.88.219"/>
    <s v="M053"/>
    <s v="Branch"/>
    <n v="79"/>
    <s v="Retired"/>
    <n v="109"/>
    <n v="1"/>
    <n v="4543.5600000000004"/>
    <d v="2024-11-04T08:11:48"/>
    <n v="17"/>
    <s v="Tuesday"/>
    <n v="-8.1089510150783403E-2"/>
    <b v="0"/>
    <b v="0"/>
    <b v="1"/>
    <n v="0"/>
    <m/>
    <n v="0"/>
    <m/>
  </r>
  <r>
    <s v="TX000950"/>
    <s v="AC00236"/>
    <n v="375.45"/>
    <d v="2023-12-05T17:57:39"/>
    <s v="Debit"/>
    <x v="18"/>
    <s v="D000310"/>
    <s v="5.252.94.135"/>
    <s v="M015"/>
    <s v="Branch"/>
    <n v="19"/>
    <s v="Student"/>
    <n v="32"/>
    <n v="1"/>
    <n v="1307.23"/>
    <d v="2024-11-04T08:08:31"/>
    <n v="17"/>
    <s v="Tuesday"/>
    <n v="0.26667999297313599"/>
    <b v="0"/>
    <b v="0"/>
    <b v="1"/>
    <n v="0"/>
    <m/>
    <n v="0"/>
    <m/>
  </r>
  <r>
    <s v="TX000951"/>
    <s v="AC00243"/>
    <n v="388.98"/>
    <d v="2023-08-21T17:10:10"/>
    <s v="Debit"/>
    <x v="41"/>
    <s v="D000548"/>
    <s v="78.69.172.205"/>
    <s v="M005"/>
    <s v="ATM"/>
    <n v="23"/>
    <s v="Student"/>
    <n v="155"/>
    <n v="1"/>
    <n v="1819.91"/>
    <d v="2024-11-04T08:08:32"/>
    <n v="17"/>
    <s v="Monday"/>
    <n v="0.31302414127675698"/>
    <b v="0"/>
    <b v="0"/>
    <b v="1"/>
    <n v="0"/>
    <m/>
    <n v="0"/>
    <m/>
  </r>
  <r>
    <s v="TX000952"/>
    <s v="AC00017"/>
    <n v="492.84"/>
    <d v="2023-03-01T17:43:22"/>
    <s v="Debit"/>
    <x v="7"/>
    <s v="D000514"/>
    <s v="81.248.235.147"/>
    <s v="M081"/>
    <s v="ATM"/>
    <n v="25"/>
    <s v="Student"/>
    <n v="38"/>
    <n v="1"/>
    <n v="577.66999999999996"/>
    <d v="2024-11-04T08:09:23"/>
    <n v="17"/>
    <s v="Wednesday"/>
    <n v="0.66877456572716798"/>
    <b v="0"/>
    <b v="0"/>
    <b v="1"/>
    <n v="0"/>
    <m/>
    <n v="0"/>
    <m/>
  </r>
  <r>
    <s v="TX000953"/>
    <s v="AC00295"/>
    <n v="148.85"/>
    <d v="2023-11-29T16:46:49"/>
    <s v="Debit"/>
    <x v="2"/>
    <s v="D000441"/>
    <s v="155.37.19.43"/>
    <s v="M021"/>
    <s v="ATM"/>
    <n v="57"/>
    <s v="Doctor"/>
    <n v="25"/>
    <n v="1"/>
    <n v="7802.36"/>
    <d v="2024-11-04T08:08:44"/>
    <n v="16"/>
    <s v="Wednesday"/>
    <n v="-0.50949029568913295"/>
    <b v="0"/>
    <b v="0"/>
    <b v="1"/>
    <n v="0"/>
    <m/>
    <n v="0"/>
    <m/>
  </r>
  <r>
    <s v="TX000954"/>
    <s v="AC00187"/>
    <n v="119.95"/>
    <d v="2023-04-10T17:53:04"/>
    <s v="Credit"/>
    <x v="26"/>
    <s v="D000292"/>
    <s v="214.32.109.197"/>
    <s v="M092"/>
    <s v="Branch"/>
    <n v="62"/>
    <s v="Retired"/>
    <n v="47"/>
    <n v="5"/>
    <n v="2596.61"/>
    <d v="2024-11-04T08:10:27"/>
    <n v="17"/>
    <s v="Monday"/>
    <n v="-0.60848112244261698"/>
    <b v="0"/>
    <b v="1"/>
    <b v="1"/>
    <n v="1"/>
    <m/>
    <n v="0"/>
    <m/>
  </r>
  <r>
    <s v="TX000955"/>
    <s v="AC00395"/>
    <n v="391.66"/>
    <d v="2023-07-10T17:29:39"/>
    <s v="Debit"/>
    <x v="41"/>
    <s v="D000271"/>
    <s v="119.163.214.161"/>
    <s v="M062"/>
    <s v="Branch"/>
    <n v="50"/>
    <s v="Engineer"/>
    <n v="103"/>
    <n v="1"/>
    <n v="2406.31"/>
    <d v="2024-11-04T08:06:44"/>
    <n v="17"/>
    <s v="Monday"/>
    <n v="0.32220391344628402"/>
    <b v="0"/>
    <b v="0"/>
    <b v="1"/>
    <n v="0"/>
    <m/>
    <n v="0"/>
    <m/>
  </r>
  <r>
    <s v="TX000956"/>
    <s v="AC00225"/>
    <n v="185.99"/>
    <d v="2023-04-24T16:49:48"/>
    <s v="Credit"/>
    <x v="41"/>
    <s v="D000674"/>
    <s v="39.129.125.110"/>
    <s v="M026"/>
    <s v="Branch"/>
    <n v="41"/>
    <s v="Engineer"/>
    <n v="53"/>
    <n v="1"/>
    <n v="402.45"/>
    <d v="2024-11-04T08:09:44"/>
    <n v="16"/>
    <s v="Monday"/>
    <n v="-0.38227509480247501"/>
    <b v="0"/>
    <b v="0"/>
    <b v="1"/>
    <n v="0"/>
    <m/>
    <n v="0"/>
    <m/>
  </r>
  <r>
    <s v="TX000957"/>
    <s v="AC00355"/>
    <n v="322.48"/>
    <d v="2023-03-13T16:10:41"/>
    <s v="Debit"/>
    <x v="36"/>
    <s v="D000649"/>
    <s v="210.136.14.108"/>
    <s v="M066"/>
    <s v="ATM"/>
    <n v="27"/>
    <s v="Student"/>
    <n v="57"/>
    <n v="1"/>
    <n v="1238.43"/>
    <d v="2024-11-04T08:11:25"/>
    <n v="16"/>
    <s v="Monday"/>
    <n v="8.5242481100054002E-2"/>
    <b v="0"/>
    <b v="0"/>
    <b v="1"/>
    <n v="0"/>
    <m/>
    <n v="0"/>
    <m/>
  </r>
  <r>
    <s v="TX000958"/>
    <s v="AC00217"/>
    <n v="20.27"/>
    <d v="2023-12-04T16:27:40"/>
    <s v="Debit"/>
    <x v="19"/>
    <s v="D000649"/>
    <s v="86.103.2.29"/>
    <s v="M065"/>
    <s v="Branch"/>
    <n v="18"/>
    <s v="Student"/>
    <n v="22"/>
    <n v="1"/>
    <n v="796.35"/>
    <d v="2024-11-04T08:09:38"/>
    <n v="16"/>
    <s v="Monday"/>
    <n v="-0.94991384253906397"/>
    <b v="0"/>
    <b v="0"/>
    <b v="1"/>
    <n v="0"/>
    <m/>
    <n v="0"/>
    <m/>
  </r>
  <r>
    <s v="TX000959"/>
    <s v="AC00282"/>
    <n v="280.61"/>
    <d v="2023-11-27T16:37:11"/>
    <s v="Debit"/>
    <x v="2"/>
    <s v="D000485"/>
    <s v="186.135.2.148"/>
    <s v="M085"/>
    <s v="ATM"/>
    <n v="47"/>
    <s v="Engineer"/>
    <n v="129"/>
    <n v="3"/>
    <n v="7888.76"/>
    <d v="2024-11-04T08:10:47"/>
    <n v="16"/>
    <s v="Monday"/>
    <n v="-5.8174332608194802E-2"/>
    <b v="0"/>
    <b v="1"/>
    <b v="1"/>
    <n v="1"/>
    <m/>
    <n v="0"/>
    <m/>
  </r>
  <r>
    <s v="TX000960"/>
    <s v="AC00477"/>
    <n v="199.02"/>
    <d v="2023-05-29T16:31:37"/>
    <s v="Debit"/>
    <x v="1"/>
    <s v="D000359"/>
    <s v="147.94.242.35"/>
    <s v="M005"/>
    <s v="ATM"/>
    <n v="61"/>
    <s v="Retired"/>
    <n v="269"/>
    <n v="1"/>
    <n v="4658.8900000000003"/>
    <d v="2024-11-04T08:07:21"/>
    <n v="16"/>
    <s v="Monday"/>
    <n v="-0.337643590560333"/>
    <b v="0"/>
    <b v="0"/>
    <b v="1"/>
    <n v="0"/>
    <m/>
    <n v="0"/>
    <m/>
  </r>
  <r>
    <s v="TX000961"/>
    <s v="AC00158"/>
    <n v="104.23"/>
    <d v="2023-10-17T16:41:39"/>
    <s v="Credit"/>
    <x v="12"/>
    <s v="D000621"/>
    <s v="11.188.75.155"/>
    <s v="M081"/>
    <s v="Online"/>
    <n v="63"/>
    <s v="Retired"/>
    <n v="108"/>
    <n v="1"/>
    <n v="5009.29"/>
    <d v="2024-11-04T08:09:45"/>
    <n v="16"/>
    <s v="Tuesday"/>
    <n v="-0.66232665173551597"/>
    <b v="0"/>
    <b v="0"/>
    <b v="1"/>
    <n v="0"/>
    <m/>
    <n v="0"/>
    <m/>
  </r>
  <r>
    <s v="TX000962"/>
    <s v="AC00174"/>
    <n v="353.59"/>
    <d v="2023-08-11T17:57:52"/>
    <s v="Credit"/>
    <x v="22"/>
    <s v="D000311"/>
    <s v="198.24.183.157"/>
    <s v="M046"/>
    <s v="Branch"/>
    <n v="52"/>
    <s v="Retired"/>
    <n v="109"/>
    <n v="5"/>
    <n v="1822.34"/>
    <d v="2024-11-04T08:10:53"/>
    <n v="17"/>
    <s v="Friday"/>
    <n v="0.19180319460527501"/>
    <b v="0"/>
    <b v="1"/>
    <b v="1"/>
    <n v="1"/>
    <m/>
    <n v="0"/>
    <m/>
  </r>
  <r>
    <s v="TX000963"/>
    <s v="AC00124"/>
    <n v="55.86"/>
    <d v="2023-01-23T17:18:16"/>
    <s v="Debit"/>
    <x v="6"/>
    <s v="D000211"/>
    <s v="200.136.146.93"/>
    <s v="M007"/>
    <s v="Online"/>
    <n v="39"/>
    <s v="Engineer"/>
    <n v="68"/>
    <n v="1"/>
    <n v="5346.46"/>
    <d v="2024-11-04T08:06:59"/>
    <n v="17"/>
    <s v="Monday"/>
    <n v="-0.82800783824299096"/>
    <b v="0"/>
    <b v="0"/>
    <b v="1"/>
    <n v="0"/>
    <m/>
    <n v="0"/>
    <m/>
  </r>
  <r>
    <s v="TX000964"/>
    <s v="AC00247"/>
    <n v="10.77"/>
    <d v="2023-03-08T16:58:31"/>
    <s v="Debit"/>
    <x v="7"/>
    <s v="D000253"/>
    <s v="37.227.215.145"/>
    <s v="M096"/>
    <s v="ATM"/>
    <n v="31"/>
    <s v="Doctor"/>
    <n v="178"/>
    <n v="1"/>
    <n v="10704.95"/>
    <d v="2024-11-04T08:10:45"/>
    <n v="16"/>
    <s v="Wednesday"/>
    <n v="-0.98245407970716503"/>
    <b v="0"/>
    <b v="0"/>
    <b v="1"/>
    <n v="0"/>
    <m/>
    <n v="0"/>
    <m/>
  </r>
  <r>
    <s v="TX000965"/>
    <s v="AC00297"/>
    <n v="95.55"/>
    <d v="2023-04-10T16:25:15"/>
    <s v="Debit"/>
    <x v="12"/>
    <s v="D000595"/>
    <s v="42.3.3.101"/>
    <s v="M060"/>
    <s v="Branch"/>
    <n v="33"/>
    <s v="Engineer"/>
    <n v="51"/>
    <n v="1"/>
    <n v="2434.7399999999998"/>
    <d v="2024-11-04T08:10:13"/>
    <n v="16"/>
    <s v="Monday"/>
    <n v="-0.69205815264279102"/>
    <b v="0"/>
    <b v="0"/>
    <b v="1"/>
    <n v="0"/>
    <m/>
    <n v="0"/>
    <m/>
  </r>
  <r>
    <s v="TX000966"/>
    <s v="AC00114"/>
    <n v="477.07"/>
    <d v="2023-11-27T16:30:37"/>
    <s v="Debit"/>
    <x v="15"/>
    <s v="D000503"/>
    <s v="80.75.92.66"/>
    <s v="M096"/>
    <s v="Online"/>
    <n v="27"/>
    <s v="Engineer"/>
    <n v="278"/>
    <n v="1"/>
    <n v="6568.07"/>
    <d v="2024-11-04T08:07:34"/>
    <n v="16"/>
    <s v="Monday"/>
    <n v="0.61475777202812099"/>
    <b v="0"/>
    <b v="0"/>
    <b v="1"/>
    <n v="0"/>
    <m/>
    <n v="0"/>
    <m/>
  </r>
  <r>
    <s v="TX000967"/>
    <s v="AC00170"/>
    <n v="9.1"/>
    <d v="2023-03-02T16:09:39"/>
    <s v="Credit"/>
    <x v="23"/>
    <s v="D000158"/>
    <s v="53.131.194.183"/>
    <s v="M047"/>
    <s v="Online"/>
    <n v="52"/>
    <s v="Retired"/>
    <n v="63"/>
    <n v="1"/>
    <n v="2791.45"/>
    <d v="2024-11-04T08:09:56"/>
    <n v="16"/>
    <s v="Thursday"/>
    <n v="-0.98817431087250496"/>
    <b v="0"/>
    <b v="0"/>
    <b v="1"/>
    <n v="0"/>
    <m/>
    <n v="0"/>
    <m/>
  </r>
  <r>
    <s v="TX000968"/>
    <s v="AC00185"/>
    <n v="21.41"/>
    <d v="2023-12-04T16:27:03"/>
    <s v="Debit"/>
    <x v="12"/>
    <s v="D000092"/>
    <s v="195.164.171.146"/>
    <s v="M062"/>
    <s v="Online"/>
    <n v="57"/>
    <s v="Doctor"/>
    <n v="99"/>
    <n v="1"/>
    <n v="658.91"/>
    <d v="2024-11-04T08:08:40"/>
    <n v="16"/>
    <s v="Monday"/>
    <n v="-0.94600901407889204"/>
    <b v="0"/>
    <b v="0"/>
    <b v="1"/>
    <n v="0"/>
    <m/>
    <n v="0"/>
    <m/>
  </r>
  <r>
    <s v="TX000969"/>
    <s v="AC00487"/>
    <n v="278.27999999999997"/>
    <d v="2023-10-02T16:20:52"/>
    <s v="Debit"/>
    <x v="36"/>
    <s v="D000038"/>
    <s v="148.42.122.1"/>
    <s v="M097"/>
    <s v="Branch"/>
    <n v="28"/>
    <s v="Student"/>
    <n v="26"/>
    <n v="1"/>
    <n v="1346.88"/>
    <d v="2024-11-04T08:07:37"/>
    <n v="16"/>
    <s v="Monday"/>
    <n v="-6.6155253934687006E-2"/>
    <b v="0"/>
    <b v="0"/>
    <b v="1"/>
    <n v="0"/>
    <m/>
    <n v="0"/>
    <m/>
  </r>
  <r>
    <s v="TX000970"/>
    <s v="AC00280"/>
    <n v="388.1"/>
    <d v="2023-08-21T18:06:59"/>
    <s v="Credit"/>
    <x v="16"/>
    <s v="D000653"/>
    <s v="101.90.40.193"/>
    <s v="M019"/>
    <s v="Online"/>
    <n v="73"/>
    <s v="Retired"/>
    <n v="40"/>
    <n v="1"/>
    <n v="3022.12"/>
    <d v="2024-11-04T08:07:32"/>
    <n v="18"/>
    <s v="Monday"/>
    <n v="0.31000988772855398"/>
    <b v="0"/>
    <b v="0"/>
    <b v="1"/>
    <n v="0"/>
    <m/>
    <n v="0"/>
    <m/>
  </r>
  <r>
    <s v="TX000971"/>
    <s v="AC00017"/>
    <n v="215.39"/>
    <d v="2023-06-21T16:23:53"/>
    <s v="Debit"/>
    <x v="8"/>
    <s v="D000409"/>
    <s v="196.121.240.10"/>
    <s v="M019"/>
    <s v="ATM"/>
    <n v="27"/>
    <s v="Student"/>
    <n v="216"/>
    <n v="1"/>
    <n v="1582.55"/>
    <d v="2024-11-04T08:11:13"/>
    <n v="16"/>
    <s v="Wednesday"/>
    <n v="-0.28157162398751101"/>
    <b v="0"/>
    <b v="0"/>
    <b v="1"/>
    <n v="0"/>
    <m/>
    <n v="0"/>
    <m/>
  </r>
  <r>
    <s v="TX000972"/>
    <s v="AC00496"/>
    <n v="194.37"/>
    <d v="2023-04-26T17:55:11"/>
    <s v="Debit"/>
    <x v="20"/>
    <s v="D000151"/>
    <s v="160.160.113.117"/>
    <s v="M024"/>
    <s v="ATM"/>
    <n v="66"/>
    <s v="Doctor"/>
    <n v="161"/>
    <n v="1"/>
    <n v="14395.88"/>
    <d v="2024-11-04T08:09:28"/>
    <n v="17"/>
    <s v="Wednesday"/>
    <n v="-0.35357118033208701"/>
    <b v="0"/>
    <b v="0"/>
    <b v="1"/>
    <n v="0"/>
    <m/>
    <n v="0"/>
    <m/>
  </r>
  <r>
    <s v="TX000973"/>
    <s v="AC00304"/>
    <n v="37.700000000000003"/>
    <d v="2023-06-29T16:04:17"/>
    <s v="Debit"/>
    <x v="19"/>
    <s v="D000344"/>
    <s v="167.67.137.223"/>
    <s v="M038"/>
    <s v="ATM"/>
    <n v="20"/>
    <s v="Student"/>
    <n v="109"/>
    <n v="1"/>
    <n v="1741.1"/>
    <d v="2024-11-04T08:12:08"/>
    <n v="16"/>
    <s v="Thursday"/>
    <n v="-0.89021107055590798"/>
    <b v="0"/>
    <b v="0"/>
    <b v="1"/>
    <n v="0"/>
    <m/>
    <n v="0"/>
    <m/>
  </r>
  <r>
    <s v="TX000974"/>
    <s v="AC00475"/>
    <n v="19.59"/>
    <d v="2023-06-16T18:47:34"/>
    <s v="Debit"/>
    <x v="27"/>
    <s v="D000529"/>
    <s v="170.54.231.239"/>
    <s v="M016"/>
    <s v="Branch"/>
    <n v="64"/>
    <s v="Retired"/>
    <n v="122"/>
    <n v="1"/>
    <n v="1061.69"/>
    <d v="2024-11-04T08:10:31"/>
    <n v="18"/>
    <s v="Friday"/>
    <n v="-0.95224303846267599"/>
    <b v="0"/>
    <b v="0"/>
    <b v="1"/>
    <n v="0"/>
    <m/>
    <n v="0"/>
    <m/>
  </r>
  <r>
    <s v="TX000975"/>
    <s v="AC00111"/>
    <n v="81.349999999999994"/>
    <d v="2023-01-23T17:39:08"/>
    <s v="Debit"/>
    <x v="1"/>
    <s v="D000242"/>
    <s v="205.69.66.135"/>
    <s v="M028"/>
    <s v="Online"/>
    <n v="41"/>
    <s v="Engineer"/>
    <n v="103"/>
    <n v="1"/>
    <n v="7192.45"/>
    <d v="2024-11-04T08:07:04"/>
    <n v="17"/>
    <s v="Monday"/>
    <n v="-0.740697243988793"/>
    <b v="0"/>
    <b v="0"/>
    <b v="1"/>
    <n v="0"/>
    <m/>
    <n v="0"/>
    <m/>
  </r>
  <r>
    <s v="TX000976"/>
    <s v="AC00316"/>
    <n v="314.54000000000002"/>
    <d v="2023-09-29T16:34:03"/>
    <s v="Credit"/>
    <x v="33"/>
    <s v="D000168"/>
    <s v="116.237.223.50"/>
    <s v="M035"/>
    <s v="Branch"/>
    <n v="58"/>
    <s v="Engineer"/>
    <n v="228"/>
    <n v="1"/>
    <n v="9923.4500000000007"/>
    <d v="2024-11-04T08:11:02"/>
    <n v="16"/>
    <s v="Friday"/>
    <n v="5.8045693403768001E-2"/>
    <b v="0"/>
    <b v="0"/>
    <b v="1"/>
    <n v="0"/>
    <m/>
    <n v="0"/>
    <m/>
  </r>
  <r>
    <s v="TX000977"/>
    <s v="AC00007"/>
    <n v="466.64"/>
    <d v="2023-09-04T16:57:31"/>
    <s v="Debit"/>
    <x v="17"/>
    <s v="D000327"/>
    <s v="131.41.45.13"/>
    <s v="M082"/>
    <s v="ATM"/>
    <n v="58"/>
    <s v="Doctor"/>
    <n v="11"/>
    <n v="1"/>
    <n v="10915.11"/>
    <d v="2024-11-04T08:09:20"/>
    <n v="16"/>
    <s v="Monday"/>
    <n v="0.57903201690566997"/>
    <b v="0"/>
    <b v="0"/>
    <b v="1"/>
    <n v="0"/>
    <m/>
    <n v="0"/>
    <m/>
  </r>
  <r>
    <s v="TX000978"/>
    <s v="AC00033"/>
    <n v="397.01"/>
    <d v="2023-08-07T17:45:52"/>
    <s v="Debit"/>
    <x v="16"/>
    <s v="D000044"/>
    <s v="92.180.81.50"/>
    <s v="M058"/>
    <s v="ATM"/>
    <n v="22"/>
    <s v="Student"/>
    <n v="100"/>
    <n v="1"/>
    <n v="719.52"/>
    <d v="2024-11-04T08:06:31"/>
    <n v="17"/>
    <s v="Monday"/>
    <n v="0.34052920490410898"/>
    <b v="0"/>
    <b v="0"/>
    <b v="1"/>
    <n v="0"/>
    <m/>
    <n v="0"/>
    <m/>
  </r>
  <r>
    <s v="TX000979"/>
    <s v="AC00453"/>
    <n v="472.48"/>
    <d v="2023-02-27T17:06:36"/>
    <s v="Debit"/>
    <x v="22"/>
    <s v="D000149"/>
    <s v="11.3.59.231"/>
    <s v="M099"/>
    <s v="Branch"/>
    <n v="55"/>
    <s v="Engineer"/>
    <n v="87"/>
    <n v="1"/>
    <n v="7128.82"/>
    <d v="2024-11-04T08:09:59"/>
    <n v="17"/>
    <s v="Monday"/>
    <n v="0.59903569954374403"/>
    <b v="0"/>
    <b v="0"/>
    <b v="1"/>
    <n v="0"/>
    <m/>
    <n v="0"/>
    <m/>
  </r>
  <r>
    <s v="TX000980"/>
    <s v="AC00147"/>
    <n v="67.150000000000006"/>
    <d v="2023-11-20T17:17:05"/>
    <s v="Debit"/>
    <x v="7"/>
    <s v="D000661"/>
    <s v="191.91.45.159"/>
    <s v="M001"/>
    <s v="Online"/>
    <n v="59"/>
    <s v="Doctor"/>
    <n v="14"/>
    <n v="1"/>
    <n v="9028.49"/>
    <d v="2024-11-04T08:10:53"/>
    <n v="17"/>
    <s v="Monday"/>
    <n v="-0.78933633533479597"/>
    <b v="0"/>
    <b v="0"/>
    <b v="1"/>
    <n v="0"/>
    <m/>
    <n v="0"/>
    <m/>
  </r>
  <r>
    <s v="TX000981"/>
    <s v="AC00401"/>
    <n v="102.67"/>
    <d v="2023-05-10T17:41:59"/>
    <s v="Debit"/>
    <x v="10"/>
    <s v="D000097"/>
    <s v="215.97.143.157"/>
    <s v="M091"/>
    <s v="Branch"/>
    <n v="79"/>
    <s v="Retired"/>
    <n v="119"/>
    <n v="1"/>
    <n v="4656.9399999999996"/>
    <d v="2024-11-04T08:06:32"/>
    <n v="17"/>
    <s v="Wednesday"/>
    <n v="-0.66767010120732995"/>
    <b v="0"/>
    <b v="0"/>
    <b v="1"/>
    <n v="0"/>
    <m/>
    <n v="0"/>
    <m/>
  </r>
  <r>
    <s v="TX000982"/>
    <s v="AC00336"/>
    <n v="460.09"/>
    <d v="2023-03-06T17:05:25"/>
    <s v="Credit"/>
    <x v="41"/>
    <s v="D000033"/>
    <s v="188.77.83.72"/>
    <s v="M081"/>
    <s v="Online"/>
    <n v="35"/>
    <s v="Doctor"/>
    <n v="146"/>
    <n v="3"/>
    <n v="6990.64"/>
    <d v="2024-11-04T08:08:33"/>
    <n v="17"/>
    <s v="Monday"/>
    <n v="0.55659637970029596"/>
    <b v="0"/>
    <b v="1"/>
    <b v="1"/>
    <n v="1"/>
    <m/>
    <n v="0"/>
    <m/>
  </r>
  <r>
    <s v="TX000983"/>
    <s v="AC00281"/>
    <n v="453.49"/>
    <d v="2023-01-02T16:06:29"/>
    <s v="Debit"/>
    <x v="6"/>
    <s v="D000471"/>
    <s v="40.226.196.34"/>
    <s v="M088"/>
    <s v="Branch"/>
    <n v="66"/>
    <s v="Doctor"/>
    <n v="147"/>
    <n v="1"/>
    <n v="6366.43"/>
    <d v="2024-11-04T08:08:56"/>
    <n v="16"/>
    <s v="Monday"/>
    <n v="0.53398947808877295"/>
    <b v="0"/>
    <b v="0"/>
    <b v="1"/>
    <n v="0"/>
    <m/>
    <n v="0"/>
    <m/>
  </r>
  <r>
    <s v="TX000984"/>
    <s v="AC00082"/>
    <n v="267.17"/>
    <d v="2023-08-24T16:56:36"/>
    <s v="Debit"/>
    <x v="6"/>
    <s v="D000638"/>
    <s v="161.177.41.214"/>
    <s v="M100"/>
    <s v="ATM"/>
    <n v="26"/>
    <s v="Student"/>
    <n v="170"/>
    <n v="1"/>
    <n v="1382.62"/>
    <d v="2024-11-04T08:07:54"/>
    <n v="16"/>
    <s v="Thursday"/>
    <n v="-0.104210204980749"/>
    <b v="0"/>
    <b v="0"/>
    <b v="1"/>
    <n v="0"/>
    <m/>
    <n v="0"/>
    <m/>
  </r>
  <r>
    <s v="TX000985"/>
    <s v="AC00247"/>
    <n v="111.26"/>
    <d v="2023-08-18T17:07:18"/>
    <s v="Debit"/>
    <x v="35"/>
    <s v="D000102"/>
    <s v="138.220.61.84"/>
    <s v="M096"/>
    <s v="ATM"/>
    <n v="66"/>
    <s v="Doctor"/>
    <n v="43"/>
    <n v="1"/>
    <n v="14350.11"/>
    <d v="2024-11-04T08:07:47"/>
    <n v="17"/>
    <s v="Friday"/>
    <n v="-0.63824687623112197"/>
    <b v="0"/>
    <b v="0"/>
    <b v="1"/>
    <n v="0"/>
    <m/>
    <n v="0"/>
    <m/>
  </r>
  <r>
    <s v="TX000986"/>
    <s v="AC00278"/>
    <n v="121.17"/>
    <d v="2023-12-25T17:31:16"/>
    <s v="Debit"/>
    <x v="37"/>
    <s v="D000573"/>
    <s v="155.19.119.0"/>
    <s v="M053"/>
    <s v="ATM"/>
    <n v="68"/>
    <s v="Doctor"/>
    <n v="158"/>
    <n v="1"/>
    <n v="12990.77"/>
    <d v="2024-11-04T08:10:12"/>
    <n v="17"/>
    <s v="Monday"/>
    <n v="-0.60430227093260802"/>
    <b v="0"/>
    <b v="0"/>
    <b v="1"/>
    <n v="0"/>
    <m/>
    <n v="0"/>
    <m/>
  </r>
  <r>
    <s v="TX000987"/>
    <s v="AC00176"/>
    <n v="213.28"/>
    <d v="2023-12-25T18:29:05"/>
    <s v="Debit"/>
    <x v="2"/>
    <s v="D000034"/>
    <s v="156.134.123.253"/>
    <s v="M088"/>
    <s v="Branch"/>
    <n v="51"/>
    <s v="Retired"/>
    <n v="94"/>
    <n v="1"/>
    <n v="4835.91"/>
    <d v="2024-11-04T08:11:27"/>
    <n v="18"/>
    <s v="Monday"/>
    <n v="-0.28879898192695203"/>
    <b v="0"/>
    <b v="0"/>
    <b v="1"/>
    <n v="0"/>
    <m/>
    <n v="0"/>
    <m/>
  </r>
  <r>
    <s v="TX000988"/>
    <s v="AC00159"/>
    <n v="187.88"/>
    <d v="2023-08-10T16:39:44"/>
    <s v="Debit"/>
    <x v="9"/>
    <s v="D000034"/>
    <s v="189.198.67.252"/>
    <s v="M017"/>
    <s v="ATM"/>
    <n v="60"/>
    <s v="Engineer"/>
    <n v="180"/>
    <n v="1"/>
    <n v="2154.58"/>
    <d v="2024-11-04T08:10:56"/>
    <n v="16"/>
    <s v="Thursday"/>
    <n v="-0.37580130025008401"/>
    <b v="0"/>
    <b v="0"/>
    <b v="1"/>
    <n v="0"/>
    <m/>
    <n v="0"/>
    <m/>
  </r>
  <r>
    <s v="TX000989"/>
    <s v="AC00035"/>
    <n v="471.88"/>
    <d v="2023-10-30T18:44:22"/>
    <s v="Credit"/>
    <x v="24"/>
    <s v="D000317"/>
    <s v="133.67.250.163"/>
    <s v="M054"/>
    <s v="Online"/>
    <n v="34"/>
    <s v="Doctor"/>
    <n v="141"/>
    <n v="1"/>
    <n v="14833.34"/>
    <d v="2024-11-04T08:07:00"/>
    <n v="18"/>
    <s v="Monday"/>
    <n v="0.59698052666997004"/>
    <b v="0"/>
    <b v="0"/>
    <b v="1"/>
    <n v="0"/>
    <m/>
    <n v="0"/>
    <m/>
  </r>
  <r>
    <s v="TX000990"/>
    <s v="AC00463"/>
    <n v="83.79"/>
    <d v="2023-10-12T16:37:49"/>
    <s v="Debit"/>
    <x v="9"/>
    <s v="D000176"/>
    <s v="12.246.170.239"/>
    <s v="M031"/>
    <s v="ATM"/>
    <n v="57"/>
    <s v="Engineer"/>
    <n v="47"/>
    <n v="1"/>
    <n v="5061.3"/>
    <d v="2024-11-04T08:09:05"/>
    <n v="16"/>
    <s v="Thursday"/>
    <n v="-0.73233954096877596"/>
    <b v="0"/>
    <b v="0"/>
    <b v="1"/>
    <n v="0"/>
    <m/>
    <n v="0"/>
    <m/>
  </r>
  <r>
    <s v="TX000991"/>
    <s v="AC00339"/>
    <n v="212.14"/>
    <d v="2023-08-14T17:28:37"/>
    <s v="Debit"/>
    <x v="14"/>
    <s v="D000269"/>
    <s v="44.67.137.125"/>
    <s v="M047"/>
    <s v="Branch"/>
    <n v="72"/>
    <s v="Retired"/>
    <n v="105"/>
    <n v="1"/>
    <n v="7225.06"/>
    <d v="2024-11-04T08:08:46"/>
    <n v="17"/>
    <s v="Monday"/>
    <n v="-0.29270381038712501"/>
    <b v="0"/>
    <b v="0"/>
    <b v="1"/>
    <n v="0"/>
    <m/>
    <n v="0"/>
    <m/>
  </r>
  <r>
    <s v="TX000992"/>
    <s v="AC00239"/>
    <n v="99.16"/>
    <d v="2023-02-28T17:55:00"/>
    <s v="Debit"/>
    <x v="23"/>
    <s v="D000573"/>
    <s v="84.237.126.96"/>
    <s v="M045"/>
    <s v="Online"/>
    <n v="79"/>
    <s v="Retired"/>
    <n v="202"/>
    <n v="1"/>
    <n v="2607.58"/>
    <d v="2024-11-04T08:10:27"/>
    <n v="17"/>
    <s v="Tuesday"/>
    <n v="-0.67969286251891303"/>
    <b v="0"/>
    <b v="0"/>
    <b v="1"/>
    <n v="0"/>
    <m/>
    <n v="0"/>
    <m/>
  </r>
  <r>
    <s v="TX000993"/>
    <s v="AC00090"/>
    <n v="839.33"/>
    <d v="2023-05-02T16:03:23"/>
    <s v="Credit"/>
    <x v="12"/>
    <s v="D000579"/>
    <s v="174.61.77.54"/>
    <s v="M071"/>
    <s v="Branch"/>
    <n v="60"/>
    <s v="Doctor"/>
    <n v="86"/>
    <n v="1"/>
    <n v="11538.97"/>
    <d v="2024-11-04T08:09:21"/>
    <n v="16"/>
    <s v="Tuesday"/>
    <n v="1.85560264745086"/>
    <b v="0"/>
    <b v="0"/>
    <b v="1"/>
    <n v="0"/>
    <m/>
    <n v="0"/>
    <m/>
  </r>
  <r>
    <s v="TX000994"/>
    <s v="AC00144"/>
    <n v="29.91"/>
    <d v="2023-07-31T16:26:33"/>
    <s v="Credit"/>
    <x v="26"/>
    <s v="D000551"/>
    <s v="113.21.93.28"/>
    <s v="M034"/>
    <s v="Online"/>
    <n v="76"/>
    <s v="Retired"/>
    <n v="43"/>
    <n v="3"/>
    <n v="2834.84"/>
    <d v="2024-11-04T08:08:39"/>
    <n v="16"/>
    <s v="Monday"/>
    <n v="-0.91689406503375004"/>
    <b v="0"/>
    <b v="1"/>
    <b v="1"/>
    <n v="1"/>
    <m/>
    <n v="0"/>
    <m/>
  </r>
  <r>
    <s v="TX000995"/>
    <s v="AC00488"/>
    <n v="4.24"/>
    <d v="2023-04-17T16:46:31"/>
    <s v="Debit"/>
    <x v="0"/>
    <s v="D000226"/>
    <s v="77.208.193.198"/>
    <s v="M086"/>
    <s v="Online"/>
    <n v="38"/>
    <s v="Engineer"/>
    <n v="38"/>
    <n v="1"/>
    <n v="7822.73"/>
    <d v="2024-11-04T08:07:54"/>
    <n v="16"/>
    <s v="Monday"/>
    <n v="-1.0048212111500801"/>
    <b v="0"/>
    <b v="0"/>
    <b v="1"/>
    <n v="0"/>
    <m/>
    <n v="0"/>
    <m/>
  </r>
  <r>
    <s v="TX000996"/>
    <s v="AC00039"/>
    <n v="50.29"/>
    <d v="2023-09-18T16:13:38"/>
    <s v="Credit"/>
    <x v="3"/>
    <s v="D000499"/>
    <s v="171.150.178.172"/>
    <s v="M028"/>
    <s v="Online"/>
    <n v="58"/>
    <s v="Doctor"/>
    <n v="64"/>
    <n v="1"/>
    <n v="7604.9"/>
    <d v="2024-11-04T08:07:16"/>
    <n v="16"/>
    <s v="Monday"/>
    <n v="-0.84708669308786699"/>
    <b v="0"/>
    <b v="0"/>
    <b v="1"/>
    <n v="0"/>
    <m/>
    <n v="0"/>
    <m/>
  </r>
  <r>
    <s v="TX000997"/>
    <s v="AC00475"/>
    <n v="135.85"/>
    <d v="2023-08-03T17:25:57"/>
    <s v="Debit"/>
    <x v="41"/>
    <s v="D000430"/>
    <s v="65.27.212.129"/>
    <s v="M015"/>
    <s v="Online"/>
    <n v="57"/>
    <s v="Retired"/>
    <n v="269"/>
    <n v="1"/>
    <n v="1480.39"/>
    <d v="2024-11-04T08:08:16"/>
    <n v="17"/>
    <s v="Thursday"/>
    <n v="-0.55401904128758594"/>
    <b v="0"/>
    <b v="0"/>
    <b v="1"/>
    <n v="0"/>
    <m/>
    <n v="0"/>
    <m/>
  </r>
  <r>
    <s v="TX000998"/>
    <s v="AC00368"/>
    <n v="368.53"/>
    <d v="2023-04-03T16:09:09"/>
    <s v="Debit"/>
    <x v="3"/>
    <s v="D000469"/>
    <s v="31.127.129.152"/>
    <s v="M099"/>
    <s v="Branch"/>
    <n v="68"/>
    <s v="Doctor"/>
    <n v="34"/>
    <n v="1"/>
    <n v="13696.31"/>
    <d v="2024-11-04T08:06:56"/>
    <n v="16"/>
    <s v="Monday"/>
    <n v="0.242976999162267"/>
    <b v="0"/>
    <b v="0"/>
    <b v="1"/>
    <n v="0"/>
    <m/>
    <n v="0"/>
    <m/>
  </r>
  <r>
    <s v="TX000999"/>
    <s v="AC00339"/>
    <n v="17.95"/>
    <d v="2023-06-05T17:22:19"/>
    <s v="Credit"/>
    <x v="30"/>
    <s v="D000411"/>
    <s v="167.164.55.0"/>
    <s v="M027"/>
    <s v="Branch"/>
    <n v="64"/>
    <s v="Doctor"/>
    <n v="135"/>
    <n v="1"/>
    <n v="12344.9"/>
    <d v="2024-11-04T08:09:36"/>
    <n v="17"/>
    <s v="Monday"/>
    <n v="-0.95786051098432701"/>
    <b v="0"/>
    <b v="0"/>
    <b v="1"/>
    <n v="0"/>
    <m/>
    <n v="0"/>
    <m/>
  </r>
  <r>
    <s v="TX001000"/>
    <s v="AC00297"/>
    <n v="127.8"/>
    <d v="2023-03-02T16:05:52"/>
    <s v="Credit"/>
    <x v="33"/>
    <s v="D000376"/>
    <s v="34.169.232.37"/>
    <s v="M026"/>
    <s v="Branch"/>
    <n v="31"/>
    <s v="Engineer"/>
    <n v="47"/>
    <n v="1"/>
    <n v="8630.99"/>
    <d v="2024-11-04T08:07:02"/>
    <n v="16"/>
    <s v="Thursday"/>
    <n v="-0.58159261067739698"/>
    <b v="0"/>
    <b v="0"/>
    <b v="1"/>
    <n v="0"/>
    <m/>
    <n v="0"/>
    <m/>
  </r>
  <r>
    <s v="TX001001"/>
    <s v="AC00345"/>
    <n v="16.73"/>
    <d v="2023-02-22T17:39:54"/>
    <s v="Debit"/>
    <x v="1"/>
    <s v="D000411"/>
    <s v="27.215.118.94"/>
    <s v="M073"/>
    <s v="Online"/>
    <n v="45"/>
    <s v="Engineer"/>
    <n v="48"/>
    <n v="1"/>
    <n v="2202.62"/>
    <d v="2024-11-04T08:09:36"/>
    <n v="17"/>
    <s v="Wednesday"/>
    <n v="-0.96203936249433497"/>
    <b v="0"/>
    <b v="0"/>
    <b v="1"/>
    <n v="0"/>
    <m/>
    <n v="0"/>
    <m/>
  </r>
  <r>
    <s v="TX001002"/>
    <s v="AC00458"/>
    <n v="317.12"/>
    <d v="2023-12-11T16:03:50"/>
    <s v="Debit"/>
    <x v="18"/>
    <s v="D000007"/>
    <s v="57.232.212.116"/>
    <s v="M018"/>
    <s v="Branch"/>
    <n v="44"/>
    <s v="Doctor"/>
    <n v="80"/>
    <n v="1"/>
    <n v="14409.74"/>
    <d v="2024-11-04T08:08:08"/>
    <n v="16"/>
    <s v="Monday"/>
    <n v="6.6882936760999406E-2"/>
    <b v="0"/>
    <b v="0"/>
    <b v="1"/>
    <n v="0"/>
    <m/>
    <n v="0"/>
    <m/>
  </r>
  <r>
    <s v="TX001003"/>
    <s v="AC00062"/>
    <n v="476.63"/>
    <d v="2023-07-25T17:17:49"/>
    <s v="Debit"/>
    <x v="27"/>
    <s v="D000697"/>
    <s v="32.13.122.242"/>
    <s v="M037"/>
    <s v="ATM"/>
    <n v="79"/>
    <s v="Retired"/>
    <n v="115"/>
    <n v="1"/>
    <n v="4894.25"/>
    <d v="2024-11-04T08:09:09"/>
    <n v="17"/>
    <s v="Tuesday"/>
    <n v="0.61325064525401995"/>
    <b v="0"/>
    <b v="0"/>
    <b v="1"/>
    <n v="0"/>
    <m/>
    <n v="0"/>
    <m/>
  </r>
  <r>
    <s v="TX001004"/>
    <s v="AC00070"/>
    <n v="156.58000000000001"/>
    <d v="2023-09-18T16:03:10"/>
    <s v="Debit"/>
    <x v="42"/>
    <s v="D000079"/>
    <s v="48.31.196.24"/>
    <s v="M083"/>
    <s v="Branch"/>
    <n v="24"/>
    <s v="Student"/>
    <n v="160"/>
    <n v="1"/>
    <n v="8981.61"/>
    <d v="2024-11-04T08:09:39"/>
    <n v="16"/>
    <s v="Monday"/>
    <n v="-0.48301281849866801"/>
    <b v="0"/>
    <b v="0"/>
    <b v="1"/>
    <n v="0"/>
    <m/>
    <n v="0"/>
    <m/>
  </r>
  <r>
    <s v="TX001005"/>
    <s v="AC00183"/>
    <n v="55.12"/>
    <d v="2023-09-18T16:19:03"/>
    <s v="Credit"/>
    <x v="1"/>
    <s v="D000219"/>
    <s v="152.140.239.181"/>
    <s v="M021"/>
    <s v="Online"/>
    <n v="34"/>
    <s v="Engineer"/>
    <n v="261"/>
    <n v="1"/>
    <n v="3791.99"/>
    <d v="2024-11-04T08:11:19"/>
    <n v="16"/>
    <s v="Monday"/>
    <n v="-0.83054255145398004"/>
    <b v="0"/>
    <b v="0"/>
    <b v="1"/>
    <n v="0"/>
    <m/>
    <n v="0"/>
    <m/>
  </r>
  <r>
    <s v="TX001006"/>
    <s v="AC00190"/>
    <n v="15.74"/>
    <d v="2023-01-09T16:05:02"/>
    <s v="Debit"/>
    <x v="13"/>
    <s v="D000064"/>
    <s v="136.250.159.93"/>
    <s v="M051"/>
    <s v="Branch"/>
    <n v="27"/>
    <s v="Student"/>
    <n v="38"/>
    <n v="1"/>
    <n v="690.16"/>
    <d v="2024-11-04T08:10:02"/>
    <n v="16"/>
    <s v="Monday"/>
    <n v="-0.96543039773606398"/>
    <b v="0"/>
    <b v="0"/>
    <b v="1"/>
    <n v="0"/>
    <m/>
    <n v="0"/>
    <m/>
  </r>
  <r>
    <s v="TX001007"/>
    <s v="AC00255"/>
    <n v="353.68"/>
    <d v="2023-11-06T16:32:58"/>
    <s v="Debit"/>
    <x v="17"/>
    <s v="D000614"/>
    <s v="147.234.20.46"/>
    <s v="M030"/>
    <s v="Online"/>
    <n v="70"/>
    <s v="Retired"/>
    <n v="145"/>
    <n v="1"/>
    <n v="6777.12"/>
    <d v="2024-11-04T08:08:35"/>
    <n v="16"/>
    <s v="Monday"/>
    <n v="0.19211147053634101"/>
    <b v="0"/>
    <b v="0"/>
    <b v="1"/>
    <n v="0"/>
    <m/>
    <n v="0"/>
    <m/>
  </r>
  <r>
    <s v="TX001008"/>
    <s v="AC00311"/>
    <n v="297.14999999999998"/>
    <d v="2023-10-12T18:11:27"/>
    <s v="Debit"/>
    <x v="37"/>
    <s v="D000273"/>
    <s v="122.94.26.104"/>
    <s v="M034"/>
    <s v="Online"/>
    <n v="76"/>
    <s v="Retired"/>
    <n v="178"/>
    <n v="1"/>
    <n v="5449.37"/>
    <d v="2024-11-04T08:10:07"/>
    <n v="18"/>
    <s v="Thursday"/>
    <n v="-1.5200670544706801E-3"/>
    <b v="0"/>
    <b v="0"/>
    <b v="1"/>
    <n v="0"/>
    <m/>
    <n v="0"/>
    <m/>
  </r>
  <r>
    <s v="TX001009"/>
    <s v="AC00075"/>
    <n v="647.85"/>
    <d v="2023-12-04T16:31:42"/>
    <s v="Debit"/>
    <x v="32"/>
    <s v="D000574"/>
    <s v="97.106.5.76"/>
    <s v="M034"/>
    <s v="Branch"/>
    <n v="36"/>
    <s v="Doctor"/>
    <n v="121"/>
    <n v="1"/>
    <n v="13779.97"/>
    <d v="2024-11-04T08:09:34"/>
    <n v="16"/>
    <s v="Monday"/>
    <n v="1.19972847766687"/>
    <b v="0"/>
    <b v="0"/>
    <b v="1"/>
    <n v="0"/>
    <m/>
    <n v="0"/>
    <m/>
  </r>
  <r>
    <s v="TX001010"/>
    <s v="AC00013"/>
    <n v="75.040000000000006"/>
    <d v="2023-07-27T17:04:46"/>
    <s v="Debit"/>
    <x v="39"/>
    <s v="D000037"/>
    <s v="52.1.78.30"/>
    <s v="M056"/>
    <s v="ATM"/>
    <n v="49"/>
    <s v="Engineer"/>
    <n v="178"/>
    <n v="1"/>
    <n v="9648.6"/>
    <d v="2024-11-04T08:07:28"/>
    <n v="17"/>
    <s v="Thursday"/>
    <n v="-0.762310812044658"/>
    <b v="0"/>
    <b v="0"/>
    <b v="1"/>
    <n v="0"/>
    <m/>
    <n v="0"/>
    <m/>
  </r>
  <r>
    <s v="TX001011"/>
    <s v="AC00247"/>
    <n v="273.92"/>
    <d v="2023-05-08T17:54:56"/>
    <s v="Debit"/>
    <x v="33"/>
    <s v="D000602"/>
    <s v="101.90.40.193"/>
    <s v="M086"/>
    <s v="Online"/>
    <n v="28"/>
    <s v="Student"/>
    <n v="35"/>
    <n v="1"/>
    <n v="1029.1500000000001"/>
    <d v="2024-11-04T08:09:46"/>
    <n v="17"/>
    <s v="Monday"/>
    <n v="-8.1089510150783403E-2"/>
    <b v="0"/>
    <b v="0"/>
    <b v="1"/>
    <n v="0"/>
    <m/>
    <n v="0"/>
    <m/>
  </r>
  <r>
    <s v="TX001012"/>
    <s v="AC00329"/>
    <n v="215.8"/>
    <d v="2023-05-18T16:03:58"/>
    <s v="Credit"/>
    <x v="36"/>
    <s v="D000273"/>
    <s v="149.84.108.18"/>
    <s v="M073"/>
    <s v="Branch"/>
    <n v="51"/>
    <s v="Retired"/>
    <n v="66"/>
    <n v="1"/>
    <n v="3656.62"/>
    <d v="2024-11-04T08:08:31"/>
    <n v="16"/>
    <s v="Thursday"/>
    <n v="-0.28016725585709801"/>
    <b v="0"/>
    <b v="0"/>
    <b v="1"/>
    <n v="0"/>
    <m/>
    <n v="0"/>
    <m/>
  </r>
  <r>
    <s v="TX001013"/>
    <s v="AC00257"/>
    <n v="963.77"/>
    <d v="2023-07-11T16:45:22"/>
    <s v="Debit"/>
    <x v="12"/>
    <s v="D000382"/>
    <s v="32.13.122.242"/>
    <s v="M055"/>
    <s v="ATM"/>
    <n v="41"/>
    <s v="Engineer"/>
    <n v="248"/>
    <n v="1"/>
    <n v="6710.51"/>
    <d v="2024-11-04T08:10:12"/>
    <n v="16"/>
    <s v="Tuesday"/>
    <n v="2.28184550147175"/>
    <b v="1"/>
    <b v="0"/>
    <b v="1"/>
    <n v="1"/>
    <m/>
    <n v="1"/>
    <m/>
  </r>
  <r>
    <s v="TX001014"/>
    <s v="AC00414"/>
    <n v="420.6"/>
    <d v="2023-04-17T16:10:19"/>
    <s v="Debit"/>
    <x v="12"/>
    <s v="D000124"/>
    <s v="189.183.50.147"/>
    <s v="M086"/>
    <s v="Branch"/>
    <n v="26"/>
    <s v="Student"/>
    <n v="55"/>
    <n v="1"/>
    <n v="1778.75"/>
    <d v="2024-11-04T08:09:30"/>
    <n v="16"/>
    <s v="Monday"/>
    <n v="0.42133175172468701"/>
    <b v="0"/>
    <b v="0"/>
    <b v="1"/>
    <n v="0"/>
    <m/>
    <n v="0"/>
    <m/>
  </r>
  <r>
    <s v="TX001015"/>
    <s v="AC00011"/>
    <n v="688.36"/>
    <d v="2023-06-30T16:31:49"/>
    <s v="Credit"/>
    <x v="11"/>
    <s v="D000235"/>
    <s v="200.136.146.93"/>
    <s v="M007"/>
    <s v="Branch"/>
    <n v="23"/>
    <s v="Student"/>
    <n v="22"/>
    <n v="1"/>
    <n v="5191.13"/>
    <d v="2024-11-04T08:11:05"/>
    <n v="16"/>
    <s v="Friday"/>
    <n v="1.3384868995279"/>
    <b v="0"/>
    <b v="0"/>
    <b v="1"/>
    <n v="0"/>
    <m/>
    <n v="0"/>
    <m/>
  </r>
  <r>
    <s v="TX001016"/>
    <s v="AC00416"/>
    <n v="285.18"/>
    <d v="2023-03-08T16:39:14"/>
    <s v="Credit"/>
    <x v="30"/>
    <s v="D000515"/>
    <s v="110.247.153.70"/>
    <s v="M084"/>
    <s v="Branch"/>
    <n v="55"/>
    <s v="Doctor"/>
    <n v="150"/>
    <n v="1"/>
    <n v="14847.97"/>
    <d v="2024-11-04T08:09:38"/>
    <n v="16"/>
    <s v="Wednesday"/>
    <n v="-4.2520765886277102E-2"/>
    <b v="0"/>
    <b v="0"/>
    <b v="1"/>
    <n v="0"/>
    <m/>
    <n v="0"/>
    <m/>
  </r>
  <r>
    <s v="TX001017"/>
    <s v="AC00174"/>
    <n v="213.55"/>
    <d v="2023-03-30T16:00:25"/>
    <s v="Debit"/>
    <x v="35"/>
    <s v="D000680"/>
    <s v="161.25.82.11"/>
    <s v="M077"/>
    <s v="ATM"/>
    <n v="63"/>
    <s v="Doctor"/>
    <n v="15"/>
    <n v="1"/>
    <n v="5238.37"/>
    <d v="2024-11-04T08:07:06"/>
    <n v="16"/>
    <s v="Thursday"/>
    <n v="-0.287874154133754"/>
    <b v="0"/>
    <b v="0"/>
    <b v="1"/>
    <n v="0"/>
    <m/>
    <n v="0"/>
    <m/>
  </r>
  <r>
    <s v="TX001018"/>
    <s v="AC00218"/>
    <n v="463.11"/>
    <d v="2023-09-26T16:50:05"/>
    <s v="Credit"/>
    <x v="17"/>
    <s v="D000210"/>
    <s v="49.31.186.82"/>
    <s v="M078"/>
    <s v="Branch"/>
    <n v="51"/>
    <s v="Doctor"/>
    <n v="159"/>
    <n v="1"/>
    <n v="10238.82"/>
    <d v="2024-11-04T08:07:18"/>
    <n v="16"/>
    <s v="Tuesday"/>
    <n v="0.56694074983162901"/>
    <b v="0"/>
    <b v="0"/>
    <b v="1"/>
    <n v="0"/>
    <m/>
    <n v="0"/>
    <m/>
  </r>
  <r>
    <s v="TX001019"/>
    <s v="AC00323"/>
    <n v="150.03"/>
    <d v="2023-07-10T16:17:21"/>
    <s v="Debit"/>
    <x v="15"/>
    <s v="D000325"/>
    <s v="219.219.117.136"/>
    <s v="M059"/>
    <s v="ATM"/>
    <n v="73"/>
    <s v="Retired"/>
    <n v="176"/>
    <n v="1"/>
    <n v="7491.42"/>
    <d v="2024-11-04T08:11:30"/>
    <n v="16"/>
    <s v="Monday"/>
    <n v="-0.50544845570404195"/>
    <b v="0"/>
    <b v="0"/>
    <b v="1"/>
    <n v="0"/>
    <m/>
    <n v="0"/>
    <m/>
  </r>
  <r>
    <s v="TX001020"/>
    <s v="AC00209"/>
    <n v="428.61"/>
    <d v="2023-10-09T16:00:26"/>
    <s v="Debit"/>
    <x v="41"/>
    <s v="D000273"/>
    <s v="6.204.110.7"/>
    <s v="M049"/>
    <s v="Branch"/>
    <n v="51"/>
    <s v="Retired"/>
    <n v="131"/>
    <n v="1"/>
    <n v="2116.36"/>
    <d v="2024-11-04T08:07:48"/>
    <n v="16"/>
    <s v="Monday"/>
    <n v="0.44876830958957997"/>
    <b v="0"/>
    <b v="0"/>
    <b v="1"/>
    <n v="0"/>
    <m/>
    <n v="0"/>
    <m/>
  </r>
  <r>
    <s v="TX001021"/>
    <s v="AC00337"/>
    <n v="309.56"/>
    <d v="2023-06-05T17:29:48"/>
    <s v="Debit"/>
    <x v="27"/>
    <s v="D000591"/>
    <s v="6.204.110.7"/>
    <s v="M094"/>
    <s v="Online"/>
    <n v="58"/>
    <s v="Doctor"/>
    <n v="147"/>
    <n v="1"/>
    <n v="972.04"/>
    <d v="2024-11-04T08:09:17"/>
    <n v="17"/>
    <s v="Monday"/>
    <n v="4.0987758551437402E-2"/>
    <b v="0"/>
    <b v="0"/>
    <b v="1"/>
    <n v="0"/>
    <m/>
    <n v="0"/>
    <m/>
  </r>
  <r>
    <s v="TX001022"/>
    <s v="AC00083"/>
    <n v="377.08"/>
    <d v="2023-02-15T17:33:23"/>
    <s v="Credit"/>
    <x v="2"/>
    <s v="D000124"/>
    <s v="136.162.111.135"/>
    <s v="M090"/>
    <s v="Branch"/>
    <n v="26"/>
    <s v="Student"/>
    <n v="71"/>
    <n v="1"/>
    <n v="6430.86"/>
    <d v="2024-11-04T08:10:33"/>
    <n v="17"/>
    <s v="Wednesday"/>
    <n v="0.27226321261355702"/>
    <b v="0"/>
    <b v="0"/>
    <b v="1"/>
    <n v="0"/>
    <m/>
    <n v="0"/>
    <m/>
  </r>
  <r>
    <s v="TX001023"/>
    <s v="AC00246"/>
    <n v="77.25"/>
    <d v="2023-12-22T17:49:57"/>
    <s v="Debit"/>
    <x v="33"/>
    <s v="D000142"/>
    <s v="45.182.28.148"/>
    <s v="M059"/>
    <s v="Branch"/>
    <n v="68"/>
    <s v="Doctor"/>
    <n v="157"/>
    <n v="1"/>
    <n v="14077.97"/>
    <d v="2024-11-04T08:07:50"/>
    <n v="17"/>
    <s v="Friday"/>
    <n v="-0.75474092529292103"/>
    <b v="0"/>
    <b v="0"/>
    <b v="1"/>
    <n v="0"/>
    <m/>
    <n v="0"/>
    <m/>
  </r>
  <r>
    <s v="TX001024"/>
    <s v="AC00194"/>
    <n v="146.91999999999999"/>
    <d v="2023-09-08T16:28:54"/>
    <s v="Debit"/>
    <x v="42"/>
    <s v="D000522"/>
    <s v="77.7.223.184"/>
    <s v="M003"/>
    <s v="ATM"/>
    <n v="64"/>
    <s v="Retired"/>
    <n v="272"/>
    <n v="1"/>
    <n v="3990.6"/>
    <d v="2024-11-04T08:07:41"/>
    <n v="16"/>
    <s v="Friday"/>
    <n v="-0.51610110176644097"/>
    <b v="0"/>
    <b v="0"/>
    <b v="1"/>
    <n v="0"/>
    <m/>
    <n v="0"/>
    <m/>
  </r>
  <r>
    <s v="TX001025"/>
    <s v="AC00361"/>
    <n v="126.6"/>
    <d v="2023-05-26T16:00:45"/>
    <s v="Debit"/>
    <x v="25"/>
    <s v="D000634"/>
    <s v="221.206.44.63"/>
    <s v="M031"/>
    <s v="Branch"/>
    <n v="22"/>
    <s v="Student"/>
    <n v="146"/>
    <n v="1"/>
    <n v="961.65"/>
    <d v="2024-11-04T08:08:35"/>
    <n v="16"/>
    <s v="Friday"/>
    <n v="-0.58570295642494696"/>
    <b v="0"/>
    <b v="0"/>
    <b v="1"/>
    <n v="0"/>
    <m/>
    <n v="0"/>
    <m/>
  </r>
  <r>
    <s v="TX001026"/>
    <s v="AC00214"/>
    <n v="101.34"/>
    <d v="2023-03-03T17:49:53"/>
    <s v="Debit"/>
    <x v="35"/>
    <s v="D000501"/>
    <s v="147.227.81.224"/>
    <s v="M068"/>
    <s v="ATM"/>
    <n v="24"/>
    <s v="Student"/>
    <n v="46"/>
    <n v="1"/>
    <n v="703.26"/>
    <d v="2024-11-04T08:10:15"/>
    <n v="17"/>
    <s v="Friday"/>
    <n v="-0.67222573441086397"/>
    <b v="0"/>
    <b v="0"/>
    <b v="1"/>
    <n v="0"/>
    <m/>
    <n v="0"/>
    <m/>
  </r>
  <r>
    <s v="TX001027"/>
    <s v="AC00204"/>
    <n v="184.97"/>
    <d v="2023-06-26T16:46:41"/>
    <s v="Debit"/>
    <x v="13"/>
    <s v="D000180"/>
    <s v="141.201.46.191"/>
    <s v="M012"/>
    <s v="Branch"/>
    <n v="58"/>
    <s v="Doctor"/>
    <n v="268"/>
    <n v="1"/>
    <n v="1156.67"/>
    <d v="2024-11-04T08:11:06"/>
    <n v="16"/>
    <s v="Monday"/>
    <n v="-0.385768888687892"/>
    <b v="0"/>
    <b v="0"/>
    <b v="1"/>
    <n v="0"/>
    <m/>
    <n v="0"/>
    <m/>
  </r>
  <r>
    <s v="TX001028"/>
    <s v="AC00394"/>
    <n v="451.15"/>
    <d v="2023-02-27T16:47:50"/>
    <s v="Debit"/>
    <x v="40"/>
    <s v="D000245"/>
    <s v="201.114.165.141"/>
    <s v="M094"/>
    <s v="ATM"/>
    <n v="46"/>
    <s v="Engineer"/>
    <n v="175"/>
    <n v="1"/>
    <n v="1356.47"/>
    <d v="2024-11-04T08:10:45"/>
    <n v="16"/>
    <s v="Monday"/>
    <n v="0.52597430388105104"/>
    <b v="0"/>
    <b v="0"/>
    <b v="1"/>
    <n v="0"/>
    <m/>
    <n v="0"/>
    <m/>
  </r>
  <r>
    <s v="TX001029"/>
    <s v="AC00002"/>
    <n v="516.47"/>
    <d v="2023-12-21T17:00:50"/>
    <s v="Credit"/>
    <x v="27"/>
    <s v="D000420"/>
    <s v="59.132.247.252"/>
    <s v="M026"/>
    <s v="ATM"/>
    <n v="25"/>
    <s v="Student"/>
    <n v="94"/>
    <n v="1"/>
    <n v="1305.06"/>
    <d v="2024-11-04T08:09:51"/>
    <n v="17"/>
    <s v="Thursday"/>
    <n v="0.74971412407266402"/>
    <b v="0"/>
    <b v="0"/>
    <b v="1"/>
    <n v="0"/>
    <m/>
    <n v="0"/>
    <m/>
  </r>
  <r>
    <s v="TX001030"/>
    <s v="AC00337"/>
    <n v="880.04"/>
    <d v="2023-10-30T18:58:42"/>
    <s v="Debit"/>
    <x v="30"/>
    <s v="D000057"/>
    <s v="66.255.7.16"/>
    <s v="M093"/>
    <s v="ATM"/>
    <n v="25"/>
    <s v="Student"/>
    <n v="29"/>
    <n v="1"/>
    <n v="261.97000000000003"/>
    <d v="2024-11-04T08:07:37"/>
    <n v="18"/>
    <s v="Monday"/>
    <n v="1.9950461269364801"/>
    <b v="0"/>
    <b v="0"/>
    <b v="1"/>
    <n v="0"/>
    <m/>
    <n v="0"/>
    <m/>
  </r>
  <r>
    <s v="TX001031"/>
    <s v="AC00184"/>
    <n v="353.69"/>
    <d v="2023-08-22T16:49:26"/>
    <s v="Debit"/>
    <x v="24"/>
    <s v="D000474"/>
    <s v="49.29.37.185"/>
    <s v="M068"/>
    <s v="Online"/>
    <n v="59"/>
    <s v="Engineer"/>
    <n v="163"/>
    <n v="1"/>
    <n v="9500.7900000000009"/>
    <d v="2024-11-04T08:08:51"/>
    <n v="16"/>
    <s v="Tuesday"/>
    <n v="0.192145723417571"/>
    <b v="0"/>
    <b v="0"/>
    <b v="1"/>
    <n v="0"/>
    <m/>
    <n v="0"/>
    <m/>
  </r>
  <r>
    <s v="TX001032"/>
    <s v="AC00258"/>
    <n v="66.69"/>
    <d v="2023-11-01T16:03:17"/>
    <s v="Credit"/>
    <x v="25"/>
    <s v="D000624"/>
    <s v="52.50.209.49"/>
    <s v="M043"/>
    <s v="Branch"/>
    <n v="25"/>
    <s v="Student"/>
    <n v="140"/>
    <n v="1"/>
    <n v="1210.33"/>
    <d v="2024-11-04T08:07:16"/>
    <n v="16"/>
    <s v="Wednesday"/>
    <n v="-0.79091196787135698"/>
    <b v="0"/>
    <b v="0"/>
    <b v="1"/>
    <n v="0"/>
    <m/>
    <n v="0"/>
    <m/>
  </r>
  <r>
    <s v="TX001033"/>
    <s v="AC00164"/>
    <n v="95.75"/>
    <d v="2023-07-12T16:54:53"/>
    <s v="Debit"/>
    <x v="16"/>
    <s v="D000040"/>
    <s v="190.92.63.219"/>
    <s v="M064"/>
    <s v="Branch"/>
    <n v="31"/>
    <s v="Engineer"/>
    <n v="169"/>
    <n v="1"/>
    <n v="337.62"/>
    <d v="2024-11-04T08:07:32"/>
    <n v="16"/>
    <s v="Wednesday"/>
    <n v="-0.69137309501819899"/>
    <b v="0"/>
    <b v="0"/>
    <b v="1"/>
    <n v="0"/>
    <m/>
    <n v="0"/>
    <m/>
  </r>
  <r>
    <s v="TX001034"/>
    <s v="AC00032"/>
    <n v="43.91"/>
    <d v="2023-08-17T18:31:23"/>
    <s v="Debit"/>
    <x v="10"/>
    <s v="D000515"/>
    <s v="149.84.108.18"/>
    <s v="M073"/>
    <s v="Online"/>
    <n v="27"/>
    <s v="Student"/>
    <n v="86"/>
    <n v="1"/>
    <n v="1806.68"/>
    <d v="2024-11-04T08:12:22"/>
    <n v="18"/>
    <s v="Thursday"/>
    <n v="-0.86894003131233899"/>
    <b v="0"/>
    <b v="0"/>
    <b v="1"/>
    <n v="0"/>
    <m/>
    <n v="0"/>
    <m/>
  </r>
  <r>
    <s v="TX001035"/>
    <s v="AC00092"/>
    <n v="98.03"/>
    <d v="2023-12-18T18:41:26"/>
    <s v="Debit"/>
    <x v="39"/>
    <s v="D000697"/>
    <s v="49.20.211.229"/>
    <s v="M095"/>
    <s v="Branch"/>
    <n v="54"/>
    <s v="Engineer"/>
    <n v="165"/>
    <n v="1"/>
    <n v="6323.45"/>
    <d v="2024-11-04T08:08:36"/>
    <n v="18"/>
    <s v="Monday"/>
    <n v="-0.68356343809785503"/>
    <b v="0"/>
    <b v="0"/>
    <b v="1"/>
    <n v="0"/>
    <m/>
    <n v="0"/>
    <m/>
  </r>
  <r>
    <s v="TX001036"/>
    <s v="AC00485"/>
    <n v="617.66"/>
    <d v="2023-02-16T17:05:58"/>
    <s v="Debit"/>
    <x v="35"/>
    <s v="D000253"/>
    <s v="34.169.232.37"/>
    <s v="M057"/>
    <s v="ATM"/>
    <n v="42"/>
    <s v="Engineer"/>
    <n v="128"/>
    <n v="1"/>
    <n v="7155.95"/>
    <d v="2024-11-04T08:08:03"/>
    <n v="17"/>
    <s v="Thursday"/>
    <n v="1.09631902923477"/>
    <b v="0"/>
    <b v="0"/>
    <b v="1"/>
    <n v="0"/>
    <m/>
    <n v="0"/>
    <m/>
  </r>
  <r>
    <s v="TX001037"/>
    <s v="AC00067"/>
    <n v="888.57"/>
    <d v="2023-06-13T16:24:43"/>
    <s v="Debit"/>
    <x v="25"/>
    <s v="D000365"/>
    <s v="193.217.248.188"/>
    <s v="M092"/>
    <s v="Online"/>
    <n v="62"/>
    <s v="Retired"/>
    <n v="102"/>
    <n v="1"/>
    <n v="7896.14"/>
    <d v="2024-11-04T08:10:57"/>
    <n v="16"/>
    <s v="Tuesday"/>
    <n v="2.0242638346253101"/>
    <b v="0"/>
    <b v="0"/>
    <b v="1"/>
    <n v="0"/>
    <m/>
    <n v="0"/>
    <m/>
  </r>
  <r>
    <s v="TX001038"/>
    <s v="AC00005"/>
    <n v="107.48"/>
    <d v="2023-12-04T18:01:53"/>
    <s v="Debit"/>
    <x v="32"/>
    <s v="D000221"/>
    <s v="44.73.3.217"/>
    <s v="M080"/>
    <s v="Branch"/>
    <n v="22"/>
    <s v="Student"/>
    <n v="129"/>
    <n v="1"/>
    <n v="591.23"/>
    <d v="2024-11-04T08:08:11"/>
    <n v="18"/>
    <s v="Monday"/>
    <n v="-0.65119446533590197"/>
    <b v="0"/>
    <b v="0"/>
    <b v="1"/>
    <n v="0"/>
    <m/>
    <n v="0"/>
    <m/>
  </r>
  <r>
    <s v="TX001039"/>
    <s v="AC00291"/>
    <n v="36.57"/>
    <d v="2023-08-07T16:49:34"/>
    <s v="Debit"/>
    <x v="32"/>
    <s v="D000617"/>
    <s v="221.23.158.87"/>
    <s v="M051"/>
    <s v="ATM"/>
    <n v="62"/>
    <s v="Retired"/>
    <n v="69"/>
    <n v="1"/>
    <n v="2583.0700000000002"/>
    <d v="2024-11-04T08:07:02"/>
    <n v="16"/>
    <s v="Monday"/>
    <n v="-0.89408164613484997"/>
    <b v="0"/>
    <b v="0"/>
    <b v="1"/>
    <n v="0"/>
    <m/>
    <n v="0"/>
    <m/>
  </r>
  <r>
    <s v="TX001040"/>
    <s v="AC00284"/>
    <n v="575.62"/>
    <d v="2023-06-12T18:30:51"/>
    <s v="Debit"/>
    <x v="5"/>
    <s v="D000682"/>
    <s v="116.175.11.222"/>
    <s v="M081"/>
    <s v="Online"/>
    <n v="43"/>
    <s v="Doctor"/>
    <n v="129"/>
    <n v="1"/>
    <n v="234.41"/>
    <d v="2024-11-04T08:11:33"/>
    <n v="18"/>
    <s v="Monday"/>
    <n v="0.95231991654562598"/>
    <b v="0"/>
    <b v="0"/>
    <b v="1"/>
    <n v="0"/>
    <m/>
    <n v="0"/>
    <m/>
  </r>
  <r>
    <s v="TX001041"/>
    <s v="AC00024"/>
    <n v="84.89"/>
    <d v="2023-05-22T17:27:11"/>
    <s v="Debit"/>
    <x v="24"/>
    <s v="D000618"/>
    <s v="201.113.165.203"/>
    <s v="M018"/>
    <s v="ATM"/>
    <n v="37"/>
    <s v="Engineer"/>
    <n v="70"/>
    <n v="1"/>
    <n v="4735.6099999999997"/>
    <d v="2024-11-04T08:12:16"/>
    <n v="17"/>
    <s v="Monday"/>
    <n v="-0.72857172403352199"/>
    <b v="0"/>
    <b v="0"/>
    <b v="1"/>
    <n v="0"/>
    <m/>
    <n v="0"/>
    <m/>
  </r>
  <r>
    <s v="TX001042"/>
    <s v="AC00310"/>
    <n v="832.3"/>
    <d v="2023-07-12T16:55:44"/>
    <s v="Credit"/>
    <x v="14"/>
    <s v="D000153"/>
    <s v="73.156.208.26"/>
    <s v="M061"/>
    <s v="Branch"/>
    <n v="69"/>
    <s v="Retired"/>
    <n v="86"/>
    <n v="1"/>
    <n v="6617.52"/>
    <d v="2024-11-04T08:06:47"/>
    <n v="16"/>
    <s v="Wednesday"/>
    <n v="1.83152287194647"/>
    <b v="0"/>
    <b v="0"/>
    <b v="1"/>
    <n v="0"/>
    <m/>
    <n v="0"/>
    <m/>
  </r>
  <r>
    <s v="TX001043"/>
    <s v="AC00246"/>
    <n v="180.65"/>
    <d v="2023-12-04T17:54:09"/>
    <s v="Debit"/>
    <x v="27"/>
    <s v="D000552"/>
    <s v="10.223.224.50"/>
    <s v="M012"/>
    <s v="Branch"/>
    <n v="22"/>
    <s v="Student"/>
    <n v="38"/>
    <n v="5"/>
    <n v="816.01"/>
    <d v="2024-11-04T08:09:50"/>
    <n v="17"/>
    <s v="Monday"/>
    <n v="-0.40056613337906999"/>
    <b v="0"/>
    <b v="1"/>
    <b v="1"/>
    <n v="1"/>
    <m/>
    <n v="0"/>
    <m/>
  </r>
  <r>
    <s v="TX001044"/>
    <s v="AC00463"/>
    <n v="7.76"/>
    <d v="2023-03-27T17:16:08"/>
    <s v="Credit"/>
    <x v="17"/>
    <s v="D000376"/>
    <s v="170.99.15.217"/>
    <s v="M091"/>
    <s v="Online"/>
    <n v="52"/>
    <s v="Retired"/>
    <n v="84"/>
    <n v="1"/>
    <n v="7393.11"/>
    <d v="2024-11-04T08:12:15"/>
    <n v="17"/>
    <s v="Monday"/>
    <n v="-0.99276419695726803"/>
    <b v="0"/>
    <b v="0"/>
    <b v="1"/>
    <n v="0"/>
    <m/>
    <n v="0"/>
    <m/>
  </r>
  <r>
    <s v="TX001045"/>
    <s v="AC00318"/>
    <n v="109.3"/>
    <d v="2023-08-02T16:52:15"/>
    <s v="Debit"/>
    <x v="18"/>
    <s v="D000006"/>
    <s v="93.146.251.20"/>
    <s v="M020"/>
    <s v="Branch"/>
    <n v="56"/>
    <s v="Doctor"/>
    <n v="27"/>
    <n v="1"/>
    <n v="13510.11"/>
    <d v="2024-11-04T08:06:29"/>
    <n v="16"/>
    <s v="Wednesday"/>
    <n v="-0.64496044095211902"/>
    <b v="0"/>
    <b v="0"/>
    <b v="1"/>
    <n v="0"/>
    <m/>
    <n v="0"/>
    <m/>
  </r>
  <r>
    <s v="TX001046"/>
    <s v="AC00474"/>
    <n v="230.08"/>
    <d v="2023-05-01T16:23:40"/>
    <s v="Debit"/>
    <x v="14"/>
    <s v="D000045"/>
    <s v="93.52.44.101"/>
    <s v="M006"/>
    <s v="Online"/>
    <n v="79"/>
    <s v="Retired"/>
    <n v="124"/>
    <n v="1"/>
    <n v="4466.1000000000004"/>
    <d v="2024-11-04T08:11:47"/>
    <n v="16"/>
    <s v="Monday"/>
    <n v="-0.231254141461259"/>
    <b v="0"/>
    <b v="0"/>
    <b v="1"/>
    <n v="0"/>
    <m/>
    <n v="0"/>
    <m/>
  </r>
  <r>
    <s v="TX001047"/>
    <s v="AC00192"/>
    <n v="361.92"/>
    <d v="2023-02-20T16:08:48"/>
    <s v="Debit"/>
    <x v="8"/>
    <s v="D000647"/>
    <s v="27.215.118.94"/>
    <s v="M018"/>
    <s v="ATM"/>
    <n v="54"/>
    <s v="Retired"/>
    <n v="111"/>
    <n v="1"/>
    <n v="7474.31"/>
    <d v="2024-11-04T08:10:23"/>
    <n v="16"/>
    <s v="Monday"/>
    <n v="0.220335844669515"/>
    <b v="0"/>
    <b v="0"/>
    <b v="1"/>
    <n v="0"/>
    <m/>
    <n v="0"/>
    <m/>
  </r>
  <r>
    <s v="TX001048"/>
    <s v="AC00100"/>
    <n v="71.290000000000006"/>
    <d v="2023-02-02T17:02:05"/>
    <s v="Debit"/>
    <x v="29"/>
    <s v="D000345"/>
    <s v="112.86.148.212"/>
    <s v="M075"/>
    <s v="ATM"/>
    <n v="68"/>
    <s v="Retired"/>
    <n v="55"/>
    <n v="2"/>
    <n v="7225.63"/>
    <d v="2024-11-04T08:07:50"/>
    <n v="17"/>
    <s v="Thursday"/>
    <n v="-0.77515564250574998"/>
    <b v="0"/>
    <b v="1"/>
    <b v="1"/>
    <n v="1"/>
    <m/>
    <n v="0"/>
    <m/>
  </r>
  <r>
    <s v="TX001049"/>
    <s v="AC00407"/>
    <n v="122.45"/>
    <d v="2023-01-16T16:50:13"/>
    <s v="Debit"/>
    <x v="22"/>
    <s v="D000505"/>
    <s v="119.43.28.203"/>
    <s v="M065"/>
    <s v="Branch"/>
    <n v="46"/>
    <s v="Doctor"/>
    <n v="98"/>
    <n v="1"/>
    <n v="7255.49"/>
    <d v="2024-11-04T08:07:54"/>
    <n v="16"/>
    <s v="Monday"/>
    <n v="-0.599917902135222"/>
    <b v="0"/>
    <b v="0"/>
    <b v="1"/>
    <n v="0"/>
    <m/>
    <n v="0"/>
    <m/>
  </r>
  <r>
    <s v="TX001050"/>
    <s v="AC00276"/>
    <n v="642.53"/>
    <d v="2023-08-14T16:36:43"/>
    <s v="Debit"/>
    <x v="2"/>
    <s v="D000202"/>
    <s v="5.50.152.168"/>
    <s v="M048"/>
    <s v="ATM"/>
    <n v="65"/>
    <s v="Doctor"/>
    <n v="128"/>
    <n v="1"/>
    <n v="11417.91"/>
    <d v="2024-11-04T08:12:10"/>
    <n v="16"/>
    <s v="Monday"/>
    <n v="1.1815059448527401"/>
    <b v="0"/>
    <b v="0"/>
    <b v="1"/>
    <n v="0"/>
    <m/>
    <n v="0"/>
    <m/>
  </r>
  <r>
    <s v="TX001051"/>
    <s v="AC00420"/>
    <n v="62.86"/>
    <d v="2023-05-08T16:24:00"/>
    <s v="Debit"/>
    <x v="1"/>
    <s v="D000271"/>
    <s v="200.136.146.93"/>
    <s v="M090"/>
    <s v="Branch"/>
    <n v="25"/>
    <s v="Student"/>
    <n v="31"/>
    <n v="1"/>
    <n v="1040.43"/>
    <d v="2024-11-04T08:10:33"/>
    <n v="16"/>
    <s v="Monday"/>
    <n v="-0.80403082138228599"/>
    <b v="0"/>
    <b v="0"/>
    <b v="1"/>
    <n v="0"/>
    <m/>
    <n v="0"/>
    <m/>
  </r>
  <r>
    <s v="TX001052"/>
    <s v="AC00228"/>
    <n v="175.21"/>
    <d v="2023-12-21T18:44:40"/>
    <s v="Credit"/>
    <x v="2"/>
    <s v="D000059"/>
    <s v="96.162.11.85"/>
    <s v="M049"/>
    <s v="ATM"/>
    <n v="69"/>
    <s v="Doctor"/>
    <n v="69"/>
    <n v="1"/>
    <n v="6039.04"/>
    <d v="2024-11-04T08:08:37"/>
    <n v="18"/>
    <s v="Thursday"/>
    <n v="-0.41919970076796098"/>
    <b v="0"/>
    <b v="0"/>
    <b v="1"/>
    <n v="0"/>
    <m/>
    <n v="0"/>
    <m/>
  </r>
  <r>
    <s v="TX001053"/>
    <s v="AC00022"/>
    <n v="168"/>
    <d v="2023-08-24T16:01:40"/>
    <s v="Credit"/>
    <x v="28"/>
    <s v="D000669"/>
    <s v="72.128.135.172"/>
    <s v="M053"/>
    <s v="Branch"/>
    <n v="32"/>
    <s v="Engineer"/>
    <n v="11"/>
    <n v="1"/>
    <n v="3498.58"/>
    <d v="2024-11-04T08:12:20"/>
    <n v="16"/>
    <s v="Thursday"/>
    <n v="-0.44389602813448797"/>
    <b v="0"/>
    <b v="0"/>
    <b v="1"/>
    <n v="0"/>
    <m/>
    <n v="0"/>
    <m/>
  </r>
  <r>
    <s v="TX001054"/>
    <s v="AC00052"/>
    <n v="11.46"/>
    <d v="2023-10-09T16:50:41"/>
    <s v="Debit"/>
    <x v="29"/>
    <s v="D000232"/>
    <s v="217.82.46.37"/>
    <s v="M056"/>
    <s v="Online"/>
    <n v="67"/>
    <s v="Retired"/>
    <n v="73"/>
    <n v="1"/>
    <n v="6628.75"/>
    <d v="2024-11-04T08:07:19"/>
    <n v="16"/>
    <s v="Monday"/>
    <n v="-0.98009063090232396"/>
    <b v="0"/>
    <b v="0"/>
    <b v="1"/>
    <n v="0"/>
    <m/>
    <n v="0"/>
    <m/>
  </r>
  <r>
    <s v="TX001055"/>
    <s v="AC00151"/>
    <n v="382.07"/>
    <d v="2023-06-05T17:48:07"/>
    <s v="Credit"/>
    <x v="32"/>
    <s v="D000318"/>
    <s v="21.97.154.92"/>
    <s v="M091"/>
    <s v="Branch"/>
    <n v="62"/>
    <s v="Doctor"/>
    <n v="147"/>
    <n v="1"/>
    <n v="10156.09"/>
    <d v="2024-11-04T08:08:17"/>
    <n v="17"/>
    <s v="Monday"/>
    <n v="0.28935540034711699"/>
    <b v="0"/>
    <b v="0"/>
    <b v="1"/>
    <n v="0"/>
    <m/>
    <n v="0"/>
    <m/>
  </r>
  <r>
    <s v="TX001056"/>
    <s v="AC00317"/>
    <n v="13.48"/>
    <d v="2023-09-20T17:49:53"/>
    <s v="Debit"/>
    <x v="17"/>
    <s v="D000279"/>
    <s v="32.169.88.41"/>
    <s v="M094"/>
    <s v="Online"/>
    <n v="18"/>
    <s v="Student"/>
    <n v="20"/>
    <n v="3"/>
    <n v="521.88"/>
    <d v="2024-11-04T08:10:20"/>
    <n v="17"/>
    <s v="Wednesday"/>
    <n v="-0.97317154889394897"/>
    <b v="0"/>
    <b v="1"/>
    <b v="1"/>
    <n v="1"/>
    <m/>
    <n v="0"/>
    <m/>
  </r>
  <r>
    <s v="TX001057"/>
    <s v="AC00348"/>
    <n v="65.319999999999993"/>
    <d v="2023-11-02T16:15:50"/>
    <s v="Debit"/>
    <x v="2"/>
    <s v="D000684"/>
    <s v="40.10.25.102"/>
    <s v="M094"/>
    <s v="ATM"/>
    <n v="28"/>
    <s v="Student"/>
    <n v="54"/>
    <n v="1"/>
    <n v="9165.02"/>
    <d v="2024-11-04T08:11:09"/>
    <n v="16"/>
    <s v="Thursday"/>
    <n v="-0.79560461259980897"/>
    <b v="0"/>
    <b v="0"/>
    <b v="1"/>
    <n v="0"/>
    <m/>
    <n v="0"/>
    <m/>
  </r>
  <r>
    <s v="TX001058"/>
    <s v="AC00191"/>
    <n v="83.07"/>
    <d v="2023-01-06T16:13:53"/>
    <s v="Debit"/>
    <x v="19"/>
    <s v="D000182"/>
    <s v="138.210.196.19"/>
    <s v="M026"/>
    <s v="Branch"/>
    <n v="27"/>
    <s v="Engineer"/>
    <n v="291"/>
    <n v="4"/>
    <n v="6704.76"/>
    <d v="2024-11-04T08:10:42"/>
    <n v="16"/>
    <s v="Friday"/>
    <n v="-0.73480574841730595"/>
    <b v="0"/>
    <b v="1"/>
    <b v="1"/>
    <n v="1"/>
    <m/>
    <n v="0"/>
    <m/>
  </r>
  <r>
    <s v="TX001059"/>
    <s v="AC00120"/>
    <n v="730.1"/>
    <d v="2023-07-25T18:04:46"/>
    <s v="Credit"/>
    <x v="29"/>
    <s v="D000453"/>
    <s v="190.164.160.79"/>
    <s v="M053"/>
    <s v="Branch"/>
    <n v="77"/>
    <s v="Retired"/>
    <n v="93"/>
    <n v="1"/>
    <n v="6384.05"/>
    <d v="2024-11-04T08:06:48"/>
    <n v="18"/>
    <s v="Tuesday"/>
    <n v="1.48145842578016"/>
    <b v="0"/>
    <b v="0"/>
    <b v="1"/>
    <n v="0"/>
    <m/>
    <n v="0"/>
    <m/>
  </r>
  <r>
    <s v="TX001060"/>
    <s v="AC00487"/>
    <n v="85.31"/>
    <d v="2023-12-11T16:06:04"/>
    <s v="Debit"/>
    <x v="31"/>
    <s v="D000332"/>
    <s v="45.64.74.86"/>
    <s v="M019"/>
    <s v="ATM"/>
    <n v="62"/>
    <s v="Retired"/>
    <n v="27"/>
    <n v="1"/>
    <n v="6095.65"/>
    <d v="2024-11-04T08:08:13"/>
    <n v="16"/>
    <s v="Monday"/>
    <n v="-0.72713310302187995"/>
    <b v="0"/>
    <b v="0"/>
    <b v="1"/>
    <n v="0"/>
    <m/>
    <n v="0"/>
    <m/>
  </r>
  <r>
    <s v="TX001061"/>
    <s v="AC00173"/>
    <n v="726.61"/>
    <d v="2023-11-03T16:31:22"/>
    <s v="Debit"/>
    <x v="37"/>
    <s v="D000141"/>
    <s v="210.228.226.64"/>
    <s v="M081"/>
    <s v="ATM"/>
    <n v="18"/>
    <s v="Student"/>
    <n v="277"/>
    <n v="1"/>
    <n v="1008.76"/>
    <d v="2024-11-04T08:10:14"/>
    <n v="16"/>
    <s v="Friday"/>
    <n v="1.4695041702310401"/>
    <b v="0"/>
    <b v="0"/>
    <b v="1"/>
    <n v="0"/>
    <m/>
    <n v="0"/>
    <m/>
  </r>
  <r>
    <s v="TX001062"/>
    <s v="AC00089"/>
    <n v="130.4"/>
    <d v="2023-04-03T16:31:32"/>
    <s v="Debit"/>
    <x v="3"/>
    <s v="D000373"/>
    <s v="163.129.70.210"/>
    <s v="M024"/>
    <s v="Branch"/>
    <n v="45"/>
    <s v="Engineer"/>
    <n v="63"/>
    <n v="1"/>
    <n v="4381.24"/>
    <d v="2024-11-04T08:09:41"/>
    <n v="16"/>
    <s v="Monday"/>
    <n v="-0.57268686155770698"/>
    <b v="0"/>
    <b v="0"/>
    <b v="1"/>
    <n v="0"/>
    <m/>
    <n v="0"/>
    <m/>
  </r>
  <r>
    <s v="TX001063"/>
    <s v="AC00456"/>
    <n v="68.099999999999994"/>
    <d v="2023-01-02T16:00:06"/>
    <s v="Debit"/>
    <x v="20"/>
    <s v="D000235"/>
    <s v="94.227.164.192"/>
    <s v="M089"/>
    <s v="ATM"/>
    <n v="20"/>
    <s v="Student"/>
    <n v="47"/>
    <n v="1"/>
    <n v="1382.8"/>
    <d v="2024-11-04T08:10:15"/>
    <n v="16"/>
    <s v="Monday"/>
    <n v="-0.78608231161798603"/>
    <b v="0"/>
    <b v="0"/>
    <b v="1"/>
    <n v="0"/>
    <m/>
    <n v="0"/>
    <m/>
  </r>
  <r>
    <s v="TX001064"/>
    <s v="AC00025"/>
    <n v="65.260000000000005"/>
    <d v="2023-12-08T17:05:35"/>
    <s v="Debit"/>
    <x v="30"/>
    <s v="D000489"/>
    <s v="77.208.193.198"/>
    <s v="M026"/>
    <s v="Branch"/>
    <n v="26"/>
    <s v="Student"/>
    <n v="72"/>
    <n v="1"/>
    <n v="7380.63"/>
    <d v="2024-11-04T08:10:54"/>
    <n v="17"/>
    <s v="Friday"/>
    <n v="-0.79581012988718702"/>
    <b v="0"/>
    <b v="0"/>
    <b v="1"/>
    <n v="0"/>
    <m/>
    <n v="0"/>
    <m/>
  </r>
  <r>
    <s v="TX001065"/>
    <s v="AC00158"/>
    <n v="191.62"/>
    <d v="2023-07-28T17:19:48"/>
    <s v="Debit"/>
    <x v="36"/>
    <s v="D000663"/>
    <s v="165.114.224.47"/>
    <s v="M016"/>
    <s v="Branch"/>
    <n v="63"/>
    <s v="Doctor"/>
    <n v="51"/>
    <n v="1"/>
    <n v="1981.67"/>
    <d v="2024-11-04T08:07:04"/>
    <n v="17"/>
    <s v="Friday"/>
    <n v="-0.36299072267022098"/>
    <b v="0"/>
    <b v="0"/>
    <b v="1"/>
    <n v="0"/>
    <m/>
    <n v="0"/>
    <m/>
  </r>
  <r>
    <s v="TX001066"/>
    <s v="AC00041"/>
    <n v="212.88"/>
    <d v="2023-05-19T18:44:23"/>
    <s v="Debit"/>
    <x v="41"/>
    <s v="D000663"/>
    <s v="184.146.10.88"/>
    <s v="M062"/>
    <s v="Online"/>
    <n v="39"/>
    <s v="Doctor"/>
    <n v="122"/>
    <n v="1"/>
    <n v="7036.72"/>
    <d v="2024-11-04T08:11:36"/>
    <n v="18"/>
    <s v="Friday"/>
    <n v="-0.29016909717613598"/>
    <b v="0"/>
    <b v="0"/>
    <b v="1"/>
    <n v="0"/>
    <m/>
    <n v="0"/>
    <m/>
  </r>
  <r>
    <s v="TX001067"/>
    <s v="AC00458"/>
    <n v="88.38"/>
    <d v="2023-01-17T16:10:33"/>
    <s v="Debit"/>
    <x v="33"/>
    <s v="D000100"/>
    <s v="19.20.13.234"/>
    <s v="M026"/>
    <s v="ATM"/>
    <n v="30"/>
    <s v="Engineer"/>
    <n v="138"/>
    <n v="1"/>
    <n v="3707.82"/>
    <d v="2024-11-04T08:08:14"/>
    <n v="16"/>
    <s v="Tuesday"/>
    <n v="-0.716617468484399"/>
    <b v="0"/>
    <b v="0"/>
    <b v="1"/>
    <n v="0"/>
    <m/>
    <n v="0"/>
    <m/>
  </r>
  <r>
    <s v="TX001068"/>
    <s v="AC00248"/>
    <n v="48.77"/>
    <d v="2023-06-15T17:49:07"/>
    <s v="Credit"/>
    <x v="14"/>
    <s v="D000273"/>
    <s v="110.247.153.70"/>
    <s v="M013"/>
    <s v="Online"/>
    <n v="42"/>
    <s v="Engineer"/>
    <n v="51"/>
    <n v="1"/>
    <n v="2040.16"/>
    <d v="2024-11-04T08:08:21"/>
    <n v="17"/>
    <s v="Thursday"/>
    <n v="-0.85229313103476301"/>
    <b v="0"/>
    <b v="0"/>
    <b v="1"/>
    <n v="0"/>
    <m/>
    <n v="0"/>
    <m/>
  </r>
  <r>
    <s v="TX001069"/>
    <s v="AC00356"/>
    <n v="289.10000000000002"/>
    <d v="2023-07-11T16:08:55"/>
    <s v="Debit"/>
    <x v="21"/>
    <s v="D000601"/>
    <s v="105.87.212.115"/>
    <s v="M064"/>
    <s v="ATM"/>
    <n v="27"/>
    <s v="Student"/>
    <n v="206"/>
    <n v="1"/>
    <n v="267.52999999999997"/>
    <d v="2024-11-04T08:09:54"/>
    <n v="16"/>
    <s v="Tuesday"/>
    <n v="-2.9093636444281899E-2"/>
    <b v="0"/>
    <b v="0"/>
    <b v="1"/>
    <n v="0"/>
    <m/>
    <n v="0"/>
    <m/>
  </r>
  <r>
    <s v="TX001070"/>
    <s v="AC00065"/>
    <n v="390.09"/>
    <d v="2023-10-09T16:52:40"/>
    <s v="Debit"/>
    <x v="39"/>
    <s v="D000589"/>
    <s v="48.89.167.189"/>
    <s v="M057"/>
    <s v="Online"/>
    <n v="26"/>
    <s v="Engineer"/>
    <n v="49"/>
    <n v="1"/>
    <n v="2617.23"/>
    <d v="2024-11-04T08:10:14"/>
    <n v="16"/>
    <s v="Monday"/>
    <n v="0.31682621109324"/>
    <b v="0"/>
    <b v="0"/>
    <b v="1"/>
    <n v="0"/>
    <m/>
    <n v="0"/>
    <m/>
  </r>
  <r>
    <s v="TX001071"/>
    <s v="AC00249"/>
    <n v="48.29"/>
    <d v="2023-09-25T17:58:54"/>
    <s v="Debit"/>
    <x v="0"/>
    <s v="D000295"/>
    <s v="221.105.243.251"/>
    <s v="M060"/>
    <s v="Online"/>
    <n v="37"/>
    <s v="Engineer"/>
    <n v="242"/>
    <n v="1"/>
    <n v="8883.4"/>
    <d v="2024-11-04T08:07:56"/>
    <n v="17"/>
    <s v="Monday"/>
    <n v="-0.853937269333783"/>
    <b v="0"/>
    <b v="0"/>
    <b v="1"/>
    <n v="0"/>
    <m/>
    <n v="0"/>
    <m/>
  </r>
  <r>
    <s v="TX001072"/>
    <s v="AC00497"/>
    <n v="333.83"/>
    <d v="2023-07-31T17:46:50"/>
    <s v="Debit"/>
    <x v="41"/>
    <s v="D000063"/>
    <s v="121.67.144.20"/>
    <s v="M097"/>
    <s v="ATM"/>
    <n v="63"/>
    <s v="Retired"/>
    <n v="135"/>
    <n v="1"/>
    <n v="1660.66"/>
    <d v="2024-11-04T08:11:07"/>
    <n v="17"/>
    <s v="Monday"/>
    <n v="0.124119501295626"/>
    <b v="0"/>
    <b v="0"/>
    <b v="1"/>
    <n v="0"/>
    <m/>
    <n v="0"/>
    <m/>
  </r>
  <r>
    <s v="TX001073"/>
    <s v="AC00045"/>
    <n v="1074.29"/>
    <d v="2023-01-05T16:43:14"/>
    <s v="Debit"/>
    <x v="42"/>
    <s v="D000147"/>
    <s v="138.210.196.19"/>
    <s v="M081"/>
    <s v="Branch"/>
    <n v="67"/>
    <s v="Retired"/>
    <n v="79"/>
    <n v="1"/>
    <n v="2011.6"/>
    <d v="2024-11-04T08:11:13"/>
    <n v="16"/>
    <s v="Thursday"/>
    <n v="2.66040834482106"/>
    <b v="1"/>
    <b v="0"/>
    <b v="1"/>
    <n v="1"/>
    <m/>
    <n v="1"/>
    <m/>
  </r>
  <r>
    <s v="TX001074"/>
    <s v="AC00442"/>
    <n v="100.27"/>
    <d v="2023-07-10T17:25:41"/>
    <s v="Debit"/>
    <x v="19"/>
    <s v="D000298"/>
    <s v="144.91.150.133"/>
    <s v="M045"/>
    <s v="Online"/>
    <n v="79"/>
    <s v="Retired"/>
    <n v="51"/>
    <n v="1"/>
    <n v="4309.8999999999996"/>
    <d v="2024-11-04T08:10:38"/>
    <n v="17"/>
    <s v="Monday"/>
    <n v="-0.67589079270242902"/>
    <b v="0"/>
    <b v="0"/>
    <b v="1"/>
    <n v="0"/>
    <m/>
    <n v="0"/>
    <m/>
  </r>
  <r>
    <s v="TX001075"/>
    <s v="AC00248"/>
    <n v="44.54"/>
    <d v="2023-10-16T16:23:58"/>
    <s v="Debit"/>
    <x v="25"/>
    <s v="D000046"/>
    <s v="81.67.222.238"/>
    <s v="M048"/>
    <s v="ATM"/>
    <n v="31"/>
    <s v="Engineer"/>
    <n v="164"/>
    <n v="1"/>
    <n v="362.4"/>
    <d v="2024-11-04T08:07:59"/>
    <n v="16"/>
    <s v="Monday"/>
    <n v="-0.86678209979487497"/>
    <b v="0"/>
    <b v="0"/>
    <b v="1"/>
    <n v="0"/>
    <m/>
    <n v="0"/>
    <m/>
  </r>
  <r>
    <s v="TX001076"/>
    <s v="AC00078"/>
    <n v="1156.18"/>
    <d v="2023-09-21T16:11:47"/>
    <s v="Credit"/>
    <x v="37"/>
    <s v="D000022"/>
    <s v="40.45.69.120"/>
    <s v="M054"/>
    <s v="Online"/>
    <n v="52"/>
    <s v="Doctor"/>
    <n v="40"/>
    <n v="1"/>
    <n v="836.69"/>
    <d v="2024-11-04T08:11:37"/>
    <n v="16"/>
    <s v="Thursday"/>
    <n v="2.9409051892100799"/>
    <b v="1"/>
    <b v="0"/>
    <b v="1"/>
    <n v="1"/>
    <m/>
    <n v="1"/>
    <m/>
  </r>
  <r>
    <s v="TX001077"/>
    <s v="AC00345"/>
    <n v="82.17"/>
    <d v="2023-12-18T18:25:05"/>
    <s v="Debit"/>
    <x v="18"/>
    <s v="D000669"/>
    <s v="130.29.230.16"/>
    <s v="M096"/>
    <s v="Branch"/>
    <n v="28"/>
    <s v="Student"/>
    <n v="21"/>
    <n v="1"/>
    <n v="1913.06"/>
    <d v="2024-11-04T08:09:37"/>
    <n v="18"/>
    <s v="Monday"/>
    <n v="-0.73788850772796799"/>
    <b v="0"/>
    <b v="0"/>
    <b v="1"/>
    <n v="0"/>
    <m/>
    <n v="0"/>
    <m/>
  </r>
  <r>
    <s v="TX001078"/>
    <s v="AC00331"/>
    <n v="1045.45"/>
    <d v="2023-10-30T16:45:47"/>
    <s v="Debit"/>
    <x v="21"/>
    <s v="D000547"/>
    <s v="199.103.32.145"/>
    <s v="M036"/>
    <s v="Online"/>
    <n v="19"/>
    <s v="Student"/>
    <n v="150"/>
    <n v="1"/>
    <n v="563.46"/>
    <d v="2024-11-04T08:11:59"/>
    <n v="16"/>
    <s v="Monday"/>
    <n v="2.5616230353549501"/>
    <b v="1"/>
    <b v="0"/>
    <b v="1"/>
    <n v="1"/>
    <m/>
    <n v="1"/>
    <m/>
  </r>
  <r>
    <s v="TX001079"/>
    <s v="AC00332"/>
    <n v="447.42"/>
    <d v="2023-12-18T16:32:56"/>
    <s v="Debit"/>
    <x v="27"/>
    <s v="D000279"/>
    <s v="213.15.9.253"/>
    <s v="M056"/>
    <s v="Online"/>
    <n v="32"/>
    <s v="Engineer"/>
    <n v="65"/>
    <n v="1"/>
    <n v="6133.22"/>
    <d v="2024-11-04T08:08:15"/>
    <n v="16"/>
    <s v="Monday"/>
    <n v="0.51319797918241805"/>
    <b v="0"/>
    <b v="0"/>
    <b v="1"/>
    <n v="0"/>
    <m/>
    <n v="0"/>
    <m/>
  </r>
  <r>
    <s v="TX001080"/>
    <s v="AC00448"/>
    <n v="590.26"/>
    <d v="2023-06-19T16:20:40"/>
    <s v="Credit"/>
    <x v="14"/>
    <s v="D000519"/>
    <s v="168.55.35.243"/>
    <s v="M089"/>
    <s v="Branch"/>
    <n v="25"/>
    <s v="Student"/>
    <n v="48"/>
    <n v="1"/>
    <n v="1068.28"/>
    <d v="2024-11-04T08:08:42"/>
    <n v="16"/>
    <s v="Monday"/>
    <n v="1.00246613466573"/>
    <b v="0"/>
    <b v="0"/>
    <b v="1"/>
    <n v="0"/>
    <m/>
    <n v="0"/>
    <m/>
  </r>
  <r>
    <s v="TX001081"/>
    <s v="AC00102"/>
    <n v="192.73"/>
    <d v="2023-10-16T16:51:25"/>
    <s v="Debit"/>
    <x v="20"/>
    <s v="D000391"/>
    <s v="182.84.41.229"/>
    <s v="M027"/>
    <s v="Branch"/>
    <n v="71"/>
    <s v="Retired"/>
    <n v="157"/>
    <n v="1"/>
    <n v="2037.75"/>
    <d v="2024-11-04T08:11:39"/>
    <n v="16"/>
    <s v="Monday"/>
    <n v="-0.35918865285373802"/>
    <b v="0"/>
    <b v="0"/>
    <b v="1"/>
    <n v="0"/>
    <m/>
    <n v="0"/>
    <m/>
  </r>
  <r>
    <s v="TX001082"/>
    <s v="AC00200"/>
    <n v="146.01"/>
    <d v="2023-04-25T16:28:35"/>
    <s v="Debit"/>
    <x v="23"/>
    <s v="D000270"/>
    <s v="72.192.101.196"/>
    <s v="M017"/>
    <s v="Online"/>
    <n v="26"/>
    <s v="Student"/>
    <n v="269"/>
    <n v="1"/>
    <n v="221.79"/>
    <d v="2024-11-04T08:09:53"/>
    <n v="16"/>
    <s v="Tuesday"/>
    <n v="-0.51921811395833295"/>
    <b v="0"/>
    <b v="0"/>
    <b v="1"/>
    <n v="0"/>
    <m/>
    <n v="0"/>
    <m/>
  </r>
  <r>
    <s v="TX001083"/>
    <s v="AC00200"/>
    <n v="136.05000000000001"/>
    <d v="2023-01-23T16:19:25"/>
    <s v="Debit"/>
    <x v="4"/>
    <s v="D000362"/>
    <s v="82.115.199.37"/>
    <s v="M068"/>
    <s v="Online"/>
    <n v="24"/>
    <s v="Student"/>
    <n v="63"/>
    <n v="3"/>
    <n v="1127.54"/>
    <d v="2024-11-04T08:12:00"/>
    <n v="16"/>
    <s v="Monday"/>
    <n v="-0.55333398366299402"/>
    <b v="0"/>
    <b v="1"/>
    <b v="1"/>
    <n v="1"/>
    <m/>
    <n v="0"/>
    <m/>
  </r>
  <r>
    <s v="TX001084"/>
    <s v="AC00086"/>
    <n v="11.57"/>
    <d v="2023-12-20T16:17:16"/>
    <s v="Credit"/>
    <x v="22"/>
    <s v="D000550"/>
    <s v="116.106.207.139"/>
    <s v="M037"/>
    <s v="Branch"/>
    <n v="56"/>
    <s v="Retired"/>
    <n v="64"/>
    <n v="1"/>
    <n v="2061.61"/>
    <d v="2024-11-04T08:10:56"/>
    <n v="16"/>
    <s v="Wednesday"/>
    <n v="-0.979713849208798"/>
    <b v="0"/>
    <b v="0"/>
    <b v="1"/>
    <n v="0"/>
    <m/>
    <n v="0"/>
    <m/>
  </r>
  <r>
    <s v="TX001085"/>
    <s v="AC00139"/>
    <n v="102.34"/>
    <d v="2023-05-18T16:19:38"/>
    <s v="Debit"/>
    <x v="25"/>
    <s v="D000376"/>
    <s v="116.43.88.219"/>
    <s v="M076"/>
    <s v="Online"/>
    <n v="51"/>
    <s v="Doctor"/>
    <n v="78"/>
    <n v="1"/>
    <n v="9326.2800000000007"/>
    <d v="2024-11-04T08:09:36"/>
    <n v="16"/>
    <s v="Thursday"/>
    <n v="-0.66880044628790603"/>
    <b v="0"/>
    <b v="0"/>
    <b v="1"/>
    <n v="0"/>
    <m/>
    <n v="0"/>
    <m/>
  </r>
  <r>
    <s v="TX001086"/>
    <s v="AC00154"/>
    <n v="7.82"/>
    <d v="2023-01-09T17:56:30"/>
    <s v="Debit"/>
    <x v="35"/>
    <s v="D000063"/>
    <s v="40.45.69.120"/>
    <s v="M090"/>
    <s v="ATM"/>
    <n v="36"/>
    <s v="Engineer"/>
    <n v="273"/>
    <n v="1"/>
    <n v="2240.4899999999998"/>
    <d v="2024-11-04T08:09:35"/>
    <n v="17"/>
    <s v="Monday"/>
    <n v="-0.99255867966989098"/>
    <b v="0"/>
    <b v="0"/>
    <b v="1"/>
    <n v="0"/>
    <m/>
    <n v="0"/>
    <m/>
  </r>
  <r>
    <s v="TX001087"/>
    <s v="AC00403"/>
    <n v="79.430000000000007"/>
    <d v="2023-07-24T17:30:24"/>
    <s v="Debit"/>
    <x v="34"/>
    <s v="D000393"/>
    <s v="143.212.47.226"/>
    <s v="M009"/>
    <s v="ATM"/>
    <n v="74"/>
    <s v="Retired"/>
    <n v="72"/>
    <n v="1"/>
    <n v="6579.37"/>
    <d v="2024-11-04T08:07:37"/>
    <n v="17"/>
    <s v="Monday"/>
    <n v="-0.74727379718487297"/>
    <b v="0"/>
    <b v="0"/>
    <b v="1"/>
    <n v="0"/>
    <m/>
    <n v="0"/>
    <m/>
  </r>
  <r>
    <s v="TX001088"/>
    <s v="AC00330"/>
    <n v="386.97"/>
    <d v="2023-01-31T16:51:55"/>
    <s v="Debit"/>
    <x v="3"/>
    <s v="D000324"/>
    <s v="107.247.202.71"/>
    <s v="M098"/>
    <s v="Branch"/>
    <n v="58"/>
    <s v="Retired"/>
    <n v="137"/>
    <n v="1"/>
    <n v="1876.35"/>
    <d v="2024-11-04T08:06:24"/>
    <n v="16"/>
    <s v="Tuesday"/>
    <n v="0.30613931214961099"/>
    <b v="0"/>
    <b v="0"/>
    <b v="1"/>
    <n v="0"/>
    <m/>
    <n v="0"/>
    <m/>
  </r>
  <r>
    <s v="TX001089"/>
    <s v="AC00362"/>
    <n v="51.22"/>
    <d v="2023-06-29T16:11:08"/>
    <s v="Debit"/>
    <x v="41"/>
    <s v="D000083"/>
    <s v="49.29.37.185"/>
    <s v="M040"/>
    <s v="Branch"/>
    <n v="23"/>
    <s v="Student"/>
    <n v="82"/>
    <n v="1"/>
    <n v="1664.59"/>
    <d v="2024-11-04T08:10:07"/>
    <n v="16"/>
    <s v="Thursday"/>
    <n v="-0.84390117513351603"/>
    <b v="0"/>
    <b v="0"/>
    <b v="1"/>
    <n v="0"/>
    <m/>
    <n v="0"/>
    <m/>
  </r>
  <r>
    <s v="TX001090"/>
    <s v="AC00423"/>
    <n v="256.05"/>
    <d v="2023-06-07T16:26:52"/>
    <s v="Debit"/>
    <x v="9"/>
    <s v="D000304"/>
    <s v="4.105.134.118"/>
    <s v="M009"/>
    <s v="ATM"/>
    <n v="54"/>
    <s v="Retired"/>
    <n v="35"/>
    <n v="1"/>
    <n v="6910.18"/>
    <d v="2024-11-04T08:11:46"/>
    <n v="16"/>
    <s v="Wednesday"/>
    <n v="-0.14229940890804099"/>
    <b v="0"/>
    <b v="0"/>
    <b v="1"/>
    <n v="0"/>
    <m/>
    <n v="0"/>
    <m/>
  </r>
  <r>
    <s v="TX001091"/>
    <s v="AC00286"/>
    <n v="7.79"/>
    <d v="2023-06-16T17:33:15"/>
    <s v="Debit"/>
    <x v="16"/>
    <s v="D000214"/>
    <s v="221.105.243.251"/>
    <s v="M097"/>
    <s v="Branch"/>
    <n v="34"/>
    <s v="Doctor"/>
    <n v="298"/>
    <n v="1"/>
    <n v="1319.85"/>
    <d v="2024-11-04T08:09:15"/>
    <n v="17"/>
    <s v="Friday"/>
    <n v="-0.992661438313579"/>
    <b v="0"/>
    <b v="0"/>
    <b v="1"/>
    <n v="0"/>
    <m/>
    <n v="0"/>
    <m/>
  </r>
  <r>
    <s v="TX001092"/>
    <s v="AC00332"/>
    <n v="233.71"/>
    <d v="2023-10-03T17:06:56"/>
    <s v="Debit"/>
    <x v="12"/>
    <s v="D000476"/>
    <s v="35.67.21.23"/>
    <s v="M073"/>
    <s v="Branch"/>
    <n v="63"/>
    <s v="Doctor"/>
    <n v="11"/>
    <n v="1"/>
    <n v="6095.5"/>
    <d v="2024-11-04T08:08:48"/>
    <n v="17"/>
    <s v="Tuesday"/>
    <n v="-0.218820345574922"/>
    <b v="0"/>
    <b v="0"/>
    <b v="1"/>
    <n v="0"/>
    <m/>
    <n v="0"/>
    <m/>
  </r>
  <r>
    <s v="TX001093"/>
    <s v="AC00080"/>
    <n v="176.37"/>
    <d v="2023-01-16T16:38:57"/>
    <s v="Debit"/>
    <x v="35"/>
    <s v="D000501"/>
    <s v="129.102.184.189"/>
    <s v="M057"/>
    <s v="Branch"/>
    <n v="55"/>
    <s v="Retired"/>
    <n v="126"/>
    <n v="1"/>
    <n v="2420.86"/>
    <d v="2024-11-04T08:07:09"/>
    <n v="16"/>
    <s v="Monday"/>
    <n v="-0.41522636654533002"/>
    <b v="0"/>
    <b v="0"/>
    <b v="1"/>
    <n v="0"/>
    <m/>
    <n v="0"/>
    <m/>
  </r>
  <r>
    <s v="TX001094"/>
    <s v="AC00150"/>
    <n v="122.63"/>
    <d v="2023-04-20T18:39:10"/>
    <s v="Debit"/>
    <x v="20"/>
    <s v="D000112"/>
    <s v="219.193.239.152"/>
    <s v="M029"/>
    <s v="Branch"/>
    <n v="21"/>
    <s v="Student"/>
    <n v="153"/>
    <n v="1"/>
    <n v="359.06"/>
    <d v="2024-11-04T08:10:10"/>
    <n v="18"/>
    <s v="Thursday"/>
    <n v="-0.59930135027308995"/>
    <b v="0"/>
    <b v="0"/>
    <b v="1"/>
    <n v="0"/>
    <m/>
    <n v="0"/>
    <m/>
  </r>
  <r>
    <s v="TX001095"/>
    <s v="AC00441"/>
    <n v="86.41"/>
    <d v="2023-03-27T17:54:30"/>
    <s v="Debit"/>
    <x v="41"/>
    <s v="D000061"/>
    <s v="168.55.199.214"/>
    <s v="M099"/>
    <s v="ATM"/>
    <n v="75"/>
    <s v="Retired"/>
    <n v="125"/>
    <n v="1"/>
    <n v="3128.71"/>
    <d v="2024-11-04T08:11:25"/>
    <n v="17"/>
    <s v="Monday"/>
    <n v="-0.72336528608662598"/>
    <b v="0"/>
    <b v="0"/>
    <b v="1"/>
    <n v="0"/>
    <m/>
    <n v="0"/>
    <m/>
  </r>
  <r>
    <s v="TX001096"/>
    <s v="AC00196"/>
    <n v="21.57"/>
    <d v="2023-10-26T16:11:13"/>
    <s v="Debit"/>
    <x v="23"/>
    <s v="D000655"/>
    <s v="136.105.231.135"/>
    <s v="M071"/>
    <s v="ATM"/>
    <n v="54"/>
    <s v="Retired"/>
    <n v="71"/>
    <n v="1"/>
    <n v="7587.48"/>
    <d v="2024-11-04T08:09:29"/>
    <n v="16"/>
    <s v="Thursday"/>
    <n v="-0.94546096797921897"/>
    <b v="0"/>
    <b v="0"/>
    <b v="1"/>
    <n v="0"/>
    <m/>
    <n v="0"/>
    <m/>
  </r>
  <r>
    <s v="TX001097"/>
    <s v="AC00444"/>
    <n v="82.67"/>
    <d v="2023-08-25T16:40:17"/>
    <s v="Debit"/>
    <x v="20"/>
    <s v="D000466"/>
    <s v="185.23.87.107"/>
    <s v="M014"/>
    <s v="Branch"/>
    <n v="26"/>
    <s v="Student"/>
    <n v="46"/>
    <n v="1"/>
    <n v="290.58999999999997"/>
    <d v="2024-11-04T08:07:11"/>
    <n v="16"/>
    <s v="Friday"/>
    <n v="-0.73617586366648902"/>
    <b v="0"/>
    <b v="0"/>
    <b v="1"/>
    <n v="0"/>
    <m/>
    <n v="0"/>
    <m/>
  </r>
  <r>
    <s v="TX001098"/>
    <s v="AC00295"/>
    <n v="451.35"/>
    <d v="2023-09-05T18:45:04"/>
    <s v="Credit"/>
    <x v="21"/>
    <s v="D000440"/>
    <s v="42.61.10.112"/>
    <s v="M028"/>
    <s v="Branch"/>
    <n v="47"/>
    <s v="Engineer"/>
    <n v="223"/>
    <n v="1"/>
    <n v="7707.96"/>
    <d v="2024-11-04T08:07:07"/>
    <n v="18"/>
    <s v="Tuesday"/>
    <n v="0.52665936150564296"/>
    <b v="0"/>
    <b v="0"/>
    <b v="1"/>
    <n v="0"/>
    <m/>
    <n v="0"/>
    <m/>
  </r>
  <r>
    <s v="TX001099"/>
    <s v="AC00157"/>
    <n v="299.42"/>
    <d v="2023-12-04T17:25:18"/>
    <s v="Credit"/>
    <x v="24"/>
    <s v="D000516"/>
    <s v="133.63.96.21"/>
    <s v="M005"/>
    <s v="Branch"/>
    <n v="63"/>
    <s v="Retired"/>
    <n v="53"/>
    <n v="1"/>
    <n v="4735.41"/>
    <d v="2024-11-04T08:09:38"/>
    <n v="17"/>
    <s v="Monday"/>
    <n v="6.2553369846439603E-3"/>
    <b v="0"/>
    <b v="0"/>
    <b v="1"/>
    <n v="0"/>
    <m/>
    <n v="0"/>
    <m/>
  </r>
  <r>
    <s v="TX001100"/>
    <s v="AC00456"/>
    <n v="543.47"/>
    <d v="2023-08-14T17:18:07"/>
    <s v="Debit"/>
    <x v="16"/>
    <s v="D000388"/>
    <s v="160.212.125.105"/>
    <s v="M092"/>
    <s v="ATM"/>
    <n v="18"/>
    <s v="Student"/>
    <n v="122"/>
    <n v="1"/>
    <n v="6165.03"/>
    <d v="2024-11-04T08:11:42"/>
    <n v="17"/>
    <s v="Monday"/>
    <n v="0.84219690339252895"/>
    <b v="0"/>
    <b v="0"/>
    <b v="1"/>
    <n v="0"/>
    <m/>
    <n v="0"/>
    <m/>
  </r>
  <r>
    <s v="TX001101"/>
    <s v="AC00271"/>
    <n v="346.76"/>
    <d v="2023-12-29T16:32:37"/>
    <s v="Credit"/>
    <x v="24"/>
    <s v="D000299"/>
    <s v="39.129.125.110"/>
    <s v="M055"/>
    <s v="Branch"/>
    <n v="21"/>
    <s v="Student"/>
    <n v="116"/>
    <n v="1"/>
    <n v="1637.75"/>
    <d v="2024-11-04T08:09:55"/>
    <n v="16"/>
    <s v="Friday"/>
    <n v="0.16840847672547199"/>
    <b v="0"/>
    <b v="0"/>
    <b v="1"/>
    <n v="0"/>
    <m/>
    <n v="0"/>
    <m/>
  </r>
  <r>
    <s v="TX001102"/>
    <s v="AC00462"/>
    <n v="47.48"/>
    <d v="2023-02-20T16:47:23"/>
    <s v="Debit"/>
    <x v="39"/>
    <s v="D000198"/>
    <s v="196.244.194.198"/>
    <s v="M027"/>
    <s v="Branch"/>
    <n v="24"/>
    <s v="Student"/>
    <n v="66"/>
    <n v="1"/>
    <n v="585.52"/>
    <d v="2024-11-04T08:08:50"/>
    <n v="16"/>
    <s v="Monday"/>
    <n v="-0.85671175271337896"/>
    <b v="0"/>
    <b v="0"/>
    <b v="1"/>
    <n v="0"/>
    <m/>
    <n v="0"/>
    <m/>
  </r>
  <r>
    <s v="TX001103"/>
    <s v="AC00310"/>
    <n v="64.92"/>
    <d v="2023-05-19T18:47:11"/>
    <s v="Debit"/>
    <x v="4"/>
    <s v="D000110"/>
    <s v="186.57.149.225"/>
    <s v="M082"/>
    <s v="Branch"/>
    <n v="58"/>
    <s v="Engineer"/>
    <n v="236"/>
    <n v="1"/>
    <n v="5481.76"/>
    <d v="2024-11-04T08:11:10"/>
    <n v="18"/>
    <s v="Friday"/>
    <n v="-0.79697472784899204"/>
    <b v="0"/>
    <b v="0"/>
    <b v="1"/>
    <n v="0"/>
    <m/>
    <n v="0"/>
    <m/>
  </r>
  <r>
    <s v="TX001104"/>
    <s v="AC00189"/>
    <n v="350.72"/>
    <d v="2023-08-02T16:37:39"/>
    <s v="Credit"/>
    <x v="41"/>
    <s v="D000679"/>
    <s v="46.150.175.171"/>
    <s v="M035"/>
    <s v="ATM"/>
    <n v="28"/>
    <s v="Student"/>
    <n v="48"/>
    <n v="1"/>
    <n v="1982.9"/>
    <d v="2024-11-04T08:07:16"/>
    <n v="16"/>
    <s v="Wednesday"/>
    <n v="0.18197261769238601"/>
    <b v="0"/>
    <b v="0"/>
    <b v="1"/>
    <n v="0"/>
    <m/>
    <n v="0"/>
    <m/>
  </r>
  <r>
    <s v="TX001105"/>
    <s v="AC00328"/>
    <n v="3.8"/>
    <d v="2023-08-01T16:13:25"/>
    <s v="Debit"/>
    <x v="27"/>
    <s v="D000286"/>
    <s v="8.244.162.185"/>
    <s v="M057"/>
    <s v="Online"/>
    <n v="65"/>
    <s v="Doctor"/>
    <n v="174"/>
    <n v="1"/>
    <n v="5766.96"/>
    <d v="2024-11-04T08:12:18"/>
    <n v="16"/>
    <s v="Tuesday"/>
    <n v="-1.0063283379241801"/>
    <b v="0"/>
    <b v="0"/>
    <b v="1"/>
    <n v="0"/>
    <m/>
    <n v="0"/>
    <m/>
  </r>
  <r>
    <s v="TX001106"/>
    <s v="AC00057"/>
    <n v="22.54"/>
    <d v="2023-08-29T16:19:14"/>
    <s v="Debit"/>
    <x v="39"/>
    <s v="D000075"/>
    <s v="161.161.26.115"/>
    <s v="M044"/>
    <s v="Online"/>
    <n v="26"/>
    <s v="Engineer"/>
    <n v="42"/>
    <n v="1"/>
    <n v="7139.11"/>
    <d v="2024-11-04T08:10:34"/>
    <n v="16"/>
    <s v="Tuesday"/>
    <n v="-0.94213843849995005"/>
    <b v="0"/>
    <b v="0"/>
    <b v="1"/>
    <n v="0"/>
    <m/>
    <n v="0"/>
    <m/>
  </r>
  <r>
    <s v="TX001107"/>
    <s v="AC00360"/>
    <n v="767.14"/>
    <d v="2023-08-29T16:24:23"/>
    <s v="Credit"/>
    <x v="2"/>
    <s v="D000441"/>
    <s v="16.94.155.46"/>
    <s v="M039"/>
    <s v="Branch"/>
    <n v="62"/>
    <s v="Retired"/>
    <n v="38"/>
    <n v="1"/>
    <n v="4732.57"/>
    <d v="2024-11-04T08:08:42"/>
    <n v="16"/>
    <s v="Tuesday"/>
    <n v="1.60833109785453"/>
    <b v="0"/>
    <b v="0"/>
    <b v="1"/>
    <n v="0"/>
    <m/>
    <n v="0"/>
    <m/>
  </r>
  <r>
    <s v="TX001108"/>
    <s v="AC00209"/>
    <n v="167.47"/>
    <d v="2023-12-01T17:45:19"/>
    <s v="Debit"/>
    <x v="30"/>
    <s v="D000002"/>
    <s v="175.166.115.182"/>
    <s v="M024"/>
    <s v="ATM"/>
    <n v="35"/>
    <s v="Engineer"/>
    <n v="103"/>
    <n v="1"/>
    <n v="2293.13"/>
    <d v="2024-11-04T08:12:04"/>
    <n v="17"/>
    <s v="Friday"/>
    <n v="-0.44571143083965598"/>
    <b v="0"/>
    <b v="0"/>
    <b v="1"/>
    <n v="0"/>
    <m/>
    <n v="0"/>
    <m/>
  </r>
  <r>
    <s v="TX001109"/>
    <s v="AC00390"/>
    <n v="43.65"/>
    <d v="2023-10-30T16:23:34"/>
    <s v="Credit"/>
    <x v="27"/>
    <s v="D000236"/>
    <s v="41.82.55.163"/>
    <s v="M066"/>
    <s v="Branch"/>
    <n v="30"/>
    <s v="Engineer"/>
    <n v="212"/>
    <n v="1"/>
    <n v="2870.67"/>
    <d v="2024-11-04T08:11:55"/>
    <n v="16"/>
    <s v="Monday"/>
    <n v="-0.86983060622430797"/>
    <b v="0"/>
    <b v="0"/>
    <b v="1"/>
    <n v="0"/>
    <m/>
    <n v="0"/>
    <m/>
  </r>
  <r>
    <s v="TX001110"/>
    <s v="AC00061"/>
    <n v="391.08"/>
    <d v="2023-04-28T17:12:06"/>
    <s v="Debit"/>
    <x v="41"/>
    <s v="D000290"/>
    <s v="35.220.238.127"/>
    <s v="M029"/>
    <s v="Online"/>
    <n v="56"/>
    <s v="Retired"/>
    <n v="105"/>
    <n v="1"/>
    <n v="6885.16"/>
    <d v="2024-11-04T08:10:52"/>
    <n v="17"/>
    <s v="Friday"/>
    <n v="0.32021724633496801"/>
    <b v="0"/>
    <b v="0"/>
    <b v="1"/>
    <n v="0"/>
    <m/>
    <n v="0"/>
    <m/>
  </r>
  <r>
    <s v="TX001111"/>
    <s v="AC00345"/>
    <n v="390.77"/>
    <d v="2023-10-30T16:02:32"/>
    <s v="Debit"/>
    <x v="42"/>
    <s v="D000548"/>
    <s v="180.224.54.115"/>
    <s v="M045"/>
    <s v="Online"/>
    <n v="44"/>
    <s v="Doctor"/>
    <n v="34"/>
    <n v="1"/>
    <n v="5500.56"/>
    <d v="2024-11-04T08:09:06"/>
    <n v="16"/>
    <s v="Monday"/>
    <n v="0.31915540701685102"/>
    <b v="0"/>
    <b v="0"/>
    <b v="1"/>
    <n v="0"/>
    <m/>
    <n v="0"/>
    <m/>
  </r>
  <r>
    <s v="TX001112"/>
    <s v="AC00254"/>
    <n v="508.16"/>
    <d v="2023-03-28T18:19:10"/>
    <s v="Debit"/>
    <x v="2"/>
    <s v="D000010"/>
    <s v="7.28.148.225"/>
    <s v="M038"/>
    <s v="ATM"/>
    <n v="39"/>
    <s v="Engineer"/>
    <n v="131"/>
    <n v="1"/>
    <n v="5609.44"/>
    <d v="2024-11-04T08:09:54"/>
    <n v="18"/>
    <s v="Tuesday"/>
    <n v="0.72124997977088401"/>
    <b v="0"/>
    <b v="0"/>
    <b v="1"/>
    <n v="0"/>
    <m/>
    <n v="0"/>
    <m/>
  </r>
  <r>
    <s v="TX001113"/>
    <s v="AC00271"/>
    <n v="36.76"/>
    <d v="2023-04-10T16:51:43"/>
    <s v="Credit"/>
    <x v="26"/>
    <s v="D000380"/>
    <s v="58.1.27.124"/>
    <s v="M053"/>
    <s v="Online"/>
    <n v="65"/>
    <s v="Retired"/>
    <n v="108"/>
    <n v="1"/>
    <n v="1228.93"/>
    <d v="2024-11-04T08:12:08"/>
    <n v="16"/>
    <s v="Monday"/>
    <n v="-0.89343084139148798"/>
    <b v="0"/>
    <b v="0"/>
    <b v="1"/>
    <n v="0"/>
    <m/>
    <n v="0"/>
    <m/>
  </r>
  <r>
    <s v="TX001114"/>
    <s v="AC00451"/>
    <n v="332.33"/>
    <d v="2023-06-20T17:05:38"/>
    <s v="Debit"/>
    <x v="31"/>
    <s v="D000128"/>
    <s v="52.1.78.30"/>
    <s v="M039"/>
    <s v="ATM"/>
    <n v="27"/>
    <s v="Student"/>
    <n v="101"/>
    <n v="1"/>
    <n v="192.63"/>
    <d v="2024-11-04T08:11:27"/>
    <n v="17"/>
    <s v="Tuesday"/>
    <n v="0.118981569111189"/>
    <b v="0"/>
    <b v="0"/>
    <b v="1"/>
    <n v="0"/>
    <m/>
    <n v="0"/>
    <m/>
  </r>
  <r>
    <s v="TX001115"/>
    <s v="AC00061"/>
    <n v="362.09"/>
    <d v="2023-02-27T16:59:07"/>
    <s v="Debit"/>
    <x v="22"/>
    <s v="D000449"/>
    <s v="187.52.200.18"/>
    <s v="M093"/>
    <s v="Branch"/>
    <n v="32"/>
    <s v="Engineer"/>
    <n v="31"/>
    <n v="1"/>
    <n v="6590.28"/>
    <d v="2024-11-04T08:07:38"/>
    <n v="16"/>
    <s v="Monday"/>
    <n v="0.22091814365041701"/>
    <b v="0"/>
    <b v="0"/>
    <b v="1"/>
    <n v="0"/>
    <m/>
    <n v="0"/>
    <m/>
  </r>
  <r>
    <s v="TX001116"/>
    <s v="AC00245"/>
    <n v="42.58"/>
    <d v="2023-02-06T16:32:53"/>
    <s v="Debit"/>
    <x v="24"/>
    <s v="D000388"/>
    <s v="214.247.164.80"/>
    <s v="M057"/>
    <s v="Online"/>
    <n v="30"/>
    <s v="Doctor"/>
    <n v="80"/>
    <n v="1"/>
    <n v="13485"/>
    <d v="2024-11-04T08:10:23"/>
    <n v="16"/>
    <s v="Monday"/>
    <n v="-0.87349566451587302"/>
    <b v="0"/>
    <b v="0"/>
    <b v="1"/>
    <n v="0"/>
    <m/>
    <n v="0"/>
    <m/>
  </r>
  <r>
    <s v="TX001117"/>
    <s v="AC00105"/>
    <n v="122.35"/>
    <d v="2023-04-12T17:50:15"/>
    <s v="Credit"/>
    <x v="4"/>
    <s v="D000649"/>
    <s v="219.219.117.136"/>
    <s v="M008"/>
    <s v="Branch"/>
    <n v="53"/>
    <s v="Retired"/>
    <n v="188"/>
    <n v="1"/>
    <n v="6472.5"/>
    <d v="2024-11-04T08:09:08"/>
    <n v="17"/>
    <s v="Wednesday"/>
    <n v="-0.60026043094751802"/>
    <b v="0"/>
    <b v="0"/>
    <b v="1"/>
    <n v="0"/>
    <m/>
    <n v="0"/>
    <m/>
  </r>
  <r>
    <s v="TX001118"/>
    <s v="AC00122"/>
    <n v="248.66"/>
    <d v="2023-02-03T17:46:54"/>
    <s v="Debit"/>
    <x v="29"/>
    <s v="D000129"/>
    <s v="175.166.115.182"/>
    <s v="M058"/>
    <s v="Online"/>
    <n v="28"/>
    <s v="Engineer"/>
    <n v="113"/>
    <n v="1"/>
    <n v="2571.39"/>
    <d v="2024-11-04T08:11:30"/>
    <n v="17"/>
    <s v="Friday"/>
    <n v="-0.16761228813670101"/>
    <b v="0"/>
    <b v="0"/>
    <b v="1"/>
    <n v="0"/>
    <m/>
    <n v="0"/>
    <m/>
  </r>
  <r>
    <s v="TX001119"/>
    <s v="AC00202"/>
    <n v="461.25"/>
    <d v="2023-08-28T17:32:47"/>
    <s v="Credit"/>
    <x v="30"/>
    <s v="D000612"/>
    <s v="136.172.149.77"/>
    <s v="M044"/>
    <s v="Online"/>
    <n v="54"/>
    <s v="Doctor"/>
    <n v="171"/>
    <n v="1"/>
    <n v="676.1"/>
    <d v="2024-11-04T08:09:11"/>
    <n v="17"/>
    <s v="Monday"/>
    <n v="0.56056971392292698"/>
    <b v="0"/>
    <b v="0"/>
    <b v="1"/>
    <n v="0"/>
    <m/>
    <n v="0"/>
    <m/>
  </r>
  <r>
    <s v="TX001120"/>
    <s v="AC00423"/>
    <n v="61.77"/>
    <d v="2023-09-28T17:06:32"/>
    <s v="Debit"/>
    <x v="27"/>
    <s v="D000327"/>
    <s v="55.154.161.250"/>
    <s v="M082"/>
    <s v="Branch"/>
    <n v="56"/>
    <s v="Doctor"/>
    <n v="49"/>
    <n v="1"/>
    <n v="12352.2"/>
    <d v="2024-11-04T08:11:35"/>
    <n v="17"/>
    <s v="Thursday"/>
    <n v="-0.80776438543631002"/>
    <b v="0"/>
    <b v="0"/>
    <b v="1"/>
    <n v="0"/>
    <m/>
    <n v="0"/>
    <m/>
  </r>
  <r>
    <s v="TX001121"/>
    <s v="AC00362"/>
    <n v="268.92"/>
    <d v="2023-08-14T16:32:28"/>
    <s v="Debit"/>
    <x v="29"/>
    <s v="D000127"/>
    <s v="199.6.127.153"/>
    <s v="M022"/>
    <s v="Branch"/>
    <n v="29"/>
    <s v="Engineer"/>
    <n v="148"/>
    <n v="1"/>
    <n v="8765.3799999999992"/>
    <d v="2024-11-04T08:06:36"/>
    <n v="16"/>
    <s v="Monday"/>
    <n v="-9.8215950765573101E-2"/>
    <b v="0"/>
    <b v="0"/>
    <b v="1"/>
    <n v="0"/>
    <m/>
    <n v="0"/>
    <m/>
  </r>
  <r>
    <s v="TX001122"/>
    <s v="AC00426"/>
    <n v="303.97000000000003"/>
    <d v="2023-02-02T16:55:25"/>
    <s v="Debit"/>
    <x v="18"/>
    <s v="D000215"/>
    <s v="7.146.35.122"/>
    <s v="M056"/>
    <s v="Online"/>
    <n v="24"/>
    <s v="Student"/>
    <n v="77"/>
    <n v="5"/>
    <n v="1590.88"/>
    <d v="2024-11-04T08:07:47"/>
    <n v="16"/>
    <s v="Thursday"/>
    <n v="2.1840397944102599E-2"/>
    <b v="0"/>
    <b v="1"/>
    <b v="1"/>
    <n v="1"/>
    <m/>
    <n v="0"/>
    <m/>
  </r>
  <r>
    <s v="TX001123"/>
    <s v="AC00204"/>
    <n v="219.02"/>
    <d v="2024-01-01T16:30:58"/>
    <s v="Credit"/>
    <x v="0"/>
    <s v="D000442"/>
    <s v="187.223.139.194"/>
    <s v="M093"/>
    <s v="Online"/>
    <n v="54"/>
    <s v="Engineer"/>
    <n v="68"/>
    <n v="1"/>
    <n v="7375.73"/>
    <d v="2024-11-04T08:09:13"/>
    <n v="16"/>
    <s v="Monday"/>
    <n v="-0.26913782810117398"/>
    <b v="0"/>
    <b v="0"/>
    <b v="1"/>
    <n v="0"/>
    <m/>
    <n v="0"/>
    <m/>
  </r>
  <r>
    <s v="TX001124"/>
    <s v="AC00369"/>
    <n v="125.14"/>
    <d v="2023-08-28T17:19:18"/>
    <s v="Debit"/>
    <x v="21"/>
    <s v="D000133"/>
    <s v="48.89.167.189"/>
    <s v="M080"/>
    <s v="Branch"/>
    <n v="20"/>
    <s v="Student"/>
    <n v="31"/>
    <n v="1"/>
    <n v="1845.18"/>
    <d v="2024-11-04T08:10:42"/>
    <n v="17"/>
    <s v="Monday"/>
    <n v="-0.59070387708446503"/>
    <b v="0"/>
    <b v="0"/>
    <b v="1"/>
    <n v="0"/>
    <m/>
    <n v="0"/>
    <m/>
  </r>
  <r>
    <s v="TX001125"/>
    <s v="AC00365"/>
    <n v="47.6"/>
    <d v="2023-02-23T18:42:51"/>
    <s v="Debit"/>
    <x v="14"/>
    <s v="D000591"/>
    <s v="163.58.140.206"/>
    <s v="M026"/>
    <s v="Online"/>
    <n v="53"/>
    <s v="Engineer"/>
    <n v="115"/>
    <n v="1"/>
    <n v="1382.51"/>
    <d v="2024-11-04T08:08:20"/>
    <n v="18"/>
    <s v="Thursday"/>
    <n v="-0.85630071813862396"/>
    <b v="0"/>
    <b v="0"/>
    <b v="1"/>
    <n v="0"/>
    <m/>
    <n v="0"/>
    <m/>
  </r>
  <r>
    <s v="TX001126"/>
    <s v="AC00063"/>
    <n v="592.82000000000005"/>
    <d v="2023-09-14T17:25:49"/>
    <s v="Debit"/>
    <x v="11"/>
    <s v="D000450"/>
    <s v="193.108.17.115"/>
    <s v="M076"/>
    <s v="Online"/>
    <n v="74"/>
    <s v="Retired"/>
    <n v="248"/>
    <n v="1"/>
    <n v="7508.98"/>
    <d v="2024-11-04T08:12:14"/>
    <n v="17"/>
    <s v="Thursday"/>
    <n v="1.0112348722605"/>
    <b v="0"/>
    <b v="0"/>
    <b v="1"/>
    <n v="0"/>
    <m/>
    <n v="0"/>
    <m/>
  </r>
  <r>
    <s v="TX001127"/>
    <s v="AC00455"/>
    <n v="372.5"/>
    <d v="2023-10-16T18:15:48"/>
    <s v="Debit"/>
    <x v="9"/>
    <s v="D000628"/>
    <s v="205.45.234.42"/>
    <s v="M073"/>
    <s v="ATM"/>
    <n v="22"/>
    <s v="Student"/>
    <n v="211"/>
    <n v="1"/>
    <n v="3901.82"/>
    <d v="2024-11-04T08:10:26"/>
    <n v="18"/>
    <s v="Monday"/>
    <n v="0.25657539301040999"/>
    <b v="0"/>
    <b v="0"/>
    <b v="1"/>
    <n v="0"/>
    <m/>
    <n v="0"/>
    <m/>
  </r>
  <r>
    <s v="TX001128"/>
    <s v="AC00415"/>
    <n v="4.72"/>
    <d v="2023-04-17T16:03:52"/>
    <s v="Debit"/>
    <x v="18"/>
    <s v="D000610"/>
    <s v="45.64.74.86"/>
    <s v="M051"/>
    <s v="Branch"/>
    <n v="32"/>
    <s v="Engineer"/>
    <n v="20"/>
    <n v="1"/>
    <n v="4792.01"/>
    <d v="2024-11-04T08:09:28"/>
    <n v="16"/>
    <s v="Monday"/>
    <n v="-1.0031770728510601"/>
    <b v="0"/>
    <b v="0"/>
    <b v="1"/>
    <n v="0"/>
    <m/>
    <n v="0"/>
    <m/>
  </r>
  <r>
    <s v="TX001129"/>
    <s v="AC00279"/>
    <n v="144.93"/>
    <d v="2023-05-16T16:32:00"/>
    <s v="Debit"/>
    <x v="41"/>
    <s v="D000136"/>
    <s v="141.121.30.32"/>
    <s v="M093"/>
    <s v="Branch"/>
    <n v="42"/>
    <s v="Engineer"/>
    <n v="74"/>
    <n v="1"/>
    <n v="6887.52"/>
    <d v="2024-11-04T08:09:18"/>
    <n v="16"/>
    <s v="Tuesday"/>
    <n v="-0.52291742513112804"/>
    <b v="0"/>
    <b v="0"/>
    <b v="1"/>
    <n v="0"/>
    <m/>
    <n v="0"/>
    <m/>
  </r>
  <r>
    <s v="TX001130"/>
    <s v="AC00262"/>
    <n v="316.56"/>
    <d v="2023-08-29T18:30:14"/>
    <s v="Debit"/>
    <x v="13"/>
    <s v="D000457"/>
    <s v="13.188.62.74"/>
    <s v="M052"/>
    <s v="Online"/>
    <n v="28"/>
    <s v="Engineer"/>
    <n v="261"/>
    <n v="1"/>
    <n v="8643.51"/>
    <d v="2024-11-04T08:09:57"/>
    <n v="18"/>
    <s v="Tuesday"/>
    <n v="6.4964775412143003E-2"/>
    <b v="0"/>
    <b v="0"/>
    <b v="1"/>
    <n v="0"/>
    <m/>
    <n v="0"/>
    <m/>
  </r>
  <r>
    <s v="TX001131"/>
    <s v="AC00306"/>
    <n v="9.18"/>
    <d v="2023-07-06T18:10:59"/>
    <s v="Debit"/>
    <x v="23"/>
    <s v="D000535"/>
    <s v="82.88.241.226"/>
    <s v="M096"/>
    <s v="Online"/>
    <n v="22"/>
    <s v="Student"/>
    <n v="140"/>
    <n v="1"/>
    <n v="887.32"/>
    <d v="2024-11-04T08:09:48"/>
    <n v="18"/>
    <s v="Thursday"/>
    <n v="-0.98790028782266803"/>
    <b v="0"/>
    <b v="0"/>
    <b v="1"/>
    <n v="0"/>
    <m/>
    <n v="0"/>
    <m/>
  </r>
  <r>
    <s v="TX001132"/>
    <s v="AC00164"/>
    <n v="421.25"/>
    <d v="2023-01-05T16:13:59"/>
    <s v="Debit"/>
    <x v="18"/>
    <s v="D000422"/>
    <s v="156.134.123.253"/>
    <s v="M007"/>
    <s v="Online"/>
    <n v="25"/>
    <s v="Student"/>
    <n v="66"/>
    <n v="1"/>
    <n v="7174.69"/>
    <d v="2024-11-04T08:07:46"/>
    <n v="16"/>
    <s v="Thursday"/>
    <n v="0.42355818900460901"/>
    <b v="0"/>
    <b v="0"/>
    <b v="1"/>
    <n v="0"/>
    <m/>
    <n v="0"/>
    <m/>
  </r>
  <r>
    <s v="TX001133"/>
    <s v="AC00236"/>
    <n v="185.71"/>
    <d v="2023-08-07T16:15:16"/>
    <s v="Debit"/>
    <x v="33"/>
    <s v="D000635"/>
    <s v="32.71.250.58"/>
    <s v="M084"/>
    <s v="Branch"/>
    <n v="48"/>
    <s v="Engineer"/>
    <n v="194"/>
    <n v="1"/>
    <n v="2679.91"/>
    <d v="2024-11-04T08:09:41"/>
    <n v="16"/>
    <s v="Monday"/>
    <n v="-0.38323417547690303"/>
    <b v="0"/>
    <b v="0"/>
    <b v="1"/>
    <n v="0"/>
    <m/>
    <n v="0"/>
    <m/>
  </r>
  <r>
    <s v="TX001134"/>
    <s v="AC00095"/>
    <n v="1432.02"/>
    <d v="2023-09-08T17:50:09"/>
    <s v="Debit"/>
    <x v="12"/>
    <s v="D000263"/>
    <s v="105.87.212.115"/>
    <s v="M081"/>
    <s v="Branch"/>
    <n v="60"/>
    <s v="Retired"/>
    <n v="138"/>
    <n v="1"/>
    <n v="4315.07"/>
    <d v="2024-11-04T08:09:36"/>
    <n v="17"/>
    <s v="Friday"/>
    <n v="3.8857366650467999"/>
    <b v="1"/>
    <b v="0"/>
    <b v="1"/>
    <n v="1"/>
    <m/>
    <n v="1"/>
    <m/>
  </r>
  <r>
    <s v="TX001135"/>
    <s v="AC00016"/>
    <n v="26.27"/>
    <d v="2023-03-17T16:22:52"/>
    <s v="Credit"/>
    <x v="42"/>
    <s v="D000332"/>
    <s v="62.27.235.199"/>
    <s v="M027"/>
    <s v="Online"/>
    <n v="45"/>
    <s v="Engineer"/>
    <n v="177"/>
    <n v="1"/>
    <n v="8853.93"/>
    <d v="2024-11-04T08:10:21"/>
    <n v="16"/>
    <s v="Friday"/>
    <n v="-0.92936211380131695"/>
    <b v="0"/>
    <b v="0"/>
    <b v="1"/>
    <n v="0"/>
    <m/>
    <n v="0"/>
    <m/>
  </r>
  <r>
    <s v="TX001136"/>
    <s v="AC00386"/>
    <n v="297.02999999999997"/>
    <d v="2023-09-08T17:08:30"/>
    <s v="Debit"/>
    <x v="14"/>
    <s v="D000329"/>
    <s v="198.39.35.23"/>
    <s v="M041"/>
    <s v="Online"/>
    <n v="61"/>
    <s v="Retired"/>
    <n v="151"/>
    <n v="1"/>
    <n v="1088.6199999999999"/>
    <d v="2024-11-04T08:10:10"/>
    <n v="17"/>
    <s v="Friday"/>
    <n v="-1.9311016292256501E-3"/>
    <b v="0"/>
    <b v="0"/>
    <b v="1"/>
    <n v="0"/>
    <m/>
    <n v="0"/>
    <m/>
  </r>
  <r>
    <s v="TX001137"/>
    <s v="AC00032"/>
    <n v="341.67"/>
    <d v="2023-03-06T16:45:24"/>
    <s v="Debit"/>
    <x v="32"/>
    <s v="D000160"/>
    <s v="140.94.123.72"/>
    <s v="M037"/>
    <s v="Branch"/>
    <n v="53"/>
    <s v="Retired"/>
    <n v="96"/>
    <n v="5"/>
    <n v="1442.29"/>
    <d v="2024-11-04T08:09:03"/>
    <n v="16"/>
    <s v="Monday"/>
    <n v="0.150973760179616"/>
    <b v="0"/>
    <b v="1"/>
    <b v="1"/>
    <n v="1"/>
    <m/>
    <n v="0"/>
    <m/>
  </r>
  <r>
    <s v="TX001138"/>
    <s v="AC00152"/>
    <n v="99.52"/>
    <d v="2023-04-10T17:49:04"/>
    <s v="Debit"/>
    <x v="0"/>
    <s v="D000335"/>
    <s v="24.181.236.233"/>
    <s v="M083"/>
    <s v="ATM"/>
    <n v="52"/>
    <s v="Engineer"/>
    <n v="127"/>
    <n v="1"/>
    <n v="3798.09"/>
    <d v="2024-11-04T08:11:40"/>
    <n v="17"/>
    <s v="Monday"/>
    <n v="-0.67845975879464804"/>
    <b v="0"/>
    <b v="0"/>
    <b v="1"/>
    <n v="0"/>
    <m/>
    <n v="0"/>
    <m/>
  </r>
  <r>
    <s v="TX001139"/>
    <s v="AC00020"/>
    <n v="881.1"/>
    <d v="2023-11-13T16:46:06"/>
    <s v="Debit"/>
    <x v="37"/>
    <s v="D000309"/>
    <s v="87.50.72.69"/>
    <s v="M093"/>
    <s v="Branch"/>
    <n v="28"/>
    <s v="Student"/>
    <n v="16"/>
    <n v="1"/>
    <n v="9951.68"/>
    <d v="2024-11-04T08:08:10"/>
    <n v="16"/>
    <s v="Monday"/>
    <n v="1.9986769323468101"/>
    <b v="0"/>
    <b v="0"/>
    <b v="1"/>
    <n v="0"/>
    <m/>
    <n v="0"/>
    <m/>
  </r>
  <r>
    <s v="TX001140"/>
    <s v="AC00360"/>
    <n v="139.69"/>
    <d v="2023-06-15T17:22:42"/>
    <s v="Debit"/>
    <x v="7"/>
    <s v="D000502"/>
    <s v="147.119.62.178"/>
    <s v="M025"/>
    <s v="Online"/>
    <n v="52"/>
    <s v="Engineer"/>
    <n v="180"/>
    <n v="1"/>
    <n v="9567.94"/>
    <d v="2024-11-04T08:07:56"/>
    <n v="17"/>
    <s v="Thursday"/>
    <n v="-0.540865934895427"/>
    <b v="0"/>
    <b v="0"/>
    <b v="1"/>
    <n v="0"/>
    <m/>
    <n v="0"/>
    <m/>
  </r>
  <r>
    <s v="TX001141"/>
    <s v="AC00286"/>
    <n v="42.72"/>
    <d v="2023-08-17T16:55:10"/>
    <s v="Debit"/>
    <x v="9"/>
    <s v="D000193"/>
    <s v="186.135.2.148"/>
    <s v="M001"/>
    <s v="ATM"/>
    <n v="37"/>
    <s v="Engineer"/>
    <n v="143"/>
    <n v="1"/>
    <n v="2669.66"/>
    <d v="2024-11-04T08:06:59"/>
    <n v="16"/>
    <s v="Thursday"/>
    <n v="-0.87301612417865904"/>
    <b v="0"/>
    <b v="0"/>
    <b v="1"/>
    <n v="0"/>
    <m/>
    <n v="0"/>
    <m/>
  </r>
  <r>
    <s v="TX001142"/>
    <s v="AC00241"/>
    <n v="112.72"/>
    <d v="2023-03-27T16:34:18"/>
    <s v="Debit"/>
    <x v="38"/>
    <s v="D000602"/>
    <s v="189.248.139.91"/>
    <s v="M028"/>
    <s v="Branch"/>
    <n v="31"/>
    <s v="Doctor"/>
    <n v="17"/>
    <n v="1"/>
    <n v="9630"/>
    <d v="2024-11-04T08:12:19"/>
    <n v="16"/>
    <s v="Monday"/>
    <n v="-0.63324595557160301"/>
    <b v="0"/>
    <b v="0"/>
    <b v="1"/>
    <n v="0"/>
    <m/>
    <n v="0"/>
    <m/>
  </r>
  <r>
    <s v="TX001143"/>
    <s v="AC00331"/>
    <n v="568.88"/>
    <d v="2023-02-10T16:28:47"/>
    <s v="Debit"/>
    <x v="9"/>
    <s v="D000321"/>
    <s v="213.15.9.253"/>
    <s v="M076"/>
    <s v="Branch"/>
    <n v="19"/>
    <s v="Student"/>
    <n v="105"/>
    <n v="1"/>
    <n v="1307.8599999999999"/>
    <d v="2024-11-04T08:08:34"/>
    <n v="16"/>
    <s v="Friday"/>
    <n v="0.92923347459688999"/>
    <b v="0"/>
    <b v="0"/>
    <b v="1"/>
    <n v="0"/>
    <m/>
    <n v="0"/>
    <m/>
  </r>
  <r>
    <s v="TX001144"/>
    <s v="AC00258"/>
    <n v="189.03"/>
    <d v="2023-04-20T17:54:10"/>
    <s v="Debit"/>
    <x v="5"/>
    <s v="D000074"/>
    <s v="41.82.55.163"/>
    <s v="M046"/>
    <s v="ATM"/>
    <n v="28"/>
    <s v="Student"/>
    <n v="50"/>
    <n v="1"/>
    <n v="1916.46"/>
    <d v="2024-11-04T08:09:07"/>
    <n v="17"/>
    <s v="Thursday"/>
    <n v="-0.37186221890868298"/>
    <b v="0"/>
    <b v="0"/>
    <b v="1"/>
    <n v="0"/>
    <m/>
    <n v="0"/>
    <m/>
  </r>
  <r>
    <s v="TX001145"/>
    <s v="AC00040"/>
    <n v="199.8"/>
    <d v="2023-07-24T16:18:50"/>
    <s v="Debit"/>
    <x v="8"/>
    <s v="D000138"/>
    <s v="35.246.53.10"/>
    <s v="M038"/>
    <s v="ATM"/>
    <n v="20"/>
    <s v="Student"/>
    <n v="163"/>
    <n v="1"/>
    <n v="167.28"/>
    <d v="2024-11-04T08:11:34"/>
    <n v="16"/>
    <s v="Monday"/>
    <n v="-0.33497186582442501"/>
    <b v="0"/>
    <b v="0"/>
    <b v="1"/>
    <n v="0"/>
    <m/>
    <n v="0"/>
    <m/>
  </r>
  <r>
    <s v="TX001146"/>
    <s v="AC00143"/>
    <n v="189.08"/>
    <d v="2023-03-13T16:13:13"/>
    <s v="Debit"/>
    <x v="19"/>
    <s v="D000641"/>
    <s v="210.136.14.108"/>
    <s v="M011"/>
    <s v="Branch"/>
    <n v="68"/>
    <s v="Doctor"/>
    <n v="238"/>
    <n v="1"/>
    <n v="10790.8"/>
    <d v="2024-11-04T08:08:48"/>
    <n v="16"/>
    <s v="Monday"/>
    <n v="-0.37169095450253498"/>
    <b v="0"/>
    <b v="0"/>
    <b v="1"/>
    <n v="0"/>
    <m/>
    <n v="0"/>
    <m/>
  </r>
  <r>
    <s v="TX001147"/>
    <s v="AC00068"/>
    <n v="958.9"/>
    <d v="2023-07-04T16:30:15"/>
    <s v="Debit"/>
    <x v="11"/>
    <s v="D000183"/>
    <s v="160.212.125.105"/>
    <s v="M097"/>
    <s v="Branch"/>
    <n v="31"/>
    <s v="Engineer"/>
    <n v="135"/>
    <n v="1"/>
    <n v="9977.49"/>
    <d v="2024-11-04T08:06:56"/>
    <n v="16"/>
    <s v="Tuesday"/>
    <n v="2.2651643483129398"/>
    <b v="1"/>
    <b v="0"/>
    <b v="1"/>
    <n v="1"/>
    <m/>
    <n v="1"/>
    <m/>
  </r>
  <r>
    <s v="TX001148"/>
    <s v="AC00052"/>
    <n v="409.59"/>
    <d v="2023-03-20T16:08:11"/>
    <s v="Debit"/>
    <x v="10"/>
    <s v="D000430"/>
    <s v="137.33.78.168"/>
    <s v="M042"/>
    <s v="Online"/>
    <n v="35"/>
    <s v="Doctor"/>
    <n v="50"/>
    <n v="1"/>
    <n v="14563.02"/>
    <d v="2024-11-04T08:11:25"/>
    <n v="16"/>
    <s v="Monday"/>
    <n v="0.38361932949091998"/>
    <b v="0"/>
    <b v="0"/>
    <b v="1"/>
    <n v="0"/>
    <m/>
    <n v="0"/>
    <m/>
  </r>
  <r>
    <s v="TX001149"/>
    <s v="AC00352"/>
    <n v="349.34"/>
    <d v="2023-01-09T16:53:25"/>
    <s v="Credit"/>
    <x v="7"/>
    <s v="D000402"/>
    <s v="199.59.68.207"/>
    <s v="M047"/>
    <s v="ATM"/>
    <n v="28"/>
    <s v="Student"/>
    <n v="245"/>
    <n v="1"/>
    <n v="614.14"/>
    <d v="2024-11-04T08:10:29"/>
    <n v="16"/>
    <s v="Monday"/>
    <n v="0.17724572008270401"/>
    <b v="0"/>
    <b v="0"/>
    <b v="1"/>
    <n v="0"/>
    <m/>
    <n v="0"/>
    <m/>
  </r>
  <r>
    <s v="TX001150"/>
    <s v="AC00254"/>
    <n v="283.14999999999998"/>
    <d v="2023-08-11T16:31:43"/>
    <s v="Debit"/>
    <x v="21"/>
    <s v="D000383"/>
    <s v="36.77.94.252"/>
    <s v="M089"/>
    <s v="Online"/>
    <n v="24"/>
    <s v="Student"/>
    <n v="180"/>
    <n v="1"/>
    <n v="603.79"/>
    <d v="2024-11-04T08:11:16"/>
    <n v="16"/>
    <s v="Friday"/>
    <n v="-4.9474100775881803E-2"/>
    <b v="0"/>
    <b v="0"/>
    <b v="1"/>
    <n v="0"/>
    <m/>
    <n v="0"/>
    <m/>
  </r>
  <r>
    <s v="TX001151"/>
    <s v="AC00100"/>
    <n v="151.82"/>
    <d v="2023-07-17T16:32:45"/>
    <s v="Debit"/>
    <x v="29"/>
    <s v="D000347"/>
    <s v="165.114.224.47"/>
    <s v="M013"/>
    <s v="ATM"/>
    <n v="51"/>
    <s v="Retired"/>
    <n v="105"/>
    <n v="1"/>
    <n v="2197.12"/>
    <d v="2024-11-04T08:11:54"/>
    <n v="16"/>
    <s v="Monday"/>
    <n v="-0.49931718996394697"/>
    <b v="0"/>
    <b v="0"/>
    <b v="1"/>
    <n v="0"/>
    <m/>
    <n v="0"/>
    <m/>
  </r>
  <r>
    <s v="TX001152"/>
    <s v="AC00412"/>
    <n v="438.59"/>
    <d v="2023-10-30T17:48:09"/>
    <s v="Debit"/>
    <x v="24"/>
    <s v="D000347"/>
    <s v="193.217.248.188"/>
    <s v="M035"/>
    <s v="Online"/>
    <n v="37"/>
    <s v="Engineer"/>
    <n v="103"/>
    <n v="1"/>
    <n v="8994.39"/>
    <d v="2024-11-04T08:09:32"/>
    <n v="17"/>
    <s v="Monday"/>
    <n v="0.48295268505670003"/>
    <b v="0"/>
    <b v="0"/>
    <b v="1"/>
    <n v="0"/>
    <m/>
    <n v="0"/>
    <m/>
  </r>
  <r>
    <s v="TX001153"/>
    <s v="AC00012"/>
    <n v="590.57000000000005"/>
    <d v="2023-06-28T16:07:37"/>
    <s v="Debit"/>
    <x v="20"/>
    <s v="D000540"/>
    <s v="150.231.20.169"/>
    <s v="M050"/>
    <s v="ATM"/>
    <n v="79"/>
    <s v="Retired"/>
    <n v="93"/>
    <n v="1"/>
    <n v="3224.6"/>
    <d v="2024-11-04T08:07:19"/>
    <n v="16"/>
    <s v="Wednesday"/>
    <n v="1.0035279739838401"/>
    <b v="0"/>
    <b v="0"/>
    <b v="1"/>
    <n v="0"/>
    <m/>
    <n v="0"/>
    <m/>
  </r>
  <r>
    <s v="TX001154"/>
    <s v="AC00353"/>
    <n v="63.74"/>
    <d v="2023-09-12T17:50:26"/>
    <s v="Debit"/>
    <x v="29"/>
    <s v="D000658"/>
    <s v="100.128.70.210"/>
    <s v="M092"/>
    <s v="Online"/>
    <n v="63"/>
    <s v="Retired"/>
    <n v="31"/>
    <n v="1"/>
    <n v="4336.3999999999996"/>
    <d v="2024-11-04T08:08:53"/>
    <n v="17"/>
    <s v="Tuesday"/>
    <n v="-0.80101656783408304"/>
    <b v="0"/>
    <b v="0"/>
    <b v="1"/>
    <n v="0"/>
    <m/>
    <n v="0"/>
    <m/>
  </r>
  <r>
    <s v="TX001155"/>
    <s v="AC00445"/>
    <n v="77.02"/>
    <d v="2023-08-17T16:18:22"/>
    <s v="Credit"/>
    <x v="19"/>
    <s v="D000560"/>
    <s v="195.237.152.198"/>
    <s v="M053"/>
    <s v="Online"/>
    <n v="59"/>
    <s v="Doctor"/>
    <n v="132"/>
    <n v="1"/>
    <n v="800.83"/>
    <d v="2024-11-04T08:07:54"/>
    <n v="16"/>
    <s v="Thursday"/>
    <n v="-0.75552874156120098"/>
    <b v="0"/>
    <b v="0"/>
    <b v="1"/>
    <n v="0"/>
    <m/>
    <n v="0"/>
    <m/>
  </r>
  <r>
    <s v="TX001156"/>
    <s v="AC00281"/>
    <n v="501.15"/>
    <d v="2023-08-21T18:07:14"/>
    <s v="Debit"/>
    <x v="37"/>
    <s v="D000322"/>
    <s v="180.224.54.115"/>
    <s v="M088"/>
    <s v="Branch"/>
    <n v="47"/>
    <s v="Engineer"/>
    <n v="208"/>
    <n v="1"/>
    <n v="8821.84"/>
    <d v="2024-11-04T08:11:33"/>
    <n v="18"/>
    <s v="Monday"/>
    <n v="0.69723871002894799"/>
    <b v="0"/>
    <b v="0"/>
    <b v="1"/>
    <n v="0"/>
    <m/>
    <n v="0"/>
    <m/>
  </r>
  <r>
    <s v="TX001157"/>
    <s v="AC00211"/>
    <n v="917.81"/>
    <d v="2023-08-30T18:38:56"/>
    <s v="Debit"/>
    <x v="31"/>
    <s v="D000217"/>
    <s v="42.61.10.112"/>
    <s v="M047"/>
    <s v="ATM"/>
    <n v="64"/>
    <s v="Retired"/>
    <n v="75"/>
    <n v="2"/>
    <n v="3173.17"/>
    <d v="2024-11-04T08:09:46"/>
    <n v="18"/>
    <s v="Wednesday"/>
    <n v="2.1244192593406002"/>
    <b v="1"/>
    <b v="1"/>
    <b v="1"/>
    <n v="2"/>
    <m/>
    <n v="1"/>
    <m/>
  </r>
  <r>
    <s v="TX001158"/>
    <s v="AC00379"/>
    <n v="8.9499999999999993"/>
    <d v="2023-10-04T16:01:18"/>
    <s v="Debit"/>
    <x v="5"/>
    <s v="D000686"/>
    <s v="11.167.243.171"/>
    <s v="M008"/>
    <s v="Online"/>
    <n v="76"/>
    <s v="Retired"/>
    <n v="102"/>
    <n v="1"/>
    <n v="3299.84"/>
    <d v="2024-11-04T08:09:45"/>
    <n v="16"/>
    <s v="Wednesday"/>
    <n v="-0.98868810409094798"/>
    <b v="0"/>
    <b v="0"/>
    <b v="1"/>
    <n v="0"/>
    <m/>
    <n v="0"/>
    <m/>
  </r>
  <r>
    <s v="TX001159"/>
    <s v="AC00108"/>
    <n v="173.6"/>
    <d v="2023-11-28T16:38:08"/>
    <s v="Debit"/>
    <x v="14"/>
    <s v="D000165"/>
    <s v="151.247.130.190"/>
    <s v="M043"/>
    <s v="Online"/>
    <n v="21"/>
    <s v="Student"/>
    <n v="160"/>
    <n v="1"/>
    <n v="421.44"/>
    <d v="2024-11-04T08:09:35"/>
    <n v="16"/>
    <s v="Tuesday"/>
    <n v="-0.42471441464592402"/>
    <b v="0"/>
    <b v="0"/>
    <b v="1"/>
    <n v="0"/>
    <m/>
    <n v="0"/>
    <m/>
  </r>
  <r>
    <s v="TX001160"/>
    <s v="AC00243"/>
    <n v="149.4"/>
    <d v="2023-05-02T16:30:52"/>
    <s v="Debit"/>
    <x v="29"/>
    <s v="D000077"/>
    <s v="154.138.163.229"/>
    <s v="M039"/>
    <s v="ATM"/>
    <n v="53"/>
    <s v="Retired"/>
    <n v="123"/>
    <n v="1"/>
    <n v="1035.22"/>
    <d v="2024-11-04T08:10:16"/>
    <n v="16"/>
    <s v="Tuesday"/>
    <n v="-0.50760638722150597"/>
    <b v="0"/>
    <b v="0"/>
    <b v="1"/>
    <n v="0"/>
    <m/>
    <n v="0"/>
    <m/>
  </r>
  <r>
    <s v="TX001161"/>
    <s v="AC00032"/>
    <n v="388.21"/>
    <d v="2023-12-19T16:39:57"/>
    <s v="Credit"/>
    <x v="15"/>
    <s v="D000387"/>
    <s v="145.246.171.225"/>
    <s v="M013"/>
    <s v="Branch"/>
    <n v="53"/>
    <s v="Doctor"/>
    <n v="237"/>
    <n v="1"/>
    <n v="9724.49"/>
    <d v="2024-11-04T08:08:17"/>
    <n v="16"/>
    <s v="Tuesday"/>
    <n v="0.31038666942207899"/>
    <b v="0"/>
    <b v="0"/>
    <b v="1"/>
    <n v="0"/>
    <m/>
    <n v="0"/>
    <m/>
  </r>
  <r>
    <s v="TX001162"/>
    <s v="AC00460"/>
    <n v="484.3"/>
    <d v="2023-10-17T17:46:52"/>
    <s v="Credit"/>
    <x v="35"/>
    <s v="D000407"/>
    <s v="93.160.83.196"/>
    <s v="M026"/>
    <s v="Online"/>
    <n v="61"/>
    <s v="Retired"/>
    <n v="230"/>
    <n v="3"/>
    <n v="7910.3"/>
    <d v="2024-11-04T08:11:08"/>
    <n v="17"/>
    <s v="Tuesday"/>
    <n v="0.63952260515710702"/>
    <b v="0"/>
    <b v="1"/>
    <b v="1"/>
    <n v="1"/>
    <m/>
    <n v="0"/>
    <m/>
  </r>
  <r>
    <s v="TX001163"/>
    <s v="AC00459"/>
    <n v="126.04"/>
    <d v="2023-06-19T16:38:13"/>
    <s v="Credit"/>
    <x v="27"/>
    <s v="D000258"/>
    <s v="221.169.49.152"/>
    <s v="M019"/>
    <s v="Branch"/>
    <n v="65"/>
    <s v="Retired"/>
    <n v="167"/>
    <n v="1"/>
    <n v="6041.69"/>
    <d v="2024-11-04T08:08:06"/>
    <n v="16"/>
    <s v="Monday"/>
    <n v="-0.58762111777380299"/>
    <b v="0"/>
    <b v="0"/>
    <b v="1"/>
    <n v="0"/>
    <m/>
    <n v="0"/>
    <m/>
  </r>
  <r>
    <s v="TX001164"/>
    <s v="AC00309"/>
    <n v="52.04"/>
    <d v="2023-07-27T16:28:26"/>
    <s v="Credit"/>
    <x v="40"/>
    <s v="D000310"/>
    <s v="105.87.212.115"/>
    <s v="M070"/>
    <s v="Branch"/>
    <n v="50"/>
    <s v="Doctor"/>
    <n v="31"/>
    <n v="1"/>
    <n v="8436.1200000000008"/>
    <d v="2024-11-04T08:07:38"/>
    <n v="16"/>
    <s v="Thursday"/>
    <n v="-0.84109243887269103"/>
    <b v="0"/>
    <b v="0"/>
    <b v="1"/>
    <n v="0"/>
    <m/>
    <n v="0"/>
    <m/>
  </r>
  <r>
    <s v="TX001165"/>
    <s v="AC00109"/>
    <n v="389.7"/>
    <d v="2023-03-10T16:40:00"/>
    <s v="Credit"/>
    <x v="14"/>
    <s v="D000423"/>
    <s v="155.164.18.235"/>
    <s v="M030"/>
    <s v="Branch"/>
    <n v="62"/>
    <s v="Doctor"/>
    <n v="216"/>
    <n v="1"/>
    <n v="7125.15"/>
    <d v="2024-11-04T08:10:42"/>
    <n v="16"/>
    <s v="Friday"/>
    <n v="0.31549034872528597"/>
    <b v="0"/>
    <b v="0"/>
    <b v="1"/>
    <n v="0"/>
    <m/>
    <n v="0"/>
    <m/>
  </r>
  <r>
    <s v="TX001166"/>
    <s v="AC00393"/>
    <n v="161.1"/>
    <d v="2023-04-10T17:28:48"/>
    <s v="Credit"/>
    <x v="19"/>
    <s v="D000001"/>
    <s v="117.67.192.211"/>
    <s v="M002"/>
    <s v="ATM"/>
    <n v="19"/>
    <s v="Student"/>
    <n v="104"/>
    <n v="1"/>
    <n v="239.12"/>
    <d v="2024-11-04T08:10:34"/>
    <n v="17"/>
    <s v="Monday"/>
    <n v="-0.46753051618289798"/>
    <b v="0"/>
    <b v="0"/>
    <b v="1"/>
    <n v="0"/>
    <m/>
    <n v="0"/>
    <m/>
  </r>
  <r>
    <s v="TX001167"/>
    <s v="AC00175"/>
    <n v="309.77"/>
    <d v="2023-05-08T16:31:56"/>
    <s v="Credit"/>
    <x v="25"/>
    <s v="D000384"/>
    <s v="40.10.25.102"/>
    <s v="M010"/>
    <s v="Online"/>
    <n v="67"/>
    <s v="Retired"/>
    <n v="137"/>
    <n v="1"/>
    <n v="4378.1400000000003"/>
    <d v="2024-11-04T08:06:24"/>
    <n v="16"/>
    <s v="Monday"/>
    <n v="4.1707069057258503E-2"/>
    <b v="0"/>
    <b v="0"/>
    <b v="1"/>
    <n v="0"/>
    <m/>
    <n v="0"/>
    <m/>
  </r>
  <r>
    <s v="TX001168"/>
    <s v="AC00010"/>
    <n v="838.57"/>
    <d v="2023-06-26T16:08:25"/>
    <s v="Debit"/>
    <x v="37"/>
    <s v="D000430"/>
    <s v="115.30.82.168"/>
    <s v="M040"/>
    <s v="ATM"/>
    <n v="41"/>
    <s v="Doctor"/>
    <n v="273"/>
    <n v="1"/>
    <n v="14576.47"/>
    <d v="2024-11-04T08:11:25"/>
    <n v="16"/>
    <s v="Monday"/>
    <n v="1.8529994284774101"/>
    <b v="0"/>
    <b v="0"/>
    <b v="1"/>
    <n v="0"/>
    <m/>
    <n v="0"/>
    <m/>
  </r>
  <r>
    <s v="TX001169"/>
    <s v="AC00120"/>
    <n v="202.55"/>
    <d v="2023-11-14T18:49:52"/>
    <s v="Debit"/>
    <x v="34"/>
    <s v="D000028"/>
    <s v="51.250.46.149"/>
    <s v="M029"/>
    <s v="ATM"/>
    <n v="21"/>
    <s v="Student"/>
    <n v="34"/>
    <n v="2"/>
    <n v="701.73"/>
    <d v="2024-11-04T08:09:12"/>
    <n v="18"/>
    <s v="Tuesday"/>
    <n v="-0.32555232348629098"/>
    <b v="0"/>
    <b v="1"/>
    <b v="1"/>
    <n v="1"/>
    <m/>
    <n v="0"/>
    <m/>
  </r>
  <r>
    <s v="TX001170"/>
    <s v="AC00477"/>
    <n v="724.18"/>
    <d v="2023-02-06T16:07:26"/>
    <s v="Debit"/>
    <x v="18"/>
    <s v="D000144"/>
    <s v="104.155.121.252"/>
    <s v="M002"/>
    <s v="Branch"/>
    <n v="41"/>
    <s v="Doctor"/>
    <n v="134"/>
    <n v="1"/>
    <n v="10922.78"/>
    <d v="2024-11-04T08:08:21"/>
    <n v="16"/>
    <s v="Monday"/>
    <n v="1.46118072009225"/>
    <b v="0"/>
    <b v="0"/>
    <b v="1"/>
    <n v="0"/>
    <m/>
    <n v="0"/>
    <m/>
  </r>
  <r>
    <s v="TX001171"/>
    <s v="AC00410"/>
    <n v="124.98"/>
    <d v="2023-02-21T16:52:16"/>
    <s v="Debit"/>
    <x v="38"/>
    <s v="D000424"/>
    <s v="40.192.99.27"/>
    <s v="M062"/>
    <s v="ATM"/>
    <n v="24"/>
    <s v="Student"/>
    <n v="78"/>
    <n v="1"/>
    <n v="642"/>
    <d v="2024-11-04T08:08:27"/>
    <n v="16"/>
    <s v="Tuesday"/>
    <n v="-0.591251923184138"/>
    <b v="0"/>
    <b v="0"/>
    <b v="1"/>
    <n v="0"/>
    <m/>
    <n v="0"/>
    <m/>
  </r>
  <r>
    <s v="TX001172"/>
    <s v="AC00044"/>
    <n v="487.32"/>
    <d v="2023-10-19T18:11:23"/>
    <s v="Debit"/>
    <x v="31"/>
    <s v="D000345"/>
    <s v="35.73.67.98"/>
    <s v="M005"/>
    <s v="Branch"/>
    <n v="52"/>
    <s v="Doctor"/>
    <n v="164"/>
    <n v="1"/>
    <n v="7707.96"/>
    <d v="2024-11-04T08:09:23"/>
    <n v="18"/>
    <s v="Thursday"/>
    <n v="0.64986697528843995"/>
    <b v="0"/>
    <b v="0"/>
    <b v="1"/>
    <n v="0"/>
    <m/>
    <n v="0"/>
    <m/>
  </r>
  <r>
    <s v="TX001173"/>
    <s v="AC00490"/>
    <n v="635.91"/>
    <d v="2023-11-28T16:55:41"/>
    <s v="Credit"/>
    <x v="36"/>
    <s v="D000281"/>
    <s v="155.37.19.43"/>
    <s v="M074"/>
    <s v="Branch"/>
    <n v="46"/>
    <s v="Doctor"/>
    <n v="78"/>
    <n v="1"/>
    <n v="13267.09"/>
    <d v="2024-11-04T08:10:43"/>
    <n v="16"/>
    <s v="Tuesday"/>
    <n v="1.15883053747876"/>
    <b v="0"/>
    <b v="0"/>
    <b v="1"/>
    <n v="0"/>
    <m/>
    <n v="0"/>
    <m/>
  </r>
  <r>
    <s v="TX001174"/>
    <s v="AC00342"/>
    <n v="205.65"/>
    <d v="2023-07-13T16:44:25"/>
    <s v="Debit"/>
    <x v="1"/>
    <s v="D000105"/>
    <s v="157.164.245.130"/>
    <s v="M080"/>
    <s v="Branch"/>
    <n v="62"/>
    <s v="Retired"/>
    <n v="144"/>
    <n v="1"/>
    <n v="3582.16"/>
    <d v="2024-11-04T08:09:27"/>
    <n v="16"/>
    <s v="Thursday"/>
    <n v="-0.31493393030512201"/>
    <b v="0"/>
    <b v="0"/>
    <b v="1"/>
    <n v="0"/>
    <m/>
    <n v="0"/>
    <m/>
  </r>
  <r>
    <s v="TX001175"/>
    <s v="AC00462"/>
    <n v="39.409999999999997"/>
    <d v="2023-11-27T16:27:56"/>
    <s v="Debit"/>
    <x v="12"/>
    <s v="D000356"/>
    <s v="58.190.9.136"/>
    <s v="M030"/>
    <s v="Branch"/>
    <n v="25"/>
    <s v="Student"/>
    <n v="132"/>
    <n v="1"/>
    <n v="921.91"/>
    <d v="2024-11-04T08:11:02"/>
    <n v="16"/>
    <s v="Monday"/>
    <n v="-0.88435382786564898"/>
    <b v="0"/>
    <b v="0"/>
    <b v="1"/>
    <n v="0"/>
    <m/>
    <n v="0"/>
    <m/>
  </r>
  <r>
    <s v="TX001176"/>
    <s v="AC00267"/>
    <n v="254"/>
    <d v="2023-05-15T17:33:32"/>
    <s v="Debit"/>
    <x v="9"/>
    <s v="D000436"/>
    <s v="49.31.186.82"/>
    <s v="M098"/>
    <s v="Branch"/>
    <n v="35"/>
    <s v="Doctor"/>
    <n v="63"/>
    <n v="1"/>
    <n v="5788.53"/>
    <d v="2024-11-04T08:08:07"/>
    <n v="17"/>
    <s v="Monday"/>
    <n v="-0.14932124956010501"/>
    <b v="0"/>
    <b v="0"/>
    <b v="1"/>
    <n v="0"/>
    <m/>
    <n v="0"/>
    <m/>
  </r>
  <r>
    <s v="TX001177"/>
    <s v="AC00363"/>
    <n v="436.8"/>
    <d v="2023-11-16T16:30:01"/>
    <s v="Debit"/>
    <x v="1"/>
    <s v="D000033"/>
    <s v="153.178.166.93"/>
    <s v="M098"/>
    <s v="Branch"/>
    <n v="36"/>
    <s v="Engineer"/>
    <n v="213"/>
    <n v="1"/>
    <n v="4515.43"/>
    <d v="2024-11-04T08:06:59"/>
    <n v="16"/>
    <s v="Thursday"/>
    <n v="0.47682141931660499"/>
    <b v="0"/>
    <b v="0"/>
    <b v="1"/>
    <n v="0"/>
    <m/>
    <n v="0"/>
    <m/>
  </r>
  <r>
    <s v="TX001178"/>
    <s v="AC00211"/>
    <n v="224.73"/>
    <d v="2023-02-09T16:27:52"/>
    <s v="Debit"/>
    <x v="19"/>
    <s v="D000005"/>
    <s v="3.102.127.165"/>
    <s v="M002"/>
    <s v="Branch"/>
    <n v="76"/>
    <s v="Retired"/>
    <n v="63"/>
    <n v="1"/>
    <n v="7551.89"/>
    <d v="2024-11-04T08:08:39"/>
    <n v="16"/>
    <s v="Thursday"/>
    <n v="-0.24957943291908399"/>
    <b v="0"/>
    <b v="0"/>
    <b v="1"/>
    <n v="0"/>
    <m/>
    <n v="0"/>
    <m/>
  </r>
  <r>
    <s v="TX001179"/>
    <s v="AC00204"/>
    <n v="752.69"/>
    <d v="2023-05-29T18:55:01"/>
    <s v="Credit"/>
    <x v="34"/>
    <s v="D000181"/>
    <s v="1.98.25.114"/>
    <s v="M056"/>
    <s v="ATM"/>
    <n v="65"/>
    <s v="Doctor"/>
    <n v="115"/>
    <n v="1"/>
    <n v="14489.69"/>
    <d v="2024-11-04T08:09:14"/>
    <n v="18"/>
    <s v="Monday"/>
    <n v="1.55883568447778"/>
    <b v="0"/>
    <b v="0"/>
    <b v="1"/>
    <n v="0"/>
    <m/>
    <n v="0"/>
    <m/>
  </r>
  <r>
    <s v="TX001180"/>
    <s v="AC00456"/>
    <n v="78.5"/>
    <d v="2023-02-14T16:06:36"/>
    <s v="Credit"/>
    <x v="24"/>
    <s v="D000574"/>
    <s v="166.41.54.117"/>
    <s v="M007"/>
    <s v="Branch"/>
    <n v="31"/>
    <s v="Doctor"/>
    <n v="41"/>
    <n v="1"/>
    <n v="13991.5"/>
    <d v="2024-11-04T08:11:54"/>
    <n v="16"/>
    <s v="Tuesday"/>
    <n v="-0.75045931513922404"/>
    <b v="0"/>
    <b v="0"/>
    <b v="1"/>
    <n v="0"/>
    <m/>
    <n v="0"/>
    <m/>
  </r>
  <r>
    <s v="TX001181"/>
    <s v="AC00016"/>
    <n v="50"/>
    <d v="2023-02-24T18:05:12"/>
    <s v="Credit"/>
    <x v="36"/>
    <s v="D000309"/>
    <s v="150.231.20.169"/>
    <s v="M018"/>
    <s v="ATM"/>
    <n v="53"/>
    <s v="Doctor"/>
    <n v="87"/>
    <n v="1"/>
    <n v="185.87"/>
    <d v="2024-11-04T08:11:22"/>
    <n v="18"/>
    <s v="Friday"/>
    <n v="-0.848080026643525"/>
    <b v="0"/>
    <b v="0"/>
    <b v="1"/>
    <n v="0"/>
    <m/>
    <n v="0"/>
    <m/>
  </r>
  <r>
    <s v="TX001182"/>
    <s v="AC00093"/>
    <n v="132.41999999999999"/>
    <d v="2023-07-24T16:22:38"/>
    <s v="Debit"/>
    <x v="13"/>
    <s v="D000019"/>
    <s v="203.174.215.229"/>
    <s v="M069"/>
    <s v="ATM"/>
    <n v="18"/>
    <s v="Student"/>
    <n v="164"/>
    <n v="1"/>
    <n v="726.39"/>
    <d v="2024-11-04T08:11:58"/>
    <n v="16"/>
    <s v="Monday"/>
    <n v="-0.56576777954933199"/>
    <b v="0"/>
    <b v="0"/>
    <b v="1"/>
    <n v="0"/>
    <m/>
    <n v="0"/>
    <m/>
  </r>
  <r>
    <s v="TX001183"/>
    <s v="AC00401"/>
    <n v="11.67"/>
    <d v="2023-11-13T16:30:21"/>
    <s v="Debit"/>
    <x v="18"/>
    <s v="D000017"/>
    <s v="43.98.242.106"/>
    <s v="M078"/>
    <s v="Branch"/>
    <n v="76"/>
    <s v="Retired"/>
    <n v="105"/>
    <n v="1"/>
    <n v="7458.63"/>
    <d v="2024-11-04T08:10:20"/>
    <n v="16"/>
    <s v="Monday"/>
    <n v="-0.97937132039650299"/>
    <b v="0"/>
    <b v="0"/>
    <b v="1"/>
    <n v="0"/>
    <m/>
    <n v="0"/>
    <m/>
  </r>
  <r>
    <s v="TX001184"/>
    <s v="AC00366"/>
    <n v="83.16"/>
    <d v="2023-08-16T16:11:56"/>
    <s v="Debit"/>
    <x v="16"/>
    <s v="D000037"/>
    <s v="45.64.74.86"/>
    <s v="M091"/>
    <s v="ATM"/>
    <n v="61"/>
    <s v="Retired"/>
    <n v="177"/>
    <n v="1"/>
    <n v="3065.87"/>
    <d v="2024-11-04T08:08:46"/>
    <n v="16"/>
    <s v="Wednesday"/>
    <n v="-0.73449747248623998"/>
    <b v="0"/>
    <b v="0"/>
    <b v="1"/>
    <n v="0"/>
    <m/>
    <n v="0"/>
    <m/>
  </r>
  <r>
    <s v="TX001185"/>
    <s v="AC00107"/>
    <n v="149.02000000000001"/>
    <d v="2023-09-01T16:35:51"/>
    <s v="Credit"/>
    <x v="18"/>
    <s v="D000346"/>
    <s v="199.59.68.207"/>
    <s v="M019"/>
    <s v="Branch"/>
    <n v="46"/>
    <s v="Engineer"/>
    <n v="176"/>
    <n v="1"/>
    <n v="9379.7199999999993"/>
    <d v="2024-11-04T08:06:40"/>
    <n v="16"/>
    <s v="Friday"/>
    <n v="-0.50890799670822995"/>
    <b v="0"/>
    <b v="0"/>
    <b v="1"/>
    <n v="0"/>
    <m/>
    <n v="0"/>
    <m/>
  </r>
  <r>
    <s v="TX001186"/>
    <s v="AC00060"/>
    <n v="74.27"/>
    <d v="2023-07-13T17:17:07"/>
    <s v="Credit"/>
    <x v="11"/>
    <s v="D000249"/>
    <s v="190.164.160.79"/>
    <s v="M090"/>
    <s v="Online"/>
    <n v="59"/>
    <s v="Doctor"/>
    <n v="148"/>
    <n v="1"/>
    <n v="13696.61"/>
    <d v="2024-11-04T08:11:20"/>
    <n v="17"/>
    <s v="Thursday"/>
    <n v="-0.764948283899336"/>
    <b v="0"/>
    <b v="0"/>
    <b v="1"/>
    <n v="0"/>
    <m/>
    <n v="0"/>
    <m/>
  </r>
  <r>
    <s v="TX001187"/>
    <s v="AC00384"/>
    <n v="876.57"/>
    <d v="2023-09-11T16:16:06"/>
    <s v="Credit"/>
    <x v="42"/>
    <s v="D000359"/>
    <s v="195.164.171.146"/>
    <s v="M056"/>
    <s v="ATM"/>
    <n v="62"/>
    <s v="Retired"/>
    <n v="118"/>
    <n v="1"/>
    <n v="3743.63"/>
    <d v="2024-11-04T08:06:54"/>
    <n v="16"/>
    <s v="Monday"/>
    <n v="1.9831603771498101"/>
    <b v="0"/>
    <b v="0"/>
    <b v="1"/>
    <n v="0"/>
    <m/>
    <n v="0"/>
    <m/>
  </r>
  <r>
    <s v="TX001188"/>
    <s v="AC00483"/>
    <n v="615.58000000000004"/>
    <d v="2023-09-25T16:40:00"/>
    <s v="Debit"/>
    <x v="36"/>
    <s v="D000649"/>
    <s v="168.55.199.214"/>
    <s v="M059"/>
    <s v="ATM"/>
    <n v="42"/>
    <s v="Doctor"/>
    <n v="133"/>
    <n v="1"/>
    <n v="14343"/>
    <d v="2024-11-04T08:10:55"/>
    <n v="16"/>
    <s v="Monday"/>
    <n v="1.0891944299390199"/>
    <b v="0"/>
    <b v="0"/>
    <b v="1"/>
    <n v="0"/>
    <m/>
    <n v="0"/>
    <m/>
  </r>
  <r>
    <s v="TX001189"/>
    <s v="AC00126"/>
    <n v="643.03"/>
    <d v="2023-08-01T16:23:37"/>
    <s v="Credit"/>
    <x v="36"/>
    <s v="D000384"/>
    <s v="104.155.121.252"/>
    <s v="M002"/>
    <s v="Online"/>
    <n v="36"/>
    <s v="Engineer"/>
    <n v="52"/>
    <n v="1"/>
    <n v="2882.16"/>
    <d v="2024-11-04T08:08:22"/>
    <n v="16"/>
    <s v="Tuesday"/>
    <n v="1.1832185889142199"/>
    <b v="0"/>
    <b v="0"/>
    <b v="1"/>
    <n v="0"/>
    <m/>
    <n v="0"/>
    <m/>
  </r>
  <r>
    <s v="TX001190"/>
    <s v="AC00437"/>
    <n v="7.95"/>
    <d v="2023-01-09T16:45:12"/>
    <s v="Debit"/>
    <x v="37"/>
    <s v="D000147"/>
    <s v="101.120.142.50"/>
    <s v="M087"/>
    <s v="ATM"/>
    <n v="79"/>
    <s v="Retired"/>
    <n v="65"/>
    <n v="1"/>
    <n v="5631.2"/>
    <d v="2024-11-04T08:10:06"/>
    <n v="16"/>
    <s v="Monday"/>
    <n v="-0.99211339221390604"/>
    <b v="0"/>
    <b v="0"/>
    <b v="1"/>
    <n v="0"/>
    <m/>
    <n v="0"/>
    <m/>
  </r>
  <r>
    <s v="TX001191"/>
    <s v="AC00382"/>
    <n v="270.92"/>
    <d v="2023-04-21T17:03:13"/>
    <s v="Credit"/>
    <x v="12"/>
    <s v="D000108"/>
    <s v="171.101.134.74"/>
    <s v="M066"/>
    <s v="Branch"/>
    <n v="77"/>
    <s v="Retired"/>
    <n v="143"/>
    <n v="1"/>
    <n v="4574.43"/>
    <d v="2024-11-04T08:06:51"/>
    <n v="17"/>
    <s v="Friday"/>
    <n v="-9.1365374519657302E-2"/>
    <b v="0"/>
    <b v="0"/>
    <b v="1"/>
    <n v="0"/>
    <m/>
    <n v="0"/>
    <m/>
  </r>
  <r>
    <s v="TX001192"/>
    <s v="AC00339"/>
    <n v="499.48"/>
    <d v="2023-01-17T16:57:06"/>
    <s v="Debit"/>
    <x v="27"/>
    <s v="D000242"/>
    <s v="200.13.225.150"/>
    <s v="M012"/>
    <s v="ATM"/>
    <n v="24"/>
    <s v="Student"/>
    <n v="133"/>
    <n v="1"/>
    <n v="1242.6199999999999"/>
    <d v="2024-11-04T08:08:44"/>
    <n v="16"/>
    <s v="Tuesday"/>
    <n v="0.69151847886360895"/>
    <b v="0"/>
    <b v="0"/>
    <b v="1"/>
    <n v="0"/>
    <m/>
    <n v="0"/>
    <m/>
  </r>
  <r>
    <s v="TX001193"/>
    <s v="AC00498"/>
    <n v="841.5"/>
    <d v="2023-05-22T16:33:16"/>
    <s v="Credit"/>
    <x v="4"/>
    <s v="D000659"/>
    <s v="207.157.126.125"/>
    <s v="M020"/>
    <s v="Branch"/>
    <n v="25"/>
    <s v="Student"/>
    <n v="287"/>
    <n v="1"/>
    <n v="352.31"/>
    <d v="2024-11-04T08:09:07"/>
    <n v="16"/>
    <s v="Monday"/>
    <n v="1.86303552267768"/>
    <b v="0"/>
    <b v="0"/>
    <b v="1"/>
    <n v="0"/>
    <m/>
    <n v="0"/>
    <m/>
  </r>
  <r>
    <s v="TX001194"/>
    <s v="AC00178"/>
    <n v="138.82"/>
    <d v="2023-10-16T16:12:20"/>
    <s v="Debit"/>
    <x v="18"/>
    <s v="D000493"/>
    <s v="83.207.115.164"/>
    <s v="M030"/>
    <s v="Online"/>
    <n v="77"/>
    <s v="Retired"/>
    <n v="53"/>
    <n v="1"/>
    <n v="3100.22"/>
    <d v="2024-11-04T08:11:48"/>
    <n v="16"/>
    <s v="Monday"/>
    <n v="-0.54384593556240102"/>
    <b v="0"/>
    <b v="0"/>
    <b v="1"/>
    <n v="0"/>
    <m/>
    <n v="0"/>
    <m/>
  </r>
  <r>
    <s v="TX001195"/>
    <s v="AC00201"/>
    <n v="231.46"/>
    <d v="2023-06-08T16:42:30"/>
    <s v="Credit"/>
    <x v="19"/>
    <s v="D000135"/>
    <s v="77.208.193.198"/>
    <s v="M047"/>
    <s v="Branch"/>
    <n v="60"/>
    <s v="Engineer"/>
    <n v="83"/>
    <n v="1"/>
    <n v="4707.24"/>
    <d v="2024-11-04T08:08:31"/>
    <n v="16"/>
    <s v="Thursday"/>
    <n v="-0.22652724385157699"/>
    <b v="0"/>
    <b v="0"/>
    <b v="1"/>
    <n v="0"/>
    <m/>
    <n v="0"/>
    <m/>
  </r>
  <r>
    <s v="TX001196"/>
    <s v="AC00124"/>
    <n v="292.08"/>
    <d v="2023-12-29T18:07:04"/>
    <s v="Debit"/>
    <x v="15"/>
    <s v="D000631"/>
    <s v="218.54.207.160"/>
    <s v="M067"/>
    <s v="ATM"/>
    <n v="72"/>
    <s v="Retired"/>
    <n v="32"/>
    <n v="1"/>
    <n v="7950.48"/>
    <d v="2024-11-04T08:09:34"/>
    <n v="18"/>
    <s v="Friday"/>
    <n v="-1.88862778378674E-2"/>
    <b v="0"/>
    <b v="0"/>
    <b v="1"/>
    <n v="0"/>
    <m/>
    <n v="0"/>
    <m/>
  </r>
  <r>
    <s v="TX001197"/>
    <s v="AC00404"/>
    <n v="63.98"/>
    <d v="2023-10-30T16:01:43"/>
    <s v="Debit"/>
    <x v="21"/>
    <s v="D000150"/>
    <s v="182.225.2.156"/>
    <s v="M026"/>
    <s v="Online"/>
    <n v="54"/>
    <s v="Doctor"/>
    <n v="258"/>
    <n v="1"/>
    <n v="7954.12"/>
    <d v="2024-11-04T08:06:53"/>
    <n v="16"/>
    <s v="Monday"/>
    <n v="-0.80019449868457304"/>
    <b v="0"/>
    <b v="0"/>
    <b v="1"/>
    <n v="0"/>
    <m/>
    <n v="0"/>
    <m/>
  </r>
  <r>
    <s v="TX001198"/>
    <s v="AC00347"/>
    <n v="235.21"/>
    <d v="2023-10-16T16:44:52"/>
    <s v="Debit"/>
    <x v="35"/>
    <s v="D000300"/>
    <s v="106.244.1.47"/>
    <s v="M007"/>
    <s v="Branch"/>
    <n v="67"/>
    <s v="Doctor"/>
    <n v="74"/>
    <n v="1"/>
    <n v="5946.61"/>
    <d v="2024-11-04T08:10:59"/>
    <n v="16"/>
    <s v="Monday"/>
    <n v="-0.21368241339048499"/>
    <b v="0"/>
    <b v="0"/>
    <b v="1"/>
    <n v="0"/>
    <m/>
    <n v="0"/>
    <m/>
  </r>
  <r>
    <s v="TX001199"/>
    <s v="AC00480"/>
    <n v="201.73"/>
    <d v="2023-09-05T18:45:22"/>
    <s v="Debit"/>
    <x v="21"/>
    <s v="D000246"/>
    <s v="214.67.148.245"/>
    <s v="M096"/>
    <s v="Online"/>
    <n v="57"/>
    <s v="Engineer"/>
    <n v="78"/>
    <n v="1"/>
    <n v="6650.71"/>
    <d v="2024-11-04T08:12:07"/>
    <n v="18"/>
    <s v="Tuesday"/>
    <n v="-0.32836105974711699"/>
    <b v="0"/>
    <b v="0"/>
    <b v="1"/>
    <n v="0"/>
    <m/>
    <n v="0"/>
    <m/>
  </r>
  <r>
    <s v="TX001200"/>
    <s v="AC00303"/>
    <n v="161.31"/>
    <d v="2023-09-11T16:24:57"/>
    <s v="Debit"/>
    <x v="9"/>
    <s v="D000577"/>
    <s v="34.86.220.205"/>
    <s v="M051"/>
    <s v="ATM"/>
    <n v="28"/>
    <s v="Student"/>
    <n v="13"/>
    <n v="1"/>
    <n v="1268.67"/>
    <d v="2024-11-04T08:08:54"/>
    <n v="16"/>
    <s v="Monday"/>
    <n v="-0.46681120567707701"/>
    <b v="0"/>
    <b v="0"/>
    <b v="1"/>
    <n v="0"/>
    <m/>
    <n v="0"/>
    <m/>
  </r>
  <r>
    <s v="TX001201"/>
    <s v="AC00249"/>
    <n v="18.41"/>
    <d v="2023-12-01T17:26:46"/>
    <s v="Debit"/>
    <x v="4"/>
    <s v="D000028"/>
    <s v="58.190.9.136"/>
    <s v="M072"/>
    <s v="Branch"/>
    <n v="53"/>
    <s v="Doctor"/>
    <n v="168"/>
    <n v="1"/>
    <n v="8287.5400000000009"/>
    <d v="2024-11-04T08:11:30"/>
    <n v="17"/>
    <s v="Friday"/>
    <n v="-0.956284878447766"/>
    <b v="0"/>
    <b v="0"/>
    <b v="1"/>
    <n v="0"/>
    <m/>
    <n v="0"/>
    <m/>
  </r>
  <r>
    <s v="TX001202"/>
    <s v="AC00263"/>
    <n v="471.75"/>
    <d v="2023-06-06T18:31:06"/>
    <s v="Credit"/>
    <x v="24"/>
    <s v="D000443"/>
    <s v="100.4.40.132"/>
    <s v="M048"/>
    <s v="Branch"/>
    <n v="34"/>
    <s v="Doctor"/>
    <n v="41"/>
    <n v="1"/>
    <n v="12948.5"/>
    <d v="2024-11-04T08:10:54"/>
    <n v="18"/>
    <s v="Tuesday"/>
    <n v="0.59653523921398499"/>
    <b v="0"/>
    <b v="0"/>
    <b v="1"/>
    <n v="0"/>
    <m/>
    <n v="0"/>
    <m/>
  </r>
  <r>
    <s v="TX001203"/>
    <s v="AC00108"/>
    <n v="290.02"/>
    <d v="2023-09-25T17:48:55"/>
    <s v="Debit"/>
    <x v="20"/>
    <s v="D000406"/>
    <s v="173.252.44.183"/>
    <s v="M005"/>
    <s v="Branch"/>
    <n v="55"/>
    <s v="Engineer"/>
    <n v="246"/>
    <n v="1"/>
    <n v="4746.71"/>
    <d v="2024-11-04T08:07:56"/>
    <n v="17"/>
    <s v="Monday"/>
    <n v="-2.5942371371160702E-2"/>
    <b v="0"/>
    <b v="0"/>
    <b v="1"/>
    <n v="0"/>
    <m/>
    <n v="0"/>
    <m/>
  </r>
  <r>
    <s v="TX001204"/>
    <s v="AC00490"/>
    <n v="48.05"/>
    <d v="2023-05-18T17:34:20"/>
    <s v="Debit"/>
    <x v="22"/>
    <s v="D000668"/>
    <s v="125.225.212.244"/>
    <s v="M060"/>
    <s v="Branch"/>
    <n v="27"/>
    <s v="Engineer"/>
    <n v="38"/>
    <n v="1"/>
    <n v="5334.97"/>
    <d v="2024-11-04T08:09:07"/>
    <n v="17"/>
    <s v="Thursday"/>
    <n v="-0.854759338483293"/>
    <b v="0"/>
    <b v="0"/>
    <b v="1"/>
    <n v="0"/>
    <m/>
    <n v="0"/>
    <m/>
  </r>
  <r>
    <s v="TX001205"/>
    <s v="AC00411"/>
    <n v="359.42"/>
    <d v="2023-05-29T16:17:37"/>
    <s v="Debit"/>
    <x v="21"/>
    <s v="D000567"/>
    <s v="23.163.145.195"/>
    <s v="M089"/>
    <s v="Branch"/>
    <n v="55"/>
    <s v="Doctor"/>
    <n v="30"/>
    <n v="1"/>
    <n v="1765.45"/>
    <d v="2024-11-04T08:06:42"/>
    <n v="16"/>
    <s v="Monday"/>
    <n v="0.21177262436211999"/>
    <b v="0"/>
    <b v="0"/>
    <b v="1"/>
    <n v="0"/>
    <m/>
    <n v="0"/>
    <m/>
  </r>
  <r>
    <s v="TX001206"/>
    <s v="AC00087"/>
    <n v="32.909999999999997"/>
    <d v="2023-05-04T16:37:01"/>
    <s v="Debit"/>
    <x v="18"/>
    <s v="D000471"/>
    <s v="54.252.249.33"/>
    <s v="M036"/>
    <s v="Online"/>
    <n v="19"/>
    <s v="Student"/>
    <n v="255"/>
    <n v="1"/>
    <n v="427.3"/>
    <d v="2024-11-04T08:06:44"/>
    <n v="16"/>
    <s v="Thursday"/>
    <n v="-0.90661820066487597"/>
    <b v="0"/>
    <b v="0"/>
    <b v="1"/>
    <n v="0"/>
    <m/>
    <n v="0"/>
    <m/>
  </r>
  <r>
    <s v="TX001207"/>
    <s v="AC00196"/>
    <n v="3.8"/>
    <d v="2023-08-08T16:47:28"/>
    <s v="Debit"/>
    <x v="13"/>
    <s v="D000619"/>
    <s v="56.116.189.0"/>
    <s v="M074"/>
    <s v="Branch"/>
    <n v="67"/>
    <s v="Retired"/>
    <n v="140"/>
    <n v="1"/>
    <n v="6285.39"/>
    <d v="2024-11-04T08:08:31"/>
    <n v="16"/>
    <s v="Tuesday"/>
    <n v="-1.0063283379241801"/>
    <b v="0"/>
    <b v="0"/>
    <b v="1"/>
    <n v="0"/>
    <m/>
    <n v="0"/>
    <m/>
  </r>
  <r>
    <s v="TX001208"/>
    <s v="AC00267"/>
    <n v="31.81"/>
    <d v="2023-04-06T17:41:53"/>
    <s v="Debit"/>
    <x v="18"/>
    <s v="D000641"/>
    <s v="147.114.91.132"/>
    <s v="M033"/>
    <s v="Online"/>
    <n v="51"/>
    <s v="Retired"/>
    <n v="149"/>
    <n v="1"/>
    <n v="1406.6"/>
    <d v="2024-11-04T08:06:48"/>
    <n v="17"/>
    <s v="Thursday"/>
    <n v="-0.91038601760013005"/>
    <b v="0"/>
    <b v="0"/>
    <b v="1"/>
    <n v="0"/>
    <m/>
    <n v="0"/>
    <m/>
  </r>
  <r>
    <s v="TX001209"/>
    <s v="AC00267"/>
    <n v="220.2"/>
    <d v="2023-09-11T16:25:04"/>
    <s v="Debit"/>
    <x v="35"/>
    <s v="D000288"/>
    <s v="23.255.214.209"/>
    <s v="M047"/>
    <s v="Online"/>
    <n v="28"/>
    <s v="Student"/>
    <n v="102"/>
    <n v="1"/>
    <n v="1075.1500000000001"/>
    <d v="2024-11-04T08:11:18"/>
    <n v="16"/>
    <s v="Monday"/>
    <n v="-0.26509598811608398"/>
    <b v="0"/>
    <b v="0"/>
    <b v="1"/>
    <n v="0"/>
    <m/>
    <n v="0"/>
    <m/>
  </r>
  <r>
    <s v="TX001210"/>
    <s v="AC00125"/>
    <n v="476.03"/>
    <d v="2023-09-01T16:12:35"/>
    <s v="Credit"/>
    <x v="1"/>
    <s v="D000470"/>
    <s v="130.92.201.49"/>
    <s v="M003"/>
    <s v="Branch"/>
    <n v="77"/>
    <s v="Retired"/>
    <n v="99"/>
    <n v="1"/>
    <n v="5958.34"/>
    <d v="2024-11-04T08:09:08"/>
    <n v="16"/>
    <s v="Friday"/>
    <n v="0.61119547238024496"/>
    <b v="0"/>
    <b v="0"/>
    <b v="1"/>
    <n v="0"/>
    <m/>
    <n v="0"/>
    <m/>
  </r>
  <r>
    <s v="TX001211"/>
    <s v="AC00428"/>
    <n v="141.91"/>
    <d v="2023-01-19T17:08:04"/>
    <s v="Debit"/>
    <x v="19"/>
    <s v="D000069"/>
    <s v="152.234.65.155"/>
    <s v="M051"/>
    <s v="Branch"/>
    <n v="23"/>
    <s v="Student"/>
    <n v="49"/>
    <n v="1"/>
    <n v="791.97"/>
    <d v="2024-11-04T08:09:42"/>
    <n v="17"/>
    <s v="Thursday"/>
    <n v="-0.53326179526246098"/>
    <b v="0"/>
    <b v="0"/>
    <b v="1"/>
    <n v="0"/>
    <m/>
    <n v="0"/>
    <m/>
  </r>
  <r>
    <s v="TX001212"/>
    <s v="AC00477"/>
    <n v="95.83"/>
    <d v="2023-12-01T16:01:26"/>
    <s v="Debit"/>
    <x v="38"/>
    <s v="D000089"/>
    <s v="133.67.250.163"/>
    <s v="M070"/>
    <s v="Online"/>
    <n v="27"/>
    <s v="Student"/>
    <n v="91"/>
    <n v="1"/>
    <n v="1726.4"/>
    <d v="2024-11-04T08:08:23"/>
    <n v="16"/>
    <s v="Friday"/>
    <n v="-0.69109907196836295"/>
    <b v="0"/>
    <b v="0"/>
    <b v="1"/>
    <n v="0"/>
    <m/>
    <n v="0"/>
    <m/>
  </r>
  <r>
    <s v="TX001213"/>
    <s v="AC00417"/>
    <n v="51.15"/>
    <d v="2023-03-01T17:26:49"/>
    <s v="Credit"/>
    <x v="16"/>
    <s v="D000215"/>
    <s v="221.206.44.63"/>
    <s v="M019"/>
    <s v="Branch"/>
    <n v="46"/>
    <s v="Engineer"/>
    <n v="199"/>
    <n v="1"/>
    <n v="8992.25"/>
    <d v="2024-11-04T08:10:54"/>
    <n v="17"/>
    <s v="Wednesday"/>
    <n v="-0.84414094530212302"/>
    <b v="0"/>
    <b v="0"/>
    <b v="1"/>
    <n v="0"/>
    <m/>
    <n v="0"/>
    <m/>
  </r>
  <r>
    <s v="TX001214"/>
    <s v="AC00170"/>
    <n v="1192.2"/>
    <d v="2023-12-21T16:21:27"/>
    <s v="Credit"/>
    <x v="36"/>
    <s v="D000174"/>
    <s v="40.10.25.102"/>
    <s v="M093"/>
    <s v="Branch"/>
    <n v="60"/>
    <s v="Retired"/>
    <n v="103"/>
    <n v="5"/>
    <n v="7816.41"/>
    <d v="2024-11-04T08:09:14"/>
    <n v="16"/>
    <s v="Thursday"/>
    <n v="3.0642840673990301"/>
    <b v="1"/>
    <b v="1"/>
    <b v="1"/>
    <n v="2"/>
    <m/>
    <n v="1"/>
    <m/>
  </r>
  <r>
    <s v="TX001215"/>
    <s v="AC00147"/>
    <n v="50.75"/>
    <d v="2023-08-14T18:14:23"/>
    <s v="Debit"/>
    <x v="35"/>
    <s v="D000642"/>
    <s v="157.47.114.20"/>
    <s v="M018"/>
    <s v="ATM"/>
    <n v="62"/>
    <s v="Doctor"/>
    <n v="185"/>
    <n v="1"/>
    <n v="8271.4699999999993"/>
    <d v="2024-11-04T08:07:41"/>
    <n v="18"/>
    <s v="Monday"/>
    <n v="-0.84551106055130598"/>
    <b v="0"/>
    <b v="0"/>
    <b v="1"/>
    <n v="0"/>
    <m/>
    <n v="0"/>
    <m/>
  </r>
  <r>
    <s v="TX001216"/>
    <s v="AC00097"/>
    <n v="185.07"/>
    <d v="2023-12-19T16:57:40"/>
    <s v="Debit"/>
    <x v="40"/>
    <s v="D000322"/>
    <s v="76.136.92.235"/>
    <s v="M062"/>
    <s v="Branch"/>
    <n v="22"/>
    <s v="Student"/>
    <n v="159"/>
    <n v="1"/>
    <n v="636.41999999999996"/>
    <d v="2024-11-04T08:07:39"/>
    <n v="16"/>
    <s v="Tuesday"/>
    <n v="-0.38542635987559598"/>
    <b v="0"/>
    <b v="0"/>
    <b v="1"/>
    <n v="0"/>
    <m/>
    <n v="0"/>
    <m/>
  </r>
  <r>
    <s v="TX001217"/>
    <s v="AC00433"/>
    <n v="293.54000000000002"/>
    <d v="2023-01-16T17:26:12"/>
    <s v="Debit"/>
    <x v="30"/>
    <s v="D000255"/>
    <s v="16.94.155.46"/>
    <s v="M026"/>
    <s v="Online"/>
    <n v="40"/>
    <s v="Engineer"/>
    <n v="45"/>
    <n v="1"/>
    <n v="2290.1"/>
    <d v="2024-11-04T08:08:24"/>
    <n v="17"/>
    <s v="Monday"/>
    <n v="-1.3885357178348601E-2"/>
    <b v="0"/>
    <b v="0"/>
    <b v="1"/>
    <n v="0"/>
    <m/>
    <n v="0"/>
    <m/>
  </r>
  <r>
    <s v="TX001218"/>
    <s v="AC00381"/>
    <n v="23.38"/>
    <d v="2023-09-25T18:46:41"/>
    <s v="Debit"/>
    <x v="11"/>
    <s v="D000412"/>
    <s v="6.204.110.7"/>
    <s v="M062"/>
    <s v="Branch"/>
    <n v="32"/>
    <s v="Engineer"/>
    <n v="89"/>
    <n v="1"/>
    <n v="9968.49"/>
    <d v="2024-11-04T08:09:41"/>
    <n v="18"/>
    <s v="Monday"/>
    <n v="-0.93926119647666495"/>
    <b v="0"/>
    <b v="0"/>
    <b v="1"/>
    <n v="0"/>
    <m/>
    <n v="0"/>
    <m/>
  </r>
  <r>
    <s v="TX001219"/>
    <s v="AC00398"/>
    <n v="285.26"/>
    <d v="2023-11-01T16:09:05"/>
    <s v="Debit"/>
    <x v="4"/>
    <s v="D000137"/>
    <s v="64.57.44.102"/>
    <s v="M062"/>
    <s v="ATM"/>
    <n v="28"/>
    <s v="Student"/>
    <n v="93"/>
    <n v="1"/>
    <n v="167.72"/>
    <d v="2024-11-04T08:11:15"/>
    <n v="16"/>
    <s v="Wednesday"/>
    <n v="-4.2246742836440497E-2"/>
    <b v="0"/>
    <b v="0"/>
    <b v="1"/>
    <n v="0"/>
    <m/>
    <n v="0"/>
    <m/>
  </r>
  <r>
    <s v="TX001220"/>
    <s v="AC00029"/>
    <n v="129.47999999999999"/>
    <d v="2023-02-06T16:30:43"/>
    <s v="Debit"/>
    <x v="6"/>
    <s v="D000315"/>
    <s v="106.244.1.47"/>
    <s v="M001"/>
    <s v="ATM"/>
    <n v="31"/>
    <s v="Engineer"/>
    <n v="179"/>
    <n v="1"/>
    <n v="7581.7"/>
    <d v="2024-11-04T08:10:43"/>
    <n v="16"/>
    <s v="Monday"/>
    <n v="-0.57583812663082801"/>
    <b v="0"/>
    <b v="0"/>
    <b v="1"/>
    <n v="0"/>
    <m/>
    <n v="0"/>
    <m/>
  </r>
  <r>
    <s v="TX001221"/>
    <s v="AC00291"/>
    <n v="743.03"/>
    <d v="2023-07-27T16:55:39"/>
    <s v="Debit"/>
    <x v="22"/>
    <s v="D000103"/>
    <s v="73.54.203.165"/>
    <s v="M050"/>
    <s v="ATM"/>
    <n v="50"/>
    <s v="Engineer"/>
    <n v="174"/>
    <n v="1"/>
    <n v="4111.38"/>
    <d v="2024-11-04T08:09:19"/>
    <n v="16"/>
    <s v="Thursday"/>
    <n v="1.5257474012100101"/>
    <b v="0"/>
    <b v="0"/>
    <b v="1"/>
    <n v="0"/>
    <m/>
    <n v="0"/>
    <m/>
  </r>
  <r>
    <s v="TX001222"/>
    <s v="AC00431"/>
    <n v="297.86"/>
    <d v="2023-02-06T17:32:04"/>
    <s v="Credit"/>
    <x v="20"/>
    <s v="D000419"/>
    <s v="205.45.234.42"/>
    <s v="M070"/>
    <s v="ATM"/>
    <n v="28"/>
    <s v="Student"/>
    <n v="96"/>
    <n v="1"/>
    <n v="1680.14"/>
    <d v="2024-11-04T08:11:40"/>
    <n v="17"/>
    <s v="Monday"/>
    <n v="9.1188751282957504E-4"/>
    <b v="0"/>
    <b v="0"/>
    <b v="1"/>
    <n v="0"/>
    <m/>
    <n v="0"/>
    <m/>
  </r>
  <r>
    <s v="TX001223"/>
    <s v="AC00275"/>
    <n v="231.92"/>
    <d v="2023-07-10T18:00:56"/>
    <s v="Debit"/>
    <x v="7"/>
    <s v="D000280"/>
    <s v="47.82.77.181"/>
    <s v="M049"/>
    <s v="ATM"/>
    <n v="66"/>
    <s v="Doctor"/>
    <n v="12"/>
    <n v="1"/>
    <n v="5715.08"/>
    <d v="2024-11-04T08:11:27"/>
    <n v="18"/>
    <s v="Monday"/>
    <n v="-0.22495161131501701"/>
    <b v="0"/>
    <b v="0"/>
    <b v="1"/>
    <n v="0"/>
    <m/>
    <n v="0"/>
    <m/>
  </r>
  <r>
    <s v="TX001224"/>
    <s v="AC00093"/>
    <n v="295.82"/>
    <d v="2023-12-14T16:15:28"/>
    <s v="Credit"/>
    <x v="29"/>
    <s v="D000088"/>
    <s v="144.228.168.6"/>
    <s v="M041"/>
    <s v="Branch"/>
    <n v="47"/>
    <s v="Engineer"/>
    <n v="46"/>
    <n v="1"/>
    <n v="5897.73"/>
    <d v="2024-11-04T08:07:47"/>
    <n v="16"/>
    <s v="Thursday"/>
    <n v="-6.0757002580046904E-3"/>
    <b v="0"/>
    <b v="0"/>
    <b v="1"/>
    <n v="0"/>
    <m/>
    <n v="0"/>
    <m/>
  </r>
  <r>
    <s v="TX001225"/>
    <s v="AC00442"/>
    <n v="302.86"/>
    <d v="2023-07-03T18:56:03"/>
    <s v="Debit"/>
    <x v="16"/>
    <s v="D000004"/>
    <s v="144.91.150.133"/>
    <s v="M081"/>
    <s v="Online"/>
    <n v="55"/>
    <s v="Doctor"/>
    <n v="275"/>
    <n v="1"/>
    <n v="5239.24"/>
    <d v="2024-11-04T08:12:06"/>
    <n v="18"/>
    <s v="Monday"/>
    <n v="1.8038328127619199E-2"/>
    <b v="0"/>
    <b v="0"/>
    <b v="1"/>
    <n v="0"/>
    <m/>
    <n v="0"/>
    <m/>
  </r>
  <r>
    <s v="TX001226"/>
    <s v="AC00465"/>
    <n v="81.08"/>
    <d v="2023-09-19T16:56:35"/>
    <s v="Debit"/>
    <x v="32"/>
    <s v="D000196"/>
    <s v="119.43.28.203"/>
    <s v="M089"/>
    <s v="ATM"/>
    <n v="58"/>
    <s v="Engineer"/>
    <n v="56"/>
    <n v="1"/>
    <n v="7788.91"/>
    <d v="2024-11-04T08:07:17"/>
    <n v="16"/>
    <s v="Tuesday"/>
    <n v="-0.74162207178199202"/>
    <b v="0"/>
    <b v="0"/>
    <b v="1"/>
    <n v="0"/>
    <m/>
    <n v="0"/>
    <m/>
  </r>
  <r>
    <s v="TX001227"/>
    <s v="AC00158"/>
    <n v="775.6"/>
    <d v="2023-08-21T17:43:17"/>
    <s v="Credit"/>
    <x v="2"/>
    <s v="D000627"/>
    <s v="73.108.76.238"/>
    <s v="M070"/>
    <s v="Branch"/>
    <n v="79"/>
    <s v="Retired"/>
    <n v="158"/>
    <n v="1"/>
    <n v="3898.64"/>
    <d v="2024-11-04T08:08:12"/>
    <n v="17"/>
    <s v="Monday"/>
    <n v="1.6373090353747499"/>
    <b v="0"/>
    <b v="0"/>
    <b v="1"/>
    <n v="0"/>
    <m/>
    <n v="0"/>
    <m/>
  </r>
  <r>
    <s v="TX001228"/>
    <s v="AC00334"/>
    <n v="178.43"/>
    <d v="2023-12-26T18:13:56"/>
    <s v="Debit"/>
    <x v="21"/>
    <s v="D000158"/>
    <s v="1.198.76.182"/>
    <s v="M041"/>
    <s v="Branch"/>
    <n v="26"/>
    <s v="Student"/>
    <n v="136"/>
    <n v="1"/>
    <n v="1214.93"/>
    <d v="2024-11-04T08:07:58"/>
    <n v="18"/>
    <s v="Tuesday"/>
    <n v="-0.40817027301203701"/>
    <b v="0"/>
    <b v="0"/>
    <b v="1"/>
    <n v="0"/>
    <m/>
    <n v="0"/>
    <m/>
  </r>
  <r>
    <s v="TX001229"/>
    <s v="AC00093"/>
    <n v="211.91"/>
    <d v="2023-09-18T16:51:04"/>
    <s v="Debit"/>
    <x v="7"/>
    <s v="D000487"/>
    <s v="166.79.195.157"/>
    <s v="M075"/>
    <s v="Online"/>
    <n v="20"/>
    <s v="Student"/>
    <n v="181"/>
    <n v="1"/>
    <n v="927.47"/>
    <d v="2024-11-04T08:08:46"/>
    <n v="16"/>
    <s v="Monday"/>
    <n v="-0.29349162665540501"/>
    <b v="0"/>
    <b v="0"/>
    <b v="1"/>
    <n v="0"/>
    <m/>
    <n v="0"/>
    <m/>
  </r>
  <r>
    <s v="TX001230"/>
    <s v="AC00229"/>
    <n v="17.21"/>
    <d v="2023-12-25T17:18:58"/>
    <s v="Debit"/>
    <x v="32"/>
    <s v="D000618"/>
    <s v="119.43.28.203"/>
    <s v="M004"/>
    <s v="Online"/>
    <n v="23"/>
    <s v="Student"/>
    <n v="219"/>
    <n v="1"/>
    <n v="914.16"/>
    <d v="2024-11-04T08:06:59"/>
    <n v="17"/>
    <s v="Monday"/>
    <n v="-0.96039522419531598"/>
    <b v="0"/>
    <b v="0"/>
    <b v="1"/>
    <n v="0"/>
    <m/>
    <n v="0"/>
    <m/>
  </r>
  <r>
    <s v="TX001231"/>
    <s v="AC00373"/>
    <n v="124.22"/>
    <d v="2023-05-19T17:57:36"/>
    <s v="Debit"/>
    <x v="27"/>
    <s v="D000523"/>
    <s v="130.29.230.16"/>
    <s v="M013"/>
    <s v="ATM"/>
    <n v="23"/>
    <s v="Student"/>
    <n v="172"/>
    <n v="1"/>
    <n v="9695.0400000000009"/>
    <d v="2024-11-04T08:08:04"/>
    <n v="17"/>
    <s v="Friday"/>
    <n v="-0.59385514215758695"/>
    <b v="0"/>
    <b v="0"/>
    <b v="1"/>
    <n v="0"/>
    <m/>
    <n v="0"/>
    <m/>
  </r>
  <r>
    <s v="TX001232"/>
    <s v="AC00328"/>
    <n v="38.369999999999997"/>
    <d v="2023-09-01T16:07:38"/>
    <s v="Debit"/>
    <x v="25"/>
    <s v="D000228"/>
    <s v="136.162.111.135"/>
    <s v="M003"/>
    <s v="ATM"/>
    <n v="63"/>
    <s v="Doctor"/>
    <n v="135"/>
    <n v="1"/>
    <n v="8647.0400000000009"/>
    <d v="2024-11-04T08:10:04"/>
    <n v="16"/>
    <s v="Friday"/>
    <n v="-0.887916127513526"/>
    <b v="0"/>
    <b v="0"/>
    <b v="1"/>
    <n v="0"/>
    <m/>
    <n v="0"/>
    <m/>
  </r>
  <r>
    <s v="TX001233"/>
    <s v="AC00160"/>
    <n v="269.79000000000002"/>
    <d v="2023-10-03T16:15:25"/>
    <s v="Debit"/>
    <x v="24"/>
    <s v="D000202"/>
    <s v="82.115.199.37"/>
    <s v="M013"/>
    <s v="ATM"/>
    <n v="52"/>
    <s v="Engineer"/>
    <n v="17"/>
    <n v="1"/>
    <n v="1292.0999999999999"/>
    <d v="2024-11-04T08:07:59"/>
    <n v="16"/>
    <s v="Tuesday"/>
    <n v="-9.5235950098599698E-2"/>
    <b v="0"/>
    <b v="0"/>
    <b v="1"/>
    <n v="0"/>
    <m/>
    <n v="0"/>
    <m/>
  </r>
  <r>
    <s v="TX001234"/>
    <s v="AC00014"/>
    <n v="605.41999999999996"/>
    <d v="2023-06-13T16:10:27"/>
    <s v="Debit"/>
    <x v="2"/>
    <s v="D000488"/>
    <s v="25.188.196.47"/>
    <s v="M085"/>
    <s v="ATM"/>
    <n v="21"/>
    <s v="Student"/>
    <n v="33"/>
    <n v="1"/>
    <n v="392.34"/>
    <d v="2024-11-04T08:09:40"/>
    <n v="16"/>
    <s v="Tuesday"/>
    <n v="1.0543935026097699"/>
    <b v="0"/>
    <b v="0"/>
    <b v="1"/>
    <n v="0"/>
    <m/>
    <n v="0"/>
    <m/>
  </r>
  <r>
    <s v="TX001235"/>
    <s v="AC00090"/>
    <n v="11.19"/>
    <d v="2023-01-02T17:34:13"/>
    <s v="Debit"/>
    <x v="14"/>
    <s v="D000384"/>
    <s v="195.237.152.198"/>
    <s v="M090"/>
    <s v="ATM"/>
    <n v="60"/>
    <s v="Engineer"/>
    <n v="40"/>
    <n v="1"/>
    <n v="9877.17"/>
    <d v="2024-11-04T08:12:22"/>
    <n v="17"/>
    <s v="Monday"/>
    <n v="-0.98101545869552198"/>
    <b v="0"/>
    <b v="0"/>
    <b v="1"/>
    <n v="0"/>
    <m/>
    <n v="0"/>
    <m/>
  </r>
  <r>
    <s v="TX001236"/>
    <s v="AC00053"/>
    <n v="29.19"/>
    <d v="2023-01-25T17:39:15"/>
    <s v="Credit"/>
    <x v="9"/>
    <s v="D000300"/>
    <s v="146.53.16.47"/>
    <s v="M004"/>
    <s v="Branch"/>
    <n v="58"/>
    <s v="Doctor"/>
    <n v="41"/>
    <n v="1"/>
    <n v="12059.85"/>
    <d v="2024-11-04T08:11:34"/>
    <n v="17"/>
    <s v="Wednesday"/>
    <n v="-0.91936027248228003"/>
    <b v="0"/>
    <b v="0"/>
    <b v="1"/>
    <n v="0"/>
    <m/>
    <n v="0"/>
    <m/>
  </r>
  <r>
    <s v="TX001237"/>
    <s v="AC00478"/>
    <n v="701.7"/>
    <d v="2023-06-30T16:57:37"/>
    <s v="Credit"/>
    <x v="6"/>
    <s v="D000037"/>
    <s v="193.83.0.183"/>
    <s v="M055"/>
    <s v="Online"/>
    <n v="61"/>
    <s v="Retired"/>
    <n v="64"/>
    <n v="1"/>
    <n v="6643.24"/>
    <d v="2024-11-04T08:09:49"/>
    <n v="16"/>
    <s v="Friday"/>
    <n v="1.38418024308816"/>
    <b v="0"/>
    <b v="0"/>
    <b v="1"/>
    <n v="0"/>
    <m/>
    <n v="0"/>
    <m/>
  </r>
  <r>
    <s v="TX001238"/>
    <s v="AC00356"/>
    <n v="862.34"/>
    <d v="2023-05-25T16:16:02"/>
    <s v="Debit"/>
    <x v="31"/>
    <s v="D000137"/>
    <s v="49.174.157.140"/>
    <s v="M070"/>
    <s v="Branch"/>
    <n v="57"/>
    <s v="Doctor"/>
    <n v="72"/>
    <n v="1"/>
    <n v="9903.48"/>
    <d v="2024-11-04T08:12:05"/>
    <n v="16"/>
    <s v="Thursday"/>
    <n v="1.93441852716012"/>
    <b v="0"/>
    <b v="0"/>
    <b v="1"/>
    <n v="0"/>
    <m/>
    <n v="0"/>
    <m/>
  </r>
  <r>
    <s v="TX001239"/>
    <s v="AC00244"/>
    <n v="410.97"/>
    <d v="2023-09-25T17:01:56"/>
    <s v="Debit"/>
    <x v="16"/>
    <s v="D000309"/>
    <s v="148.112.151.27"/>
    <s v="M026"/>
    <s v="ATM"/>
    <n v="22"/>
    <s v="Student"/>
    <n v="45"/>
    <n v="1"/>
    <n v="151.41999999999999"/>
    <d v="2024-11-04T08:11:11"/>
    <n v="17"/>
    <s v="Monday"/>
    <n v="0.38834622710060202"/>
    <b v="0"/>
    <b v="0"/>
    <b v="1"/>
    <n v="0"/>
    <m/>
    <n v="0"/>
    <m/>
  </r>
  <r>
    <s v="TX001240"/>
    <s v="AC00103"/>
    <n v="36.97"/>
    <d v="2023-08-23T17:22:49"/>
    <s v="Debit"/>
    <x v="33"/>
    <s v="D000545"/>
    <s v="175.210.47.87"/>
    <s v="M087"/>
    <s v="Branch"/>
    <n v="41"/>
    <s v="Engineer"/>
    <n v="79"/>
    <n v="1"/>
    <n v="2850.92"/>
    <d v="2024-11-04T08:07:48"/>
    <n v="17"/>
    <s v="Wednesday"/>
    <n v="-0.89271153088566702"/>
    <b v="0"/>
    <b v="0"/>
    <b v="1"/>
    <n v="0"/>
    <m/>
    <n v="0"/>
    <m/>
  </r>
  <r>
    <s v="TX001241"/>
    <s v="AC00053"/>
    <n v="137.59"/>
    <d v="2023-01-03T16:27:16"/>
    <s v="Debit"/>
    <x v="9"/>
    <s v="D000439"/>
    <s v="161.25.82.11"/>
    <s v="M065"/>
    <s v="ATM"/>
    <n v="30"/>
    <s v="Doctor"/>
    <n v="95"/>
    <n v="1"/>
    <n v="10679.67"/>
    <d v="2024-11-04T08:11:30"/>
    <n v="16"/>
    <s v="Tuesday"/>
    <n v="-0.54805903995363903"/>
    <b v="0"/>
    <b v="0"/>
    <b v="1"/>
    <n v="0"/>
    <m/>
    <n v="0"/>
    <m/>
  </r>
  <r>
    <s v="TX001242"/>
    <s v="AC00151"/>
    <n v="168.11"/>
    <d v="2023-05-19T16:44:53"/>
    <s v="Credit"/>
    <x v="22"/>
    <s v="D000050"/>
    <s v="146.69.70.214"/>
    <s v="M015"/>
    <s v="Online"/>
    <n v="51"/>
    <s v="Doctor"/>
    <n v="12"/>
    <n v="1"/>
    <n v="10652.13"/>
    <d v="2024-11-04T08:06:59"/>
    <n v="16"/>
    <s v="Friday"/>
    <n v="-0.44351924644096302"/>
    <b v="0"/>
    <b v="0"/>
    <b v="1"/>
    <n v="0"/>
    <m/>
    <n v="0"/>
    <m/>
  </r>
  <r>
    <s v="TX001243"/>
    <s v="AC00494"/>
    <n v="430.98"/>
    <d v="2023-10-10T18:14:12"/>
    <s v="Debit"/>
    <x v="21"/>
    <s v="D000176"/>
    <s v="168.55.199.214"/>
    <s v="M058"/>
    <s v="Branch"/>
    <n v="24"/>
    <s v="Student"/>
    <n v="93"/>
    <n v="1"/>
    <n v="569.25"/>
    <d v="2024-11-04T08:11:00"/>
    <n v="18"/>
    <s v="Tuesday"/>
    <n v="0.45688624244099002"/>
    <b v="0"/>
    <b v="0"/>
    <b v="1"/>
    <n v="0"/>
    <m/>
    <n v="0"/>
    <m/>
  </r>
  <r>
    <s v="TX001244"/>
    <s v="AC00219"/>
    <n v="13.87"/>
    <d v="2023-12-11T18:32:40"/>
    <s v="Debit"/>
    <x v="37"/>
    <s v="D000670"/>
    <s v="37.227.215.145"/>
    <s v="M077"/>
    <s v="Branch"/>
    <n v="24"/>
    <s v="Student"/>
    <n v="20"/>
    <n v="1"/>
    <n v="954.83"/>
    <d v="2024-11-04T08:07:47"/>
    <n v="18"/>
    <s v="Monday"/>
    <n v="-0.97183568652599495"/>
    <b v="0"/>
    <b v="0"/>
    <b v="1"/>
    <n v="0"/>
    <m/>
    <n v="0"/>
    <m/>
  </r>
  <r>
    <s v="TX001245"/>
    <s v="AC00202"/>
    <n v="642.67999999999995"/>
    <d v="2023-05-25T16:45:31"/>
    <s v="Debit"/>
    <x v="36"/>
    <s v="D000643"/>
    <s v="141.241.241.128"/>
    <s v="M060"/>
    <s v="ATM"/>
    <n v="76"/>
    <s v="Retired"/>
    <n v="66"/>
    <n v="1"/>
    <n v="1831.2"/>
    <d v="2024-11-04T08:10:37"/>
    <n v="16"/>
    <s v="Thursday"/>
    <n v="1.1820197380711801"/>
    <b v="0"/>
    <b v="0"/>
    <b v="1"/>
    <n v="0"/>
    <m/>
    <n v="0"/>
    <m/>
  </r>
  <r>
    <s v="TX001246"/>
    <s v="AC00254"/>
    <n v="175.07"/>
    <d v="2023-11-23T16:59:11"/>
    <s v="Debit"/>
    <x v="17"/>
    <s v="D000406"/>
    <s v="58.190.9.136"/>
    <s v="M100"/>
    <s v="Online"/>
    <n v="28"/>
    <s v="Engineer"/>
    <n v="169"/>
    <n v="2"/>
    <n v="9274.64"/>
    <d v="2024-11-04T08:12:07"/>
    <n v="16"/>
    <s v="Thursday"/>
    <n v="-0.41967924110517502"/>
    <b v="0"/>
    <b v="1"/>
    <b v="1"/>
    <n v="1"/>
    <m/>
    <n v="0"/>
    <m/>
  </r>
  <r>
    <s v="TX001247"/>
    <s v="AC00285"/>
    <n v="302.82"/>
    <d v="2023-11-03T16:50:20"/>
    <s v="Debit"/>
    <x v="36"/>
    <s v="D000290"/>
    <s v="79.47.176.19"/>
    <s v="M020"/>
    <s v="ATM"/>
    <n v="36"/>
    <s v="Engineer"/>
    <n v="175"/>
    <n v="1"/>
    <n v="9384.5400000000009"/>
    <d v="2024-11-04T08:07:31"/>
    <n v="16"/>
    <s v="Friday"/>
    <n v="1.7901316602700799E-2"/>
    <b v="0"/>
    <b v="0"/>
    <b v="1"/>
    <n v="0"/>
    <m/>
    <n v="0"/>
    <m/>
  </r>
  <r>
    <s v="TX001248"/>
    <s v="AC00071"/>
    <n v="1647.74"/>
    <d v="2023-12-25T17:41:30"/>
    <s v="Debit"/>
    <x v="12"/>
    <s v="D000593"/>
    <s v="113.137.153.101"/>
    <s v="M049"/>
    <s v="ATM"/>
    <n v="67"/>
    <s v="Retired"/>
    <n v="52"/>
    <n v="1"/>
    <n v="1483.84"/>
    <d v="2024-11-04T08:09:29"/>
    <n v="17"/>
    <s v="Monday"/>
    <n v="4.6246398189312901"/>
    <b v="1"/>
    <b v="0"/>
    <b v="1"/>
    <n v="1"/>
    <m/>
    <n v="1"/>
    <m/>
  </r>
  <r>
    <s v="TX001249"/>
    <s v="AC00073"/>
    <n v="406.81"/>
    <d v="2023-12-05T16:32:49"/>
    <s v="Debit"/>
    <x v="22"/>
    <s v="D000073"/>
    <s v="207.157.126.125"/>
    <s v="M016"/>
    <s v="Online"/>
    <n v="66"/>
    <s v="Retired"/>
    <n v="84"/>
    <n v="1"/>
    <n v="1968.36"/>
    <d v="2024-11-04T08:08:46"/>
    <n v="16"/>
    <s v="Tuesday"/>
    <n v="0.37409702850909698"/>
    <b v="0"/>
    <b v="0"/>
    <b v="1"/>
    <n v="0"/>
    <m/>
    <n v="0"/>
    <m/>
  </r>
  <r>
    <s v="TX001250"/>
    <s v="AC00383"/>
    <n v="256.3"/>
    <d v="2023-04-05T16:21:59"/>
    <s v="Debit"/>
    <x v="22"/>
    <s v="D000099"/>
    <s v="133.63.96.21"/>
    <s v="M066"/>
    <s v="Online"/>
    <n v="53"/>
    <s v="Retired"/>
    <n v="172"/>
    <n v="1"/>
    <n v="4203.05"/>
    <d v="2024-11-04T08:06:23"/>
    <n v="16"/>
    <s v="Wednesday"/>
    <n v="-0.141443086877302"/>
    <b v="0"/>
    <b v="0"/>
    <b v="1"/>
    <n v="0"/>
    <m/>
    <n v="0"/>
    <m/>
  </r>
  <r>
    <s v="TX001251"/>
    <s v="AC00326"/>
    <n v="80.959999999999994"/>
    <d v="2023-09-27T17:47:10"/>
    <s v="Credit"/>
    <x v="36"/>
    <s v="D000179"/>
    <s v="81.248.235.147"/>
    <s v="M078"/>
    <s v="Online"/>
    <n v="19"/>
    <s v="Student"/>
    <n v="97"/>
    <n v="1"/>
    <n v="959.94"/>
    <d v="2024-11-04T08:06:25"/>
    <n v="17"/>
    <s v="Wednesday"/>
    <n v="-0.74203310635674702"/>
    <b v="0"/>
    <b v="0"/>
    <b v="1"/>
    <n v="0"/>
    <m/>
    <n v="0"/>
    <m/>
  </r>
  <r>
    <s v="TX001252"/>
    <s v="AC00153"/>
    <n v="95.78"/>
    <d v="2023-03-23T17:09:53"/>
    <s v="Debit"/>
    <x v="4"/>
    <s v="D000211"/>
    <s v="221.23.158.87"/>
    <s v="M061"/>
    <s v="Online"/>
    <n v="22"/>
    <s v="Student"/>
    <n v="27"/>
    <n v="1"/>
    <n v="271.64"/>
    <d v="2024-11-04T08:09:16"/>
    <n v="17"/>
    <s v="Thursday"/>
    <n v="-0.69127033637450996"/>
    <b v="0"/>
    <b v="0"/>
    <b v="1"/>
    <n v="0"/>
    <m/>
    <n v="0"/>
    <m/>
  </r>
  <r>
    <s v="TX001253"/>
    <s v="AC00460"/>
    <n v="379.54"/>
    <d v="2023-01-03T17:14:14"/>
    <s v="Credit"/>
    <x v="7"/>
    <s v="D000668"/>
    <s v="109.105.179.186"/>
    <s v="M040"/>
    <s v="Branch"/>
    <n v="41"/>
    <s v="Doctor"/>
    <n v="118"/>
    <n v="1"/>
    <n v="12571.76"/>
    <d v="2024-11-04T08:06:23"/>
    <n v="17"/>
    <s v="Tuesday"/>
    <n v="0.28068942139603398"/>
    <b v="0"/>
    <b v="0"/>
    <b v="1"/>
    <n v="0"/>
    <m/>
    <n v="0"/>
    <m/>
  </r>
  <r>
    <s v="TX001254"/>
    <s v="AC00439"/>
    <n v="903.19"/>
    <d v="2023-07-06T17:52:32"/>
    <s v="Debit"/>
    <x v="39"/>
    <s v="D000286"/>
    <s v="174.61.77.54"/>
    <s v="M028"/>
    <s v="Online"/>
    <n v="22"/>
    <s v="Student"/>
    <n v="65"/>
    <n v="1"/>
    <n v="8627.08"/>
    <d v="2024-11-04T08:06:37"/>
    <n v="17"/>
    <s v="Thursday"/>
    <n v="2.07434154698295"/>
    <b v="0"/>
    <b v="0"/>
    <b v="1"/>
    <n v="0"/>
    <m/>
    <n v="0"/>
    <m/>
  </r>
  <r>
    <s v="TX001255"/>
    <s v="AC00070"/>
    <n v="142.19"/>
    <d v="2023-06-15T18:28:50"/>
    <s v="Debit"/>
    <x v="1"/>
    <s v="D000416"/>
    <s v="85.191.79.161"/>
    <s v="M005"/>
    <s v="Branch"/>
    <n v="18"/>
    <s v="Student"/>
    <n v="27"/>
    <n v="4"/>
    <n v="524.46"/>
    <d v="2024-11-04T08:09:44"/>
    <n v="18"/>
    <s v="Thursday"/>
    <n v="-0.53230271458803202"/>
    <b v="0"/>
    <b v="1"/>
    <b v="1"/>
    <n v="1"/>
    <m/>
    <n v="0"/>
    <m/>
  </r>
  <r>
    <s v="TX001256"/>
    <s v="AC00086"/>
    <n v="847.45"/>
    <d v="2023-06-19T16:24:14"/>
    <s v="Debit"/>
    <x v="36"/>
    <s v="D000469"/>
    <s v="151.247.130.190"/>
    <s v="M042"/>
    <s v="Branch"/>
    <n v="28"/>
    <s v="Student"/>
    <n v="175"/>
    <n v="1"/>
    <n v="422.32"/>
    <d v="2024-11-04T08:09:30"/>
    <n v="16"/>
    <s v="Monday"/>
    <n v="1.8834159870092799"/>
    <b v="0"/>
    <b v="0"/>
    <b v="1"/>
    <n v="0"/>
    <m/>
    <n v="0"/>
    <m/>
  </r>
  <r>
    <s v="TX001257"/>
    <s v="AC00330"/>
    <n v="295.18"/>
    <d v="2023-05-09T17:54:39"/>
    <s v="Credit"/>
    <x v="34"/>
    <s v="D000126"/>
    <s v="200.13.225.150"/>
    <s v="M100"/>
    <s v="Branch"/>
    <n v="66"/>
    <s v="Doctor"/>
    <n v="31"/>
    <n v="1"/>
    <n v="12961.53"/>
    <d v="2024-11-04T08:07:53"/>
    <n v="17"/>
    <s v="Tuesday"/>
    <n v="-8.2678846566977202E-3"/>
    <b v="0"/>
    <b v="0"/>
    <b v="1"/>
    <n v="0"/>
    <m/>
    <n v="0"/>
    <m/>
  </r>
  <r>
    <s v="TX001258"/>
    <s v="AC00027"/>
    <n v="18.46"/>
    <d v="2023-11-20T16:29:14"/>
    <s v="Debit"/>
    <x v="27"/>
    <s v="D000133"/>
    <s v="166.41.54.117"/>
    <s v="M032"/>
    <s v="Branch"/>
    <n v="68"/>
    <s v="Retired"/>
    <n v="213"/>
    <n v="1"/>
    <n v="6381.6"/>
    <d v="2024-11-04T08:10:17"/>
    <n v="16"/>
    <s v="Monday"/>
    <n v="-0.95611361404161799"/>
    <b v="0"/>
    <b v="0"/>
    <b v="1"/>
    <n v="0"/>
    <m/>
    <n v="0"/>
    <m/>
  </r>
  <r>
    <s v="TX001259"/>
    <s v="AC00020"/>
    <n v="603.23"/>
    <d v="2023-08-24T17:34:13"/>
    <s v="Debit"/>
    <x v="8"/>
    <s v="D000238"/>
    <s v="38.210.156.148"/>
    <s v="M017"/>
    <s v="Branch"/>
    <n v="28"/>
    <s v="Student"/>
    <n v="48"/>
    <n v="1"/>
    <n v="117.98"/>
    <d v="2024-11-04T08:08:18"/>
    <n v="17"/>
    <s v="Thursday"/>
    <n v="1.0468921216204901"/>
    <b v="0"/>
    <b v="0"/>
    <b v="1"/>
    <n v="0"/>
    <m/>
    <n v="0"/>
    <m/>
  </r>
  <r>
    <s v="TX001260"/>
    <s v="AC00232"/>
    <n v="54.5"/>
    <d v="2023-11-22T16:59:09"/>
    <s v="Credit"/>
    <x v="26"/>
    <s v="D000050"/>
    <s v="61.95.76.233"/>
    <s v="M082"/>
    <s v="Branch"/>
    <n v="57"/>
    <s v="Retired"/>
    <n v="147"/>
    <n v="1"/>
    <n v="1715.22"/>
    <d v="2024-11-04T08:08:27"/>
    <n v="16"/>
    <s v="Wednesday"/>
    <n v="-0.83266623009021401"/>
    <b v="0"/>
    <b v="0"/>
    <b v="1"/>
    <n v="0"/>
    <m/>
    <n v="0"/>
    <m/>
  </r>
  <r>
    <s v="TX001261"/>
    <s v="AC00247"/>
    <n v="414.77"/>
    <d v="2024-01-01T17:37:04"/>
    <s v="Debit"/>
    <x v="23"/>
    <s v="D000577"/>
    <s v="49.20.211.229"/>
    <s v="M014"/>
    <s v="Online"/>
    <n v="29"/>
    <s v="Doctor"/>
    <n v="274"/>
    <n v="1"/>
    <n v="5599.81"/>
    <d v="2024-11-04T08:08:05"/>
    <n v="17"/>
    <s v="Monday"/>
    <n v="0.401362321967842"/>
    <b v="0"/>
    <b v="0"/>
    <b v="1"/>
    <n v="0"/>
    <m/>
    <n v="0"/>
    <m/>
  </r>
  <r>
    <s v="TX001262"/>
    <s v="AC00136"/>
    <n v="886.19"/>
    <d v="2023-08-21T17:32:04"/>
    <s v="Debit"/>
    <x v="40"/>
    <s v="D000614"/>
    <s v="116.106.207.139"/>
    <s v="M081"/>
    <s v="Branch"/>
    <n v="61"/>
    <s v="Retired"/>
    <n v="69"/>
    <n v="1"/>
    <n v="7904.24"/>
    <d v="2024-11-04T08:08:29"/>
    <n v="17"/>
    <s v="Monday"/>
    <n v="2.0161116488926698"/>
    <b v="0"/>
    <b v="0"/>
    <b v="1"/>
    <n v="0"/>
    <m/>
    <n v="0"/>
    <m/>
  </r>
  <r>
    <s v="TX001263"/>
    <s v="AC00322"/>
    <n v="440.03"/>
    <d v="2023-11-29T16:11:50"/>
    <s v="Debit"/>
    <x v="24"/>
    <s v="D000569"/>
    <s v="5.74.9.122"/>
    <s v="M099"/>
    <s v="Online"/>
    <n v="49"/>
    <s v="Engineer"/>
    <n v="88"/>
    <n v="1"/>
    <n v="1490.44"/>
    <d v="2024-11-04T08:10:19"/>
    <n v="16"/>
    <s v="Wednesday"/>
    <n v="0.487885099953759"/>
    <b v="0"/>
    <b v="0"/>
    <b v="1"/>
    <n v="0"/>
    <m/>
    <n v="0"/>
    <m/>
  </r>
  <r>
    <s v="TX001264"/>
    <s v="AC00461"/>
    <n v="35.46"/>
    <d v="2023-03-23T16:16:29"/>
    <s v="Debit"/>
    <x v="9"/>
    <s v="D000243"/>
    <s v="193.83.0.183"/>
    <s v="M005"/>
    <s v="ATM"/>
    <n v="56"/>
    <s v="Retired"/>
    <n v="285"/>
    <n v="1"/>
    <n v="1532.72"/>
    <d v="2024-11-04T08:07:26"/>
    <n v="16"/>
    <s v="Thursday"/>
    <n v="-0.89788371595133298"/>
    <b v="0"/>
    <b v="0"/>
    <b v="1"/>
    <n v="0"/>
    <m/>
    <n v="0"/>
    <m/>
  </r>
  <r>
    <s v="TX001265"/>
    <s v="AC00079"/>
    <n v="76.39"/>
    <d v="2023-01-13T17:19:33"/>
    <s v="Debit"/>
    <x v="13"/>
    <s v="D000507"/>
    <s v="136.250.159.93"/>
    <s v="M019"/>
    <s v="Branch"/>
    <n v="18"/>
    <s v="Student"/>
    <n v="219"/>
    <n v="1"/>
    <n v="5976"/>
    <d v="2024-11-04T08:10:09"/>
    <n v="17"/>
    <s v="Friday"/>
    <n v="-0.757686673078665"/>
    <b v="0"/>
    <b v="0"/>
    <b v="1"/>
    <n v="0"/>
    <m/>
    <n v="0"/>
    <m/>
  </r>
  <r>
    <s v="TX001266"/>
    <s v="AC00176"/>
    <n v="595.91"/>
    <d v="2023-08-10T18:39:04"/>
    <s v="Credit"/>
    <x v="25"/>
    <s v="D000063"/>
    <s v="200.136.146.93"/>
    <s v="M085"/>
    <s v="ATM"/>
    <n v="19"/>
    <s v="Student"/>
    <n v="162"/>
    <n v="1"/>
    <n v="1673.76"/>
    <d v="2024-11-04T08:10:21"/>
    <n v="18"/>
    <s v="Thursday"/>
    <n v="1.0218190125604401"/>
    <b v="0"/>
    <b v="0"/>
    <b v="1"/>
    <n v="0"/>
    <m/>
    <n v="0"/>
    <m/>
  </r>
  <r>
    <s v="TX001267"/>
    <s v="AC00417"/>
    <n v="6.03"/>
    <d v="2023-08-09T18:42:25"/>
    <s v="Debit"/>
    <x v="29"/>
    <s v="D000358"/>
    <s v="86.83.61.143"/>
    <s v="M035"/>
    <s v="Branch"/>
    <n v="76"/>
    <s v="Retired"/>
    <n v="70"/>
    <n v="1"/>
    <n v="3290.72"/>
    <d v="2024-11-04T08:09:27"/>
    <n v="18"/>
    <s v="Wednesday"/>
    <n v="-0.99868994540998501"/>
    <b v="0"/>
    <b v="0"/>
    <b v="1"/>
    <n v="0"/>
    <m/>
    <n v="0"/>
    <m/>
  </r>
  <r>
    <s v="TX001268"/>
    <s v="AC00260"/>
    <n v="249.34"/>
    <d v="2023-08-15T17:21:47"/>
    <s v="Debit"/>
    <x v="27"/>
    <s v="D000498"/>
    <s v="152.140.239.181"/>
    <s v="M088"/>
    <s v="ATM"/>
    <n v="26"/>
    <s v="Engineer"/>
    <n v="197"/>
    <n v="1"/>
    <n v="3030.97"/>
    <d v="2024-11-04T08:07:57"/>
    <n v="17"/>
    <s v="Tuesday"/>
    <n v="-0.16528309221308901"/>
    <b v="0"/>
    <b v="0"/>
    <b v="1"/>
    <n v="0"/>
    <m/>
    <n v="0"/>
    <m/>
  </r>
  <r>
    <s v="TX001269"/>
    <s v="AC00471"/>
    <n v="421.52"/>
    <d v="2023-08-15T17:35:08"/>
    <s v="Debit"/>
    <x v="24"/>
    <s v="D000035"/>
    <s v="177.172.184.163"/>
    <s v="M064"/>
    <s v="Branch"/>
    <n v="20"/>
    <s v="Student"/>
    <n v="67"/>
    <n v="1"/>
    <n v="369.86"/>
    <d v="2024-11-04T08:10:21"/>
    <n v="17"/>
    <s v="Tuesday"/>
    <n v="0.42448301679780798"/>
    <b v="0"/>
    <b v="0"/>
    <b v="1"/>
    <n v="0"/>
    <m/>
    <n v="0"/>
    <m/>
  </r>
  <r>
    <s v="TX001270"/>
    <s v="AC00231"/>
    <n v="189.77"/>
    <d v="2023-02-27T16:08:40"/>
    <s v="Debit"/>
    <x v="3"/>
    <s v="D000290"/>
    <s v="116.43.88.219"/>
    <s v="M011"/>
    <s v="Branch"/>
    <n v="58"/>
    <s v="Engineer"/>
    <n v="24"/>
    <n v="1"/>
    <n v="6570.36"/>
    <d v="2024-11-04T08:11:28"/>
    <n v="16"/>
    <s v="Monday"/>
    <n v="-0.36932750569769401"/>
    <b v="0"/>
    <b v="0"/>
    <b v="1"/>
    <n v="0"/>
    <m/>
    <n v="0"/>
    <m/>
  </r>
  <r>
    <s v="TX001271"/>
    <s v="AC00184"/>
    <n v="73.19"/>
    <d v="2023-10-18T16:20:15"/>
    <s v="Debit"/>
    <x v="4"/>
    <s v="D000067"/>
    <s v="152.140.239.181"/>
    <s v="M025"/>
    <s v="Branch"/>
    <n v="76"/>
    <s v="Retired"/>
    <n v="213"/>
    <n v="1"/>
    <n v="2264.98"/>
    <d v="2024-11-04T08:10:26"/>
    <n v="16"/>
    <s v="Wednesday"/>
    <n v="-0.76864759507212999"/>
    <b v="0"/>
    <b v="0"/>
    <b v="1"/>
    <n v="0"/>
    <m/>
    <n v="0"/>
    <m/>
  </r>
  <r>
    <s v="TX001272"/>
    <s v="AC00475"/>
    <n v="188.13"/>
    <d v="2023-06-02T18:12:29"/>
    <s v="Credit"/>
    <x v="36"/>
    <s v="D000157"/>
    <s v="175.210.47.87"/>
    <s v="M091"/>
    <s v="Online"/>
    <n v="75"/>
    <s v="Retired"/>
    <n v="198"/>
    <n v="1"/>
    <n v="5029.87"/>
    <d v="2024-11-04T08:10:08"/>
    <n v="18"/>
    <s v="Friday"/>
    <n v="-0.37494497821934503"/>
    <b v="0"/>
    <b v="0"/>
    <b v="1"/>
    <n v="0"/>
    <m/>
    <n v="0"/>
    <m/>
  </r>
  <r>
    <s v="TX001273"/>
    <s v="AC00329"/>
    <n v="30.52"/>
    <d v="2023-05-19T17:19:00"/>
    <s v="Debit"/>
    <x v="36"/>
    <s v="D000526"/>
    <s v="104.165.213.58"/>
    <s v="M005"/>
    <s v="Branch"/>
    <n v="62"/>
    <s v="Doctor"/>
    <n v="122"/>
    <n v="1"/>
    <n v="12327.74"/>
    <d v="2024-11-04T08:07:18"/>
    <n v="17"/>
    <s v="Friday"/>
    <n v="-0.914804639278746"/>
    <b v="0"/>
    <b v="0"/>
    <b v="1"/>
    <n v="0"/>
    <m/>
    <n v="0"/>
    <m/>
  </r>
  <r>
    <s v="TX001274"/>
    <s v="AC00431"/>
    <n v="1235.69"/>
    <d v="2023-05-24T16:14:34"/>
    <s v="Credit"/>
    <x v="24"/>
    <s v="D000216"/>
    <s v="69.82.61.135"/>
    <s v="M048"/>
    <s v="Branch"/>
    <n v="20"/>
    <s v="Student"/>
    <n v="118"/>
    <n v="1"/>
    <n v="420.25"/>
    <d v="2024-11-04T08:09:22"/>
    <n v="16"/>
    <s v="Wednesday"/>
    <n v="3.2132498478664702"/>
    <b v="1"/>
    <b v="0"/>
    <b v="1"/>
    <n v="1"/>
    <m/>
    <n v="1"/>
    <m/>
  </r>
  <r>
    <s v="TX001275"/>
    <s v="AC00398"/>
    <n v="1159.3900000000001"/>
    <d v="2023-10-12T16:29:49"/>
    <s v="Debit"/>
    <x v="5"/>
    <s v="D000294"/>
    <s v="173.135.78.201"/>
    <s v="M091"/>
    <s v="Online"/>
    <n v="41"/>
    <s v="Doctor"/>
    <n v="150"/>
    <n v="1"/>
    <n v="6499.53"/>
    <d v="2024-11-04T08:06:27"/>
    <n v="16"/>
    <s v="Thursday"/>
    <n v="2.9519003640847798"/>
    <b v="1"/>
    <b v="0"/>
    <b v="1"/>
    <n v="1"/>
    <m/>
    <n v="1"/>
    <m/>
  </r>
  <r>
    <s v="TX001276"/>
    <s v="AC00221"/>
    <n v="170.24"/>
    <d v="2023-06-05T16:24:12"/>
    <s v="Debit"/>
    <x v="23"/>
    <s v="D000150"/>
    <s v="47.167.178.158"/>
    <s v="M050"/>
    <s v="Branch"/>
    <n v="62"/>
    <s v="Retired"/>
    <n v="133"/>
    <n v="1"/>
    <n v="5172.99"/>
    <d v="2024-11-04T08:08:04"/>
    <n v="16"/>
    <s v="Monday"/>
    <n v="-0.43622338273906203"/>
    <b v="0"/>
    <b v="0"/>
    <b v="1"/>
    <n v="0"/>
    <m/>
    <n v="0"/>
    <m/>
  </r>
  <r>
    <s v="TX001277"/>
    <s v="AC00299"/>
    <n v="56.62"/>
    <d v="2023-02-27T17:59:36"/>
    <s v="Debit"/>
    <x v="14"/>
    <s v="D000475"/>
    <s v="48.31.196.24"/>
    <s v="M069"/>
    <s v="Branch"/>
    <n v="54"/>
    <s v="Doctor"/>
    <n v="121"/>
    <n v="1"/>
    <n v="8981.1"/>
    <d v="2024-11-04T08:08:45"/>
    <n v="17"/>
    <s v="Monday"/>
    <n v="-0.82540461926954301"/>
    <b v="0"/>
    <b v="0"/>
    <b v="1"/>
    <n v="0"/>
    <m/>
    <n v="0"/>
    <m/>
  </r>
  <r>
    <s v="TX001278"/>
    <s v="AC00266"/>
    <n v="53.14"/>
    <d v="2023-04-21T17:19:56"/>
    <s v="Debit"/>
    <x v="17"/>
    <s v="D000431"/>
    <s v="115.96.94.156"/>
    <s v="M062"/>
    <s v="ATM"/>
    <n v="34"/>
    <s v="Doctor"/>
    <n v="70"/>
    <n v="1"/>
    <n v="7915"/>
    <d v="2024-11-04T08:07:15"/>
    <n v="17"/>
    <s v="Friday"/>
    <n v="-0.83732462193743695"/>
    <b v="0"/>
    <b v="0"/>
    <b v="1"/>
    <n v="0"/>
    <m/>
    <n v="0"/>
    <m/>
  </r>
  <r>
    <s v="TX001279"/>
    <s v="AC00297"/>
    <n v="587.23"/>
    <d v="2023-07-31T17:54:28"/>
    <s v="Debit"/>
    <x v="32"/>
    <s v="D000010"/>
    <s v="50.202.8.53"/>
    <s v="M007"/>
    <s v="Online"/>
    <n v="27"/>
    <s v="Student"/>
    <n v="144"/>
    <n v="1"/>
    <n v="500.84"/>
    <d v="2024-11-04T08:09:21"/>
    <n v="17"/>
    <s v="Monday"/>
    <n v="0.992087511653168"/>
    <b v="0"/>
    <b v="0"/>
    <b v="1"/>
    <n v="0"/>
    <m/>
    <n v="0"/>
    <m/>
  </r>
  <r>
    <s v="TX001280"/>
    <s v="AC00373"/>
    <n v="146.15"/>
    <d v="2023-01-06T17:52:11"/>
    <s v="Debit"/>
    <x v="37"/>
    <s v="D000640"/>
    <s v="60.166.231.236"/>
    <s v="M098"/>
    <s v="Branch"/>
    <n v="43"/>
    <s v="Doctor"/>
    <n v="75"/>
    <n v="1"/>
    <n v="13784.4"/>
    <d v="2024-11-04T08:06:59"/>
    <n v="17"/>
    <s v="Friday"/>
    <n v="-0.51873857362111897"/>
    <b v="0"/>
    <b v="0"/>
    <b v="1"/>
    <n v="0"/>
    <m/>
    <n v="0"/>
    <m/>
  </r>
  <r>
    <s v="TX001281"/>
    <s v="AC00489"/>
    <n v="21.27"/>
    <d v="2023-07-24T17:01:19"/>
    <s v="Credit"/>
    <x v="7"/>
    <s v="D000386"/>
    <s v="197.23.128.119"/>
    <s v="M070"/>
    <s v="Online"/>
    <n v="62"/>
    <s v="Retired"/>
    <n v="114"/>
    <n v="1"/>
    <n v="7392.79"/>
    <d v="2024-11-04T08:09:54"/>
    <n v="17"/>
    <s v="Monday"/>
    <n v="-0.94648855441610602"/>
    <b v="0"/>
    <b v="0"/>
    <b v="1"/>
    <n v="0"/>
    <m/>
    <n v="0"/>
    <m/>
  </r>
  <r>
    <s v="TX001282"/>
    <s v="AC00128"/>
    <n v="1397.59"/>
    <d v="2023-11-13T17:28:12"/>
    <s v="Credit"/>
    <x v="14"/>
    <s v="D000117"/>
    <s v="4.134.78.167"/>
    <s v="M020"/>
    <s v="ATM"/>
    <n v="26"/>
    <s v="Student"/>
    <n v="144"/>
    <n v="1"/>
    <n v="1134.79"/>
    <d v="2024-11-04T08:06:38"/>
    <n v="17"/>
    <s v="Monday"/>
    <n v="3.7678039949733599"/>
    <b v="1"/>
    <b v="0"/>
    <b v="1"/>
    <n v="1"/>
    <m/>
    <n v="1"/>
    <m/>
  </r>
  <r>
    <s v="TX001283"/>
    <s v="AC00409"/>
    <n v="76.02"/>
    <d v="2023-07-12T16:58:17"/>
    <s v="Credit"/>
    <x v="10"/>
    <s v="D000644"/>
    <s v="181.223.246.123"/>
    <s v="M087"/>
    <s v="Online"/>
    <n v="34"/>
    <s v="Doctor"/>
    <n v="189"/>
    <n v="1"/>
    <n v="14765.41"/>
    <d v="2024-11-04T08:11:51"/>
    <n v="16"/>
    <s v="Wednesday"/>
    <n v="-0.75895402968415904"/>
    <b v="0"/>
    <b v="0"/>
    <b v="1"/>
    <n v="0"/>
    <m/>
    <n v="0"/>
    <m/>
  </r>
  <r>
    <s v="TX001284"/>
    <s v="AC00410"/>
    <n v="170.19"/>
    <d v="2023-07-07T17:40:58"/>
    <s v="Credit"/>
    <x v="16"/>
    <s v="D000255"/>
    <s v="110.150.1.201"/>
    <s v="M077"/>
    <s v="Branch"/>
    <n v="27"/>
    <s v="Student"/>
    <n v="156"/>
    <n v="5"/>
    <n v="745.87"/>
    <d v="2024-11-04T08:12:16"/>
    <n v="17"/>
    <s v="Friday"/>
    <n v="-0.43639464714520998"/>
    <b v="0"/>
    <b v="1"/>
    <b v="1"/>
    <n v="1"/>
    <m/>
    <n v="0"/>
    <m/>
  </r>
  <r>
    <s v="TX001285"/>
    <s v="AC00360"/>
    <n v="155.51"/>
    <d v="2023-08-21T18:51:06"/>
    <s v="Debit"/>
    <x v="3"/>
    <s v="D000008"/>
    <s v="199.103.32.145"/>
    <s v="M081"/>
    <s v="ATM"/>
    <n v="68"/>
    <s v="Doctor"/>
    <n v="15"/>
    <n v="1"/>
    <n v="5360.19"/>
    <d v="2024-11-04T08:08:23"/>
    <n v="18"/>
    <s v="Monday"/>
    <n v="-0.486677876790233"/>
    <b v="0"/>
    <b v="0"/>
    <b v="1"/>
    <n v="0"/>
    <m/>
    <n v="0"/>
    <m/>
  </r>
  <r>
    <s v="TX001286"/>
    <s v="AC00422"/>
    <n v="135.15"/>
    <d v="2023-03-20T17:13:09"/>
    <s v="Debit"/>
    <x v="40"/>
    <s v="D000639"/>
    <s v="77.208.193.198"/>
    <s v="M100"/>
    <s v="Online"/>
    <n v="72"/>
    <s v="Retired"/>
    <n v="50"/>
    <n v="1"/>
    <n v="5878.14"/>
    <d v="2024-11-04T08:10:37"/>
    <n v="17"/>
    <s v="Monday"/>
    <n v="-0.55641674297365595"/>
    <b v="0"/>
    <b v="0"/>
    <b v="1"/>
    <n v="0"/>
    <m/>
    <n v="0"/>
    <m/>
  </r>
  <r>
    <s v="TX001287"/>
    <s v="AC00225"/>
    <n v="39.479999999999997"/>
    <d v="2023-05-26T16:47:51"/>
    <s v="Debit"/>
    <x v="32"/>
    <s v="D000435"/>
    <s v="152.234.65.155"/>
    <s v="M017"/>
    <s v="ATM"/>
    <n v="56"/>
    <s v="Retired"/>
    <n v="38"/>
    <n v="1"/>
    <n v="5889.51"/>
    <d v="2024-11-04T08:11:50"/>
    <n v="16"/>
    <s v="Friday"/>
    <n v="-0.88411405769704199"/>
    <b v="0"/>
    <b v="0"/>
    <b v="1"/>
    <n v="0"/>
    <m/>
    <n v="0"/>
    <m/>
  </r>
  <r>
    <s v="TX001288"/>
    <s v="AC00261"/>
    <n v="451.68"/>
    <d v="2023-04-18T18:55:32"/>
    <s v="Debit"/>
    <x v="1"/>
    <s v="D000113"/>
    <s v="210.160.90.52"/>
    <s v="M072"/>
    <s v="Online"/>
    <n v="33"/>
    <s v="Engineer"/>
    <n v="15"/>
    <n v="1"/>
    <n v="4381.54"/>
    <d v="2024-11-04T08:09:51"/>
    <n v="18"/>
    <s v="Tuesday"/>
    <n v="0.52778970658621904"/>
    <b v="0"/>
    <b v="0"/>
    <b v="1"/>
    <n v="0"/>
    <m/>
    <n v="0"/>
    <m/>
  </r>
  <r>
    <s v="TX001289"/>
    <s v="AC00468"/>
    <n v="19.11"/>
    <d v="2023-09-18T16:31:03"/>
    <s v="Credit"/>
    <x v="40"/>
    <s v="D000546"/>
    <s v="148.25.159.90"/>
    <s v="M007"/>
    <s v="Online"/>
    <n v="49"/>
    <s v="Engineer"/>
    <n v="160"/>
    <n v="1"/>
    <n v="8478.4599999999991"/>
    <d v="2024-11-04T08:11:45"/>
    <n v="16"/>
    <s v="Monday"/>
    <n v="-0.95388717676169599"/>
    <b v="0"/>
    <b v="0"/>
    <b v="1"/>
    <n v="0"/>
    <m/>
    <n v="0"/>
    <m/>
  </r>
  <r>
    <s v="TX001290"/>
    <s v="AC00138"/>
    <n v="355"/>
    <d v="2023-08-29T16:50:17"/>
    <s v="Credit"/>
    <x v="18"/>
    <s v="D000052"/>
    <s v="115.241.186.164"/>
    <s v="M053"/>
    <s v="Online"/>
    <n v="26"/>
    <s v="Student"/>
    <n v="33"/>
    <n v="1"/>
    <n v="185.47"/>
    <d v="2024-11-04T08:10:34"/>
    <n v="16"/>
    <s v="Tuesday"/>
    <n v="0.19663285085864601"/>
    <b v="0"/>
    <b v="0"/>
    <b v="1"/>
    <n v="0"/>
    <m/>
    <n v="0"/>
    <m/>
  </r>
  <r>
    <s v="TX001291"/>
    <s v="AC00013"/>
    <n v="427.69"/>
    <d v="2023-03-28T16:02:03"/>
    <s v="Debit"/>
    <x v="3"/>
    <s v="D000347"/>
    <s v="24.148.92.177"/>
    <s v="M088"/>
    <s v="ATM"/>
    <n v="43"/>
    <s v="Engineer"/>
    <n v="236"/>
    <n v="1"/>
    <n v="2443.54"/>
    <d v="2024-11-04T08:11:53"/>
    <n v="16"/>
    <s v="Tuesday"/>
    <n v="0.44561704451645801"/>
    <b v="0"/>
    <b v="0"/>
    <b v="1"/>
    <n v="0"/>
    <m/>
    <n v="0"/>
    <m/>
  </r>
  <r>
    <s v="TX001292"/>
    <s v="AC00275"/>
    <n v="254.86"/>
    <d v="2023-01-26T17:21:46"/>
    <s v="Debit"/>
    <x v="35"/>
    <s v="D000296"/>
    <s v="59.127.135.25"/>
    <s v="M013"/>
    <s v="Branch"/>
    <n v="23"/>
    <s v="Student"/>
    <n v="102"/>
    <n v="1"/>
    <n v="699.9"/>
    <d v="2024-11-04T08:11:39"/>
    <n v="17"/>
    <s v="Thursday"/>
    <n v="-0.14637550177436101"/>
    <b v="0"/>
    <b v="0"/>
    <b v="1"/>
    <n v="0"/>
    <m/>
    <n v="0"/>
    <m/>
  </r>
  <r>
    <s v="TX001293"/>
    <s v="AC00125"/>
    <n v="19.48"/>
    <d v="2023-07-10T16:01:03"/>
    <s v="Debit"/>
    <x v="34"/>
    <s v="D000674"/>
    <s v="16.128.130.153"/>
    <s v="M002"/>
    <s v="ATM"/>
    <n v="27"/>
    <s v="Engineer"/>
    <n v="114"/>
    <n v="1"/>
    <n v="4739.59"/>
    <d v="2024-11-04T08:08:46"/>
    <n v="16"/>
    <s v="Monday"/>
    <n v="-0.95261982015620095"/>
    <b v="0"/>
    <b v="0"/>
    <b v="1"/>
    <n v="0"/>
    <m/>
    <n v="0"/>
    <m/>
  </r>
  <r>
    <s v="TX001294"/>
    <s v="AC00200"/>
    <n v="190.17"/>
    <d v="2023-06-09T17:41:13"/>
    <s v="Debit"/>
    <x v="21"/>
    <s v="D000467"/>
    <s v="148.181.195.227"/>
    <s v="M043"/>
    <s v="ATM"/>
    <n v="49"/>
    <s v="Doctor"/>
    <n v="265"/>
    <n v="1"/>
    <n v="12893.85"/>
    <d v="2024-11-04T08:08:48"/>
    <n v="17"/>
    <s v="Friday"/>
    <n v="-0.367957390448511"/>
    <b v="0"/>
    <b v="0"/>
    <b v="1"/>
    <n v="0"/>
    <m/>
    <n v="0"/>
    <m/>
  </r>
  <r>
    <s v="TX001295"/>
    <s v="AC00213"/>
    <n v="91.38"/>
    <d v="2023-04-03T16:41:47"/>
    <s v="Debit"/>
    <x v="36"/>
    <s v="D000609"/>
    <s v="163.129.70.210"/>
    <s v="M013"/>
    <s v="ATM"/>
    <n v="65"/>
    <s v="Retired"/>
    <n v="179"/>
    <n v="1"/>
    <n v="2402.58"/>
    <d v="2024-11-04T08:06:39"/>
    <n v="16"/>
    <s v="Monday"/>
    <n v="-0.70634160411552505"/>
    <b v="0"/>
    <b v="0"/>
    <b v="1"/>
    <n v="0"/>
    <m/>
    <n v="0"/>
    <m/>
  </r>
  <r>
    <s v="TX001296"/>
    <s v="AC00035"/>
    <n v="206.63"/>
    <d v="2023-12-07T16:11:01"/>
    <s v="Credit"/>
    <x v="5"/>
    <s v="D000239"/>
    <s v="115.30.82.168"/>
    <s v="M023"/>
    <s v="Online"/>
    <n v="59"/>
    <s v="Retired"/>
    <n v="128"/>
    <n v="1"/>
    <n v="7626.53"/>
    <d v="2024-11-04T08:10:42"/>
    <n v="16"/>
    <s v="Thursday"/>
    <n v="-0.31157714794462299"/>
    <b v="0"/>
    <b v="0"/>
    <b v="1"/>
    <n v="0"/>
    <m/>
    <n v="0"/>
    <m/>
  </r>
  <r>
    <s v="TX001297"/>
    <s v="AC00070"/>
    <n v="93.22"/>
    <d v="2023-04-07T17:11:35"/>
    <s v="Debit"/>
    <x v="27"/>
    <s v="D000140"/>
    <s v="70.130.169.235"/>
    <s v="M030"/>
    <s v="Online"/>
    <n v="52"/>
    <s v="Retired"/>
    <n v="52"/>
    <n v="1"/>
    <n v="1014.63"/>
    <d v="2024-11-04T08:09:41"/>
    <n v="17"/>
    <s v="Friday"/>
    <n v="-0.700039073969283"/>
    <b v="0"/>
    <b v="0"/>
    <b v="1"/>
    <n v="0"/>
    <m/>
    <n v="0"/>
    <m/>
  </r>
  <r>
    <s v="TX001298"/>
    <s v="AC00275"/>
    <n v="547.98"/>
    <d v="2023-10-24T17:04:59"/>
    <s v="Debit"/>
    <x v="5"/>
    <s v="D000218"/>
    <s v="79.227.202.117"/>
    <s v="M070"/>
    <s v="ATM"/>
    <n v="28"/>
    <s v="Student"/>
    <n v="171"/>
    <n v="1"/>
    <n v="1358.54"/>
    <d v="2024-11-04T08:09:19"/>
    <n v="17"/>
    <s v="Tuesday"/>
    <n v="0.85764495282706898"/>
    <b v="0"/>
    <b v="0"/>
    <b v="1"/>
    <n v="0"/>
    <m/>
    <n v="0"/>
    <m/>
  </r>
  <r>
    <s v="TX001299"/>
    <s v="AC00060"/>
    <n v="641.05999999999995"/>
    <d v="2023-12-11T16:09:08"/>
    <s v="Debit"/>
    <x v="40"/>
    <s v="D000057"/>
    <s v="116.106.207.139"/>
    <s v="M099"/>
    <s v="ATM"/>
    <n v="23"/>
    <s v="Student"/>
    <n v="25"/>
    <n v="1"/>
    <n v="1602.13"/>
    <d v="2024-11-04T08:07:21"/>
    <n v="16"/>
    <s v="Monday"/>
    <n v="1.17647077131199"/>
    <b v="0"/>
    <b v="0"/>
    <b v="1"/>
    <n v="0"/>
    <m/>
    <n v="0"/>
    <m/>
  </r>
  <r>
    <s v="TX001300"/>
    <s v="AC00304"/>
    <n v="314.55"/>
    <d v="2023-04-25T17:15:27"/>
    <s v="Credit"/>
    <x v="34"/>
    <s v="D000513"/>
    <s v="40.192.99.27"/>
    <s v="M001"/>
    <s v="Branch"/>
    <n v="27"/>
    <s v="Student"/>
    <n v="19"/>
    <n v="2"/>
    <n v="1105.8900000000001"/>
    <d v="2024-11-04T08:07:16"/>
    <n v="17"/>
    <s v="Tuesday"/>
    <n v="5.8079946284997498E-2"/>
    <b v="0"/>
    <b v="1"/>
    <b v="1"/>
    <n v="1"/>
    <m/>
    <n v="0"/>
    <m/>
  </r>
  <r>
    <s v="TX001301"/>
    <s v="AC00372"/>
    <n v="836.45"/>
    <d v="2023-02-27T16:02:00"/>
    <s v="Debit"/>
    <x v="33"/>
    <s v="D000096"/>
    <s v="156.134.123.253"/>
    <s v="M043"/>
    <s v="Online"/>
    <n v="61"/>
    <s v="Retired"/>
    <n v="63"/>
    <n v="1"/>
    <n v="1731.89"/>
    <d v="2024-11-04T08:12:12"/>
    <n v="16"/>
    <s v="Monday"/>
    <n v="1.8457378176567401"/>
    <b v="0"/>
    <b v="0"/>
    <b v="1"/>
    <n v="0"/>
    <m/>
    <n v="0"/>
    <m/>
  </r>
  <r>
    <s v="TX001302"/>
    <s v="AC00498"/>
    <n v="1095.0899999999999"/>
    <d v="2023-04-17T17:27:15"/>
    <s v="Debit"/>
    <x v="23"/>
    <s v="D000198"/>
    <s v="91.103.147.166"/>
    <s v="M076"/>
    <s v="ATM"/>
    <n v="29"/>
    <s v="Engineer"/>
    <n v="52"/>
    <n v="1"/>
    <n v="8692.4699999999993"/>
    <d v="2024-11-04T08:11:57"/>
    <n v="17"/>
    <s v="Monday"/>
    <n v="2.73165433777858"/>
    <b v="1"/>
    <b v="0"/>
    <b v="1"/>
    <n v="1"/>
    <m/>
    <n v="1"/>
    <m/>
  </r>
  <r>
    <s v="TX001303"/>
    <s v="AC00465"/>
    <n v="189.45"/>
    <d v="2023-03-21T17:12:03"/>
    <s v="Credit"/>
    <x v="35"/>
    <s v="D000083"/>
    <s v="64.57.44.102"/>
    <s v="M008"/>
    <s v="Branch"/>
    <n v="53"/>
    <s v="Doctor"/>
    <n v="62"/>
    <n v="1"/>
    <n v="12578.75"/>
    <d v="2024-11-04T08:09:31"/>
    <n v="17"/>
    <s v="Tuesday"/>
    <n v="-0.37042359789703999"/>
    <b v="0"/>
    <b v="0"/>
    <b v="1"/>
    <n v="0"/>
    <m/>
    <n v="0"/>
    <m/>
  </r>
  <r>
    <s v="TX001304"/>
    <s v="AC00396"/>
    <n v="91.84"/>
    <d v="2023-07-05T17:21:56"/>
    <s v="Credit"/>
    <x v="2"/>
    <s v="D000292"/>
    <s v="28.120.130.118"/>
    <s v="M023"/>
    <s v="Branch"/>
    <n v="67"/>
    <s v="Retired"/>
    <n v="80"/>
    <n v="1"/>
    <n v="1712.41"/>
    <d v="2024-11-04T08:08:32"/>
    <n v="17"/>
    <s v="Wednesday"/>
    <n v="-0.70476597157896503"/>
    <b v="0"/>
    <b v="0"/>
    <b v="1"/>
    <n v="0"/>
    <m/>
    <n v="0"/>
    <m/>
  </r>
  <r>
    <s v="TX001305"/>
    <s v="AC00083"/>
    <n v="609.52"/>
    <d v="2023-07-28T16:03:27"/>
    <s v="Debit"/>
    <x v="38"/>
    <s v="D000672"/>
    <s v="125.225.212.244"/>
    <s v="M076"/>
    <s v="ATM"/>
    <n v="78"/>
    <s v="Retired"/>
    <n v="169"/>
    <n v="1"/>
    <n v="3485.03"/>
    <d v="2024-11-04T08:08:19"/>
    <n v="16"/>
    <s v="Friday"/>
    <n v="1.0684371839139"/>
    <b v="0"/>
    <b v="0"/>
    <b v="1"/>
    <n v="0"/>
    <m/>
    <n v="0"/>
    <m/>
  </r>
  <r>
    <s v="TX001306"/>
    <s v="AC00479"/>
    <n v="859.3"/>
    <d v="2023-08-01T17:18:04"/>
    <s v="Credit"/>
    <x v="40"/>
    <s v="D000067"/>
    <s v="77.7.223.184"/>
    <s v="M066"/>
    <s v="Branch"/>
    <n v="78"/>
    <s v="Retired"/>
    <n v="68"/>
    <n v="1"/>
    <n v="1146.78"/>
    <d v="2024-11-04T08:06:56"/>
    <n v="17"/>
    <s v="Tuesday"/>
    <n v="1.9240056512663299"/>
    <b v="0"/>
    <b v="0"/>
    <b v="1"/>
    <n v="0"/>
    <m/>
    <n v="0"/>
    <m/>
  </r>
  <r>
    <s v="TX001307"/>
    <s v="AC00091"/>
    <n v="100.01"/>
    <d v="2023-06-29T16:06:51"/>
    <s v="Debit"/>
    <x v="26"/>
    <s v="D000499"/>
    <s v="82.115.199.37"/>
    <s v="M061"/>
    <s v="ATM"/>
    <n v="50"/>
    <s v="Doctor"/>
    <n v="63"/>
    <n v="1"/>
    <n v="6393.12"/>
    <d v="2024-11-04T08:09:27"/>
    <n v="16"/>
    <s v="Thursday"/>
    <n v="-0.676781367614398"/>
    <b v="0"/>
    <b v="0"/>
    <b v="1"/>
    <n v="0"/>
    <m/>
    <n v="0"/>
    <m/>
  </r>
  <r>
    <s v="TX001308"/>
    <s v="AC00024"/>
    <n v="28.78"/>
    <d v="2023-08-07T16:08:04"/>
    <s v="Credit"/>
    <x v="28"/>
    <s v="D000041"/>
    <s v="186.135.2.148"/>
    <s v="M096"/>
    <s v="Online"/>
    <n v="40"/>
    <s v="Doctor"/>
    <n v="51"/>
    <n v="1"/>
    <n v="680.55"/>
    <d v="2024-11-04T08:11:39"/>
    <n v="16"/>
    <s v="Monday"/>
    <n v="-0.92076464061269203"/>
    <b v="0"/>
    <b v="0"/>
    <b v="1"/>
    <n v="0"/>
    <m/>
    <n v="0"/>
    <m/>
  </r>
  <r>
    <s v="TX001309"/>
    <s v="AC00366"/>
    <n v="111.08"/>
    <d v="2023-05-15T17:46:13"/>
    <s v="Debit"/>
    <x v="29"/>
    <s v="D000493"/>
    <s v="175.230.206.232"/>
    <s v="M064"/>
    <s v="Online"/>
    <n v="70"/>
    <s v="Doctor"/>
    <n v="83"/>
    <n v="1"/>
    <n v="7037.34"/>
    <d v="2024-11-04T08:10:59"/>
    <n v="17"/>
    <s v="Monday"/>
    <n v="-0.63886342809325403"/>
    <b v="0"/>
    <b v="0"/>
    <b v="1"/>
    <n v="0"/>
    <m/>
    <n v="0"/>
    <m/>
  </r>
  <r>
    <s v="TX001310"/>
    <s v="AC00470"/>
    <n v="470.96"/>
    <d v="2023-03-10T16:22:05"/>
    <s v="Credit"/>
    <x v="7"/>
    <s v="D000600"/>
    <s v="106.244.1.47"/>
    <s v="M036"/>
    <s v="Online"/>
    <n v="69"/>
    <s v="Doctor"/>
    <n v="124"/>
    <n v="2"/>
    <n v="12991.03"/>
    <d v="2024-11-04T08:11:10"/>
    <n v="16"/>
    <s v="Friday"/>
    <n v="0.59382926159684801"/>
    <b v="0"/>
    <b v="1"/>
    <b v="1"/>
    <n v="1"/>
    <m/>
    <n v="0"/>
    <m/>
  </r>
  <r>
    <s v="TX001311"/>
    <s v="AC00032"/>
    <n v="52.23"/>
    <d v="2023-09-11T18:08:19"/>
    <s v="Credit"/>
    <x v="23"/>
    <s v="D000088"/>
    <s v="154.138.163.229"/>
    <s v="M016"/>
    <s v="Branch"/>
    <n v="28"/>
    <s v="Student"/>
    <n v="96"/>
    <n v="1"/>
    <n v="105.01"/>
    <d v="2024-11-04T08:08:11"/>
    <n v="18"/>
    <s v="Monday"/>
    <n v="-0.84044163412932904"/>
    <b v="0"/>
    <b v="0"/>
    <b v="1"/>
    <n v="0"/>
    <m/>
    <n v="0"/>
    <m/>
  </r>
  <r>
    <s v="TX001312"/>
    <s v="AC00136"/>
    <n v="78.62"/>
    <d v="2023-07-31T16:46:29"/>
    <s v="Debit"/>
    <x v="5"/>
    <s v="D000521"/>
    <s v="80.90.35.146"/>
    <s v="M084"/>
    <s v="Branch"/>
    <n v="32"/>
    <s v="Doctor"/>
    <n v="52"/>
    <n v="1"/>
    <n v="1360.85"/>
    <d v="2024-11-04T08:08:12"/>
    <n v="16"/>
    <s v="Monday"/>
    <n v="-0.75004828056446904"/>
    <b v="0"/>
    <b v="0"/>
    <b v="1"/>
    <n v="0"/>
    <m/>
    <n v="0"/>
    <m/>
  </r>
  <r>
    <s v="TX001313"/>
    <s v="AC00001"/>
    <n v="47.79"/>
    <d v="2023-09-15T17:00:20"/>
    <s v="Debit"/>
    <x v="13"/>
    <s v="D000649"/>
    <s v="59.12.96.11"/>
    <s v="M034"/>
    <s v="Branch"/>
    <n v="25"/>
    <s v="Student"/>
    <n v="37"/>
    <n v="1"/>
    <n v="1649.92"/>
    <d v="2024-11-04T08:11:55"/>
    <n v="17"/>
    <s v="Friday"/>
    <n v="-0.85564991339526197"/>
    <b v="0"/>
    <b v="0"/>
    <b v="1"/>
    <n v="0"/>
    <m/>
    <n v="0"/>
    <m/>
  </r>
  <r>
    <s v="TX001314"/>
    <s v="AC00187"/>
    <n v="333.97"/>
    <d v="2023-03-22T16:18:37"/>
    <s v="Debit"/>
    <x v="41"/>
    <s v="D000305"/>
    <s v="98.39.212.221"/>
    <s v="M011"/>
    <s v="Branch"/>
    <n v="52"/>
    <s v="Doctor"/>
    <n v="45"/>
    <n v="1"/>
    <n v="5237.3599999999997"/>
    <d v="2024-11-04T08:11:48"/>
    <n v="16"/>
    <s v="Wednesday"/>
    <n v="0.12459904163284"/>
    <b v="0"/>
    <b v="0"/>
    <b v="1"/>
    <n v="0"/>
    <m/>
    <n v="0"/>
    <m/>
  </r>
  <r>
    <s v="TX001315"/>
    <s v="AC00452"/>
    <n v="30.87"/>
    <d v="2023-07-12T16:50:42"/>
    <s v="Debit"/>
    <x v="41"/>
    <s v="D000015"/>
    <s v="34.92.221.183"/>
    <s v="M025"/>
    <s v="ATM"/>
    <n v="33"/>
    <s v="Doctor"/>
    <n v="295"/>
    <n v="1"/>
    <n v="14348.65"/>
    <d v="2024-11-04T08:10:43"/>
    <n v="16"/>
    <s v="Wednesday"/>
    <n v="-0.91360578843571005"/>
    <b v="0"/>
    <b v="0"/>
    <b v="1"/>
    <n v="0"/>
    <m/>
    <n v="0"/>
    <m/>
  </r>
  <r>
    <s v="TX001316"/>
    <s v="AC00036"/>
    <n v="710.43"/>
    <d v="2023-03-08T17:07:21"/>
    <s v="Debit"/>
    <x v="0"/>
    <s v="D000398"/>
    <s v="189.198.67.252"/>
    <s v="M007"/>
    <s v="Online"/>
    <n v="67"/>
    <s v="Retired"/>
    <n v="115"/>
    <n v="1"/>
    <n v="5625.55"/>
    <d v="2024-11-04T08:08:42"/>
    <n v="17"/>
    <s v="Wednesday"/>
    <n v="1.4140830084015801"/>
    <b v="0"/>
    <b v="0"/>
    <b v="1"/>
    <n v="0"/>
    <m/>
    <n v="0"/>
    <m/>
  </r>
  <r>
    <s v="TX001317"/>
    <s v="AC00125"/>
    <n v="220.23"/>
    <d v="2023-09-18T18:35:23"/>
    <s v="Debit"/>
    <x v="20"/>
    <s v="D000663"/>
    <s v="19.20.13.234"/>
    <s v="M059"/>
    <s v="ATM"/>
    <n v="41"/>
    <s v="Engineer"/>
    <n v="48"/>
    <n v="1"/>
    <n v="3438.02"/>
    <d v="2024-11-04T08:06:33"/>
    <n v="18"/>
    <s v="Monday"/>
    <n v="-0.26499322947239501"/>
    <b v="0"/>
    <b v="0"/>
    <b v="1"/>
    <n v="0"/>
    <m/>
    <n v="0"/>
    <m/>
  </r>
  <r>
    <s v="TX001318"/>
    <s v="AC00403"/>
    <n v="27.28"/>
    <d v="2023-12-25T16:30:45"/>
    <s v="Debit"/>
    <x v="4"/>
    <s v="D000082"/>
    <s v="193.108.17.115"/>
    <s v="M070"/>
    <s v="ATM"/>
    <n v="29"/>
    <s v="Doctor"/>
    <n v="96"/>
    <n v="1"/>
    <n v="10668.24"/>
    <d v="2024-11-04T08:09:42"/>
    <n v="16"/>
    <s v="Monday"/>
    <n v="-0.92590257279712895"/>
    <b v="0"/>
    <b v="0"/>
    <b v="1"/>
    <n v="0"/>
    <m/>
    <n v="0"/>
    <m/>
  </r>
  <r>
    <s v="TX001319"/>
    <s v="AC00264"/>
    <n v="101.52"/>
    <d v="2023-08-09T16:22:25"/>
    <s v="Debit"/>
    <x v="28"/>
    <s v="D000002"/>
    <s v="63.82.133.139"/>
    <s v="M086"/>
    <s v="ATM"/>
    <n v="49"/>
    <s v="Engineer"/>
    <n v="98"/>
    <n v="1"/>
    <n v="2018.9"/>
    <d v="2024-11-04T08:08:38"/>
    <n v="16"/>
    <s v="Wednesday"/>
    <n v="-0.67160918254873203"/>
    <b v="0"/>
    <b v="0"/>
    <b v="1"/>
    <n v="0"/>
    <m/>
    <n v="0"/>
    <m/>
  </r>
  <r>
    <s v="TX001320"/>
    <s v="AC00123"/>
    <n v="162.65"/>
    <d v="2023-05-11T17:15:10"/>
    <s v="Debit"/>
    <x v="22"/>
    <s v="D000169"/>
    <s v="112.86.148.212"/>
    <s v="M088"/>
    <s v="ATM"/>
    <n v="59"/>
    <s v="Engineer"/>
    <n v="147"/>
    <n v="1"/>
    <n v="9500.9500000000007"/>
    <d v="2024-11-04T08:11:20"/>
    <n v="17"/>
    <s v="Thursday"/>
    <n v="-0.462221319592313"/>
    <b v="0"/>
    <b v="0"/>
    <b v="1"/>
    <n v="0"/>
    <m/>
    <n v="0"/>
    <m/>
  </r>
  <r>
    <s v="TX001321"/>
    <s v="AC00298"/>
    <n v="10.52"/>
    <d v="2023-07-19T17:38:50"/>
    <s v="Debit"/>
    <x v="31"/>
    <s v="D000137"/>
    <s v="1.238.163.61"/>
    <s v="M019"/>
    <s v="ATM"/>
    <n v="55"/>
    <s v="Retired"/>
    <n v="30"/>
    <n v="1"/>
    <n v="2472.9899999999998"/>
    <d v="2024-11-04T08:11:06"/>
    <n v="17"/>
    <s v="Wednesday"/>
    <n v="-0.98331040173790396"/>
    <b v="0"/>
    <b v="0"/>
    <b v="1"/>
    <n v="0"/>
    <m/>
    <n v="0"/>
    <m/>
  </r>
  <r>
    <s v="TX001322"/>
    <s v="AC00235"/>
    <n v="270.72000000000003"/>
    <d v="2023-03-27T17:25:32"/>
    <s v="Debit"/>
    <x v="16"/>
    <s v="D000149"/>
    <s v="145.76.10.8"/>
    <s v="M027"/>
    <s v="Branch"/>
    <n v="38"/>
    <s v="Doctor"/>
    <n v="37"/>
    <n v="1"/>
    <n v="6522.47"/>
    <d v="2024-11-04T08:12:10"/>
    <n v="17"/>
    <s v="Monday"/>
    <n v="-9.2050432144248795E-2"/>
    <b v="0"/>
    <b v="0"/>
    <b v="1"/>
    <n v="0"/>
    <m/>
    <n v="0"/>
    <m/>
  </r>
  <r>
    <s v="TX001323"/>
    <s v="AC00259"/>
    <n v="202.34"/>
    <d v="2023-01-10T16:32:06"/>
    <s v="Debit"/>
    <x v="22"/>
    <s v="D000023"/>
    <s v="146.250.144.172"/>
    <s v="M049"/>
    <s v="Online"/>
    <n v="20"/>
    <s v="Student"/>
    <n v="134"/>
    <n v="1"/>
    <n v="1223.45"/>
    <d v="2024-11-04T08:11:25"/>
    <n v="16"/>
    <s v="Tuesday"/>
    <n v="-0.32627163399211201"/>
    <b v="0"/>
    <b v="0"/>
    <b v="1"/>
    <n v="0"/>
    <m/>
    <n v="0"/>
    <m/>
  </r>
  <r>
    <s v="TX001324"/>
    <s v="AC00329"/>
    <n v="247.58"/>
    <d v="2023-05-29T18:40:32"/>
    <s v="Debit"/>
    <x v="25"/>
    <s v="D000112"/>
    <s v="32.240.176.64"/>
    <s v="M068"/>
    <s v="ATM"/>
    <n v="39"/>
    <s v="Engineer"/>
    <n v="152"/>
    <n v="1"/>
    <n v="778.74"/>
    <d v="2024-11-04T08:07:18"/>
    <n v="18"/>
    <s v="Monday"/>
    <n v="-0.17131159930949499"/>
    <b v="0"/>
    <b v="0"/>
    <b v="1"/>
    <n v="0"/>
    <m/>
    <n v="0"/>
    <m/>
  </r>
  <r>
    <s v="TX001325"/>
    <s v="AC00482"/>
    <n v="686.17"/>
    <d v="2023-10-03T17:27:25"/>
    <s v="Debit"/>
    <x v="13"/>
    <s v="D000103"/>
    <s v="199.199.60.222"/>
    <s v="M030"/>
    <s v="ATM"/>
    <n v="61"/>
    <s v="Retired"/>
    <n v="96"/>
    <n v="1"/>
    <n v="2246.15"/>
    <d v="2024-11-04T08:07:37"/>
    <n v="17"/>
    <s v="Tuesday"/>
    <n v="1.3309855185386199"/>
    <b v="0"/>
    <b v="0"/>
    <b v="1"/>
    <n v="0"/>
    <m/>
    <n v="0"/>
    <m/>
  </r>
  <r>
    <s v="TX001326"/>
    <s v="AC00020"/>
    <n v="359.65"/>
    <d v="2023-01-12T17:58:56"/>
    <s v="Credit"/>
    <x v="36"/>
    <s v="D000133"/>
    <s v="45.64.74.86"/>
    <s v="M085"/>
    <s v="Online"/>
    <n v="25"/>
    <s v="Student"/>
    <n v="289"/>
    <n v="1"/>
    <n v="219.53"/>
    <d v="2024-11-04T08:09:04"/>
    <n v="17"/>
    <s v="Thursday"/>
    <n v="0.2125604406304"/>
    <b v="0"/>
    <b v="0"/>
    <b v="1"/>
    <n v="0"/>
    <m/>
    <n v="0"/>
    <m/>
  </r>
  <r>
    <s v="TX001327"/>
    <s v="AC00453"/>
    <n v="109.91"/>
    <d v="2023-05-01T16:23:22"/>
    <s v="Debit"/>
    <x v="6"/>
    <s v="D000517"/>
    <s v="173.135.78.201"/>
    <s v="M074"/>
    <s v="Branch"/>
    <n v="38"/>
    <s v="Doctor"/>
    <n v="90"/>
    <n v="1"/>
    <n v="12896.06"/>
    <d v="2024-11-04T08:10:57"/>
    <n v="16"/>
    <s v="Monday"/>
    <n v="-0.64287101519711498"/>
    <b v="0"/>
    <b v="0"/>
    <b v="1"/>
    <n v="0"/>
    <m/>
    <n v="0"/>
    <m/>
  </r>
  <r>
    <s v="TX001328"/>
    <s v="AC00367"/>
    <n v="215.72"/>
    <d v="2023-10-11T18:04:39"/>
    <s v="Credit"/>
    <x v="15"/>
    <s v="D000682"/>
    <s v="93.151.52.152"/>
    <s v="M032"/>
    <s v="Branch"/>
    <n v="30"/>
    <s v="Engineer"/>
    <n v="137"/>
    <n v="1"/>
    <n v="8697.11"/>
    <d v="2024-11-04T08:11:54"/>
    <n v="18"/>
    <s v="Wednesday"/>
    <n v="-0.28044127890693499"/>
    <b v="0"/>
    <b v="0"/>
    <b v="1"/>
    <n v="0"/>
    <m/>
    <n v="0"/>
    <m/>
  </r>
  <r>
    <s v="TX001329"/>
    <s v="AC00167"/>
    <n v="490.76"/>
    <d v="2023-01-19T16:28:08"/>
    <s v="Debit"/>
    <x v="15"/>
    <s v="D000193"/>
    <s v="17.36.132.202"/>
    <s v="M048"/>
    <s v="Online"/>
    <n v="66"/>
    <s v="Retired"/>
    <n v="156"/>
    <n v="1"/>
    <n v="6414.11"/>
    <d v="2024-11-04T08:09:44"/>
    <n v="16"/>
    <s v="Thursday"/>
    <n v="0.66164996643141505"/>
    <b v="0"/>
    <b v="0"/>
    <b v="1"/>
    <n v="0"/>
    <m/>
    <n v="0"/>
    <m/>
  </r>
  <r>
    <s v="TX001330"/>
    <s v="AC00110"/>
    <n v="224.28"/>
    <d v="2023-02-15T16:50:13"/>
    <s v="Debit"/>
    <x v="29"/>
    <s v="D000316"/>
    <s v="189.20.224.220"/>
    <s v="M068"/>
    <s v="Online"/>
    <n v="64"/>
    <s v="Retired"/>
    <n v="68"/>
    <n v="1"/>
    <n v="5767.51"/>
    <d v="2024-11-04T08:10:52"/>
    <n v="16"/>
    <s v="Wednesday"/>
    <n v="-0.25112081257441499"/>
    <b v="0"/>
    <b v="0"/>
    <b v="1"/>
    <n v="0"/>
    <m/>
    <n v="0"/>
    <m/>
  </r>
  <r>
    <s v="TX001331"/>
    <s v="AC00078"/>
    <n v="614.03"/>
    <d v="2023-05-08T16:37:14"/>
    <s v="Debit"/>
    <x v="34"/>
    <s v="D000693"/>
    <s v="58.190.9.136"/>
    <s v="M086"/>
    <s v="ATM"/>
    <n v="68"/>
    <s v="Retired"/>
    <n v="51"/>
    <n v="1"/>
    <n v="2815.86"/>
    <d v="2024-11-04T08:08:12"/>
    <n v="16"/>
    <s v="Monday"/>
    <n v="1.0838852333484399"/>
    <b v="0"/>
    <b v="0"/>
    <b v="1"/>
    <n v="0"/>
    <m/>
    <n v="0"/>
    <m/>
  </r>
  <r>
    <s v="TX001332"/>
    <s v="AC00212"/>
    <n v="608.79"/>
    <d v="2023-11-03T18:37:18"/>
    <s v="Debit"/>
    <x v="18"/>
    <s v="D000399"/>
    <s v="158.129.49.240"/>
    <s v="M015"/>
    <s v="Online"/>
    <n v="55"/>
    <s v="Engineer"/>
    <n v="157"/>
    <n v="1"/>
    <n v="2991.17"/>
    <d v="2024-11-04T08:12:18"/>
    <n v="18"/>
    <s v="Friday"/>
    <n v="1.0659367235841399"/>
    <b v="0"/>
    <b v="0"/>
    <b v="1"/>
    <n v="0"/>
    <m/>
    <n v="0"/>
    <m/>
  </r>
  <r>
    <s v="TX001333"/>
    <s v="AC00051"/>
    <n v="186.55"/>
    <d v="2023-06-21T16:49:10"/>
    <s v="Debit"/>
    <x v="26"/>
    <s v="D000049"/>
    <s v="60.166.231.236"/>
    <s v="M003"/>
    <s v="Branch"/>
    <n v="48"/>
    <s v="Engineer"/>
    <n v="288"/>
    <n v="1"/>
    <n v="224.65"/>
    <d v="2024-11-04T08:07:18"/>
    <n v="16"/>
    <s v="Wednesday"/>
    <n v="-0.38035693345361798"/>
    <b v="0"/>
    <b v="0"/>
    <b v="1"/>
    <n v="0"/>
    <m/>
    <n v="0"/>
    <m/>
  </r>
  <r>
    <s v="TX001334"/>
    <s v="AC00250"/>
    <n v="840.16"/>
    <d v="2023-03-20T16:35:53"/>
    <s v="Credit"/>
    <x v="40"/>
    <s v="D000692"/>
    <s v="23.163.145.195"/>
    <s v="M014"/>
    <s v="Branch"/>
    <n v="20"/>
    <s v="Student"/>
    <n v="68"/>
    <n v="1"/>
    <n v="1236.76"/>
    <d v="2024-11-04T08:12:12"/>
    <n v="16"/>
    <s v="Monday"/>
    <n v="1.8584456365929201"/>
    <b v="0"/>
    <b v="0"/>
    <b v="1"/>
    <n v="0"/>
    <m/>
    <n v="0"/>
    <m/>
  </r>
  <r>
    <s v="TX001335"/>
    <s v="AC00304"/>
    <n v="203.34"/>
    <d v="2023-12-20T17:13:50"/>
    <s v="Debit"/>
    <x v="37"/>
    <s v="D000057"/>
    <s v="69.82.61.135"/>
    <s v="M061"/>
    <s v="ATM"/>
    <n v="60"/>
    <s v="Doctor"/>
    <n v="66"/>
    <n v="1"/>
    <n v="13586.99"/>
    <d v="2024-11-04T08:09:43"/>
    <n v="17"/>
    <s v="Wednesday"/>
    <n v="-0.32284634586915401"/>
    <b v="0"/>
    <b v="0"/>
    <b v="1"/>
    <n v="0"/>
    <m/>
    <n v="0"/>
    <m/>
  </r>
  <r>
    <s v="TX001336"/>
    <s v="AC00007"/>
    <n v="90.88"/>
    <d v="2023-11-20T17:08:33"/>
    <s v="Debit"/>
    <x v="40"/>
    <s v="D000086"/>
    <s v="175.210.47.87"/>
    <s v="M071"/>
    <s v="ATM"/>
    <n v="26"/>
    <s v="Engineer"/>
    <n v="284"/>
    <n v="1"/>
    <n v="7117.35"/>
    <d v="2024-11-04T08:10:50"/>
    <n v="17"/>
    <s v="Monday"/>
    <n v="-0.70805424817700402"/>
    <b v="0"/>
    <b v="0"/>
    <b v="1"/>
    <n v="0"/>
    <m/>
    <n v="0"/>
    <m/>
  </r>
  <r>
    <s v="TX001337"/>
    <s v="AC00017"/>
    <n v="60.11"/>
    <d v="2023-11-27T17:39:39"/>
    <s v="Credit"/>
    <x v="10"/>
    <s v="D000636"/>
    <s v="8.243.4.138"/>
    <s v="M067"/>
    <s v="Branch"/>
    <n v="61"/>
    <s v="Retired"/>
    <n v="122"/>
    <n v="1"/>
    <n v="7235.87"/>
    <d v="2024-11-04T08:08:09"/>
    <n v="17"/>
    <s v="Monday"/>
    <n v="-0.81345036372042001"/>
    <b v="0"/>
    <b v="0"/>
    <b v="1"/>
    <n v="0"/>
    <m/>
    <n v="0"/>
    <m/>
  </r>
  <r>
    <s v="TX001338"/>
    <s v="AC00158"/>
    <n v="393.92"/>
    <d v="2023-05-16T16:57:35"/>
    <s v="Debit"/>
    <x v="11"/>
    <s v="D000504"/>
    <s v="141.169.67.34"/>
    <s v="M061"/>
    <s v="Branch"/>
    <n v="72"/>
    <s v="Retired"/>
    <n v="47"/>
    <n v="1"/>
    <n v="7318.64"/>
    <d v="2024-11-04T08:12:07"/>
    <n v="16"/>
    <s v="Tuesday"/>
    <n v="0.329945064604169"/>
    <b v="0"/>
    <b v="0"/>
    <b v="1"/>
    <n v="0"/>
    <m/>
    <n v="0"/>
    <m/>
  </r>
  <r>
    <s v="TX001339"/>
    <s v="AC00110"/>
    <n v="19.39"/>
    <d v="2023-11-17T16:39:20"/>
    <s v="Debit"/>
    <x v="40"/>
    <s v="D000294"/>
    <s v="201.95.180.152"/>
    <s v="M062"/>
    <s v="ATM"/>
    <n v="43"/>
    <s v="Doctor"/>
    <n v="45"/>
    <n v="1"/>
    <n v="9847.6"/>
    <d v="2024-11-04T08:11:24"/>
    <n v="16"/>
    <s v="Friday"/>
    <n v="-0.95292809608726703"/>
    <b v="0"/>
    <b v="0"/>
    <b v="1"/>
    <n v="0"/>
    <m/>
    <n v="0"/>
    <m/>
  </r>
  <r>
    <s v="TX001340"/>
    <s v="AC00175"/>
    <n v="557.41"/>
    <d v="2023-04-14T16:52:23"/>
    <s v="Credit"/>
    <x v="38"/>
    <s v="D000180"/>
    <s v="194.29.57.163"/>
    <s v="M087"/>
    <s v="Online"/>
    <n v="80"/>
    <s v="Retired"/>
    <n v="49"/>
    <n v="1"/>
    <n v="2968.75"/>
    <d v="2024-11-04T08:09:54"/>
    <n v="16"/>
    <s v="Friday"/>
    <n v="0.88994541982656195"/>
    <b v="0"/>
    <b v="0"/>
    <b v="1"/>
    <n v="0"/>
    <m/>
    <n v="0"/>
    <m/>
  </r>
  <r>
    <s v="TX001341"/>
    <s v="AC00079"/>
    <n v="57.07"/>
    <d v="2023-08-25T16:30:02"/>
    <s v="Credit"/>
    <x v="35"/>
    <s v="D000250"/>
    <s v="116.175.11.222"/>
    <s v="M027"/>
    <s v="Online"/>
    <n v="31"/>
    <s v="Doctor"/>
    <n v="99"/>
    <n v="1"/>
    <n v="9323.7099999999991"/>
    <d v="2024-11-04T08:11:35"/>
    <n v="16"/>
    <s v="Friday"/>
    <n v="-0.82386323961421204"/>
    <b v="0"/>
    <b v="0"/>
    <b v="1"/>
    <n v="0"/>
    <m/>
    <n v="0"/>
    <m/>
  </r>
  <r>
    <s v="TX001342"/>
    <s v="AC00403"/>
    <n v="395.27"/>
    <d v="2023-08-07T16:38:52"/>
    <s v="Credit"/>
    <x v="19"/>
    <s v="D000045"/>
    <s v="150.83.4.238"/>
    <s v="M085"/>
    <s v="Online"/>
    <n v="18"/>
    <s v="Student"/>
    <n v="167"/>
    <n v="1"/>
    <n v="1764.08"/>
    <d v="2024-11-04T08:08:21"/>
    <n v="16"/>
    <s v="Monday"/>
    <n v="0.33456920357016201"/>
    <b v="0"/>
    <b v="0"/>
    <b v="1"/>
    <n v="0"/>
    <m/>
    <n v="0"/>
    <m/>
  </r>
  <r>
    <s v="TX001343"/>
    <s v="AC00228"/>
    <n v="289.05"/>
    <d v="2023-06-09T17:58:00"/>
    <s v="Debit"/>
    <x v="22"/>
    <s v="D000493"/>
    <s v="174.61.77.54"/>
    <s v="M088"/>
    <s v="ATM"/>
    <n v="75"/>
    <s v="Retired"/>
    <n v="116"/>
    <n v="1"/>
    <n v="5683.49"/>
    <d v="2024-11-04T08:11:58"/>
    <n v="17"/>
    <s v="Friday"/>
    <n v="-2.9264900850429799E-2"/>
    <b v="0"/>
    <b v="0"/>
    <b v="1"/>
    <n v="0"/>
    <m/>
    <n v="0"/>
    <m/>
  </r>
  <r>
    <s v="TX001344"/>
    <s v="AC00344"/>
    <n v="46.11"/>
    <d v="2023-03-27T17:07:20"/>
    <s v="Debit"/>
    <x v="23"/>
    <s v="D000184"/>
    <s v="13.88.251.53"/>
    <s v="M048"/>
    <s v="Online"/>
    <n v="33"/>
    <s v="Doctor"/>
    <n v="233"/>
    <n v="1"/>
    <n v="5225.7299999999996"/>
    <d v="2024-11-04T08:10:44"/>
    <n v="17"/>
    <s v="Monday"/>
    <n v="-0.86140439744183095"/>
    <b v="0"/>
    <b v="0"/>
    <b v="1"/>
    <n v="0"/>
    <m/>
    <n v="0"/>
    <m/>
  </r>
  <r>
    <s v="TX001345"/>
    <s v="AC00466"/>
    <n v="335.5"/>
    <d v="2023-08-14T16:01:02"/>
    <s v="Debit"/>
    <x v="30"/>
    <s v="D000326"/>
    <s v="107.247.202.71"/>
    <s v="M003"/>
    <s v="ATM"/>
    <n v="63"/>
    <s v="Retired"/>
    <n v="47"/>
    <n v="1"/>
    <n v="6445.4"/>
    <d v="2024-11-04T08:12:23"/>
    <n v="16"/>
    <s v="Monday"/>
    <n v="0.129839732460966"/>
    <b v="0"/>
    <b v="0"/>
    <b v="1"/>
    <n v="0"/>
    <m/>
    <n v="0"/>
    <m/>
  </r>
  <r>
    <s v="TX001346"/>
    <s v="AC00204"/>
    <n v="388.07"/>
    <d v="2023-09-05T17:34:08"/>
    <s v="Debit"/>
    <x v="6"/>
    <s v="D000422"/>
    <s v="44.197.126.59"/>
    <s v="M067"/>
    <s v="Online"/>
    <n v="24"/>
    <s v="Student"/>
    <n v="68"/>
    <n v="1"/>
    <n v="289.70999999999998"/>
    <d v="2024-11-04T08:10:37"/>
    <n v="17"/>
    <s v="Tuesday"/>
    <n v="0.30990712908486501"/>
    <b v="0"/>
    <b v="0"/>
    <b v="1"/>
    <n v="0"/>
    <m/>
    <n v="0"/>
    <m/>
  </r>
  <r>
    <s v="TX001347"/>
    <s v="AC00030"/>
    <n v="520.86"/>
    <d v="2023-03-20T16:29:02"/>
    <s v="Credit"/>
    <x v="30"/>
    <s v="D000309"/>
    <s v="179.132.235.182"/>
    <s v="M017"/>
    <s v="Online"/>
    <n v="51"/>
    <s v="Engineer"/>
    <n v="66"/>
    <n v="1"/>
    <n v="9200.74"/>
    <d v="2024-11-04T08:08:47"/>
    <n v="16"/>
    <s v="Monday"/>
    <n v="0.76475113893244995"/>
    <b v="0"/>
    <b v="0"/>
    <b v="1"/>
    <n v="0"/>
    <m/>
    <n v="0"/>
    <m/>
  </r>
  <r>
    <s v="TX001348"/>
    <s v="AC00455"/>
    <n v="787.41"/>
    <d v="2023-06-19T16:22:28"/>
    <s v="Debit"/>
    <x v="11"/>
    <s v="D000351"/>
    <s v="150.25.200.56"/>
    <s v="M081"/>
    <s v="Online"/>
    <n v="25"/>
    <s v="Student"/>
    <n v="39"/>
    <n v="1"/>
    <n v="300.87"/>
    <d v="2024-11-04T08:06:44"/>
    <n v="16"/>
    <s v="Monday"/>
    <n v="1.67776168810688"/>
    <b v="0"/>
    <b v="0"/>
    <b v="1"/>
    <n v="0"/>
    <m/>
    <n v="0"/>
    <m/>
  </r>
  <r>
    <s v="TX001349"/>
    <s v="AC00094"/>
    <n v="31.7"/>
    <d v="2023-06-01T16:56:33"/>
    <s v="Credit"/>
    <x v="3"/>
    <s v="D000596"/>
    <s v="113.134.242.82"/>
    <s v="M074"/>
    <s v="ATM"/>
    <n v="48"/>
    <s v="Doctor"/>
    <n v="121"/>
    <n v="1"/>
    <n v="743.9"/>
    <d v="2024-11-04T08:08:02"/>
    <n v="16"/>
    <s v="Thursday"/>
    <n v="-0.910762799293655"/>
    <b v="0"/>
    <b v="0"/>
    <b v="1"/>
    <n v="0"/>
    <m/>
    <n v="0"/>
    <m/>
  </r>
  <r>
    <s v="TX001350"/>
    <s v="AC00185"/>
    <n v="22.3"/>
    <d v="2023-05-01T16:57:17"/>
    <s v="Debit"/>
    <x v="26"/>
    <s v="D000035"/>
    <s v="133.63.96.21"/>
    <s v="M030"/>
    <s v="ATM"/>
    <n v="21"/>
    <s v="Student"/>
    <n v="90"/>
    <n v="1"/>
    <n v="1200.3499999999999"/>
    <d v="2024-11-04T08:12:18"/>
    <n v="16"/>
    <s v="Monday"/>
    <n v="-0.94296050764946004"/>
    <b v="0"/>
    <b v="0"/>
    <b v="1"/>
    <n v="0"/>
    <m/>
    <n v="0"/>
    <m/>
  </r>
  <r>
    <s v="TX001351"/>
    <s v="AC00351"/>
    <n v="203.12"/>
    <d v="2023-01-18T16:59:48"/>
    <s v="Debit"/>
    <x v="24"/>
    <s v="D000004"/>
    <s v="77.21.150.75"/>
    <s v="M078"/>
    <s v="ATM"/>
    <n v="56"/>
    <s v="Retired"/>
    <n v="181"/>
    <n v="1"/>
    <n v="1562.39"/>
    <d v="2024-11-04T08:09:15"/>
    <n v="16"/>
    <s v="Wednesday"/>
    <n v="-0.32359990925620502"/>
    <b v="0"/>
    <b v="0"/>
    <b v="1"/>
    <n v="0"/>
    <m/>
    <n v="0"/>
    <m/>
  </r>
  <r>
    <s v="TX001352"/>
    <s v="AC00335"/>
    <n v="315.94"/>
    <d v="2023-02-27T17:06:57"/>
    <s v="Credit"/>
    <x v="3"/>
    <s v="D000625"/>
    <s v="8.244.162.185"/>
    <s v="M024"/>
    <s v="Branch"/>
    <n v="49"/>
    <s v="Doctor"/>
    <n v="172"/>
    <n v="1"/>
    <n v="7719.71"/>
    <d v="2024-11-04T08:12:09"/>
    <n v="17"/>
    <s v="Monday"/>
    <n v="6.2841096775909003E-2"/>
    <b v="0"/>
    <b v="0"/>
    <b v="1"/>
    <n v="0"/>
    <m/>
    <n v="0"/>
    <m/>
  </r>
  <r>
    <s v="TX001353"/>
    <s v="AC00409"/>
    <n v="192.23"/>
    <d v="2023-12-28T16:34:52"/>
    <s v="Debit"/>
    <x v="10"/>
    <s v="D000117"/>
    <s v="167.164.55.0"/>
    <s v="M058"/>
    <s v="Online"/>
    <n v="54"/>
    <s v="Engineer"/>
    <n v="39"/>
    <n v="3"/>
    <n v="2610.67"/>
    <d v="2024-11-04T08:06:41"/>
    <n v="16"/>
    <s v="Thursday"/>
    <n v="-0.360901296915217"/>
    <b v="0"/>
    <b v="1"/>
    <b v="1"/>
    <n v="1"/>
    <m/>
    <n v="0"/>
    <m/>
  </r>
  <r>
    <s v="TX001354"/>
    <s v="AC00312"/>
    <n v="1510.71"/>
    <d v="2023-06-15T16:48:29"/>
    <s v="Debit"/>
    <x v="5"/>
    <s v="D000106"/>
    <s v="193.209.134.233"/>
    <s v="M060"/>
    <s v="Online"/>
    <n v="66"/>
    <s v="Retired"/>
    <n v="51"/>
    <n v="1"/>
    <n v="2060.02"/>
    <d v="2024-11-04T08:09:11"/>
    <n v="16"/>
    <s v="Thursday"/>
    <n v="4.1552725874423597"/>
    <b v="1"/>
    <b v="0"/>
    <b v="1"/>
    <n v="1"/>
    <m/>
    <n v="1"/>
    <m/>
  </r>
  <r>
    <s v="TX001355"/>
    <s v="AC00097"/>
    <n v="0.26"/>
    <d v="2023-11-23T16:14:48"/>
    <s v="Debit"/>
    <x v="5"/>
    <s v="D000239"/>
    <s v="60.197.167.40"/>
    <s v="M090"/>
    <s v="Online"/>
    <n v="20"/>
    <s v="Student"/>
    <n v="173"/>
    <n v="1"/>
    <n v="1833.67"/>
    <d v="2024-11-04T08:07:45"/>
    <n v="16"/>
    <s v="Thursday"/>
    <n v="-1.01845385787945"/>
    <b v="0"/>
    <b v="0"/>
    <b v="1"/>
    <n v="0"/>
    <m/>
    <n v="0"/>
    <m/>
  </r>
  <r>
    <s v="TX001356"/>
    <s v="AC00447"/>
    <n v="210.77"/>
    <d v="2023-05-31T16:50:20"/>
    <s v="Debit"/>
    <x v="2"/>
    <s v="D000009"/>
    <s v="144.91.150.133"/>
    <s v="M094"/>
    <s v="ATM"/>
    <n v="71"/>
    <s v="Retired"/>
    <n v="161"/>
    <n v="1"/>
    <n v="5396.65"/>
    <d v="2024-11-04T08:11:21"/>
    <n v="16"/>
    <s v="Wednesday"/>
    <n v="-0.297396455115577"/>
    <b v="0"/>
    <b v="0"/>
    <b v="1"/>
    <n v="0"/>
    <m/>
    <n v="0"/>
    <m/>
  </r>
  <r>
    <s v="TX001357"/>
    <s v="AC00280"/>
    <n v="406.65"/>
    <d v="2023-11-08T18:32:44"/>
    <s v="Debit"/>
    <x v="2"/>
    <s v="D000013"/>
    <s v="147.234.20.46"/>
    <s v="M062"/>
    <s v="ATM"/>
    <n v="57"/>
    <s v="Doctor"/>
    <n v="107"/>
    <n v="1"/>
    <n v="12995.7"/>
    <d v="2024-11-04T08:11:01"/>
    <n v="18"/>
    <s v="Wednesday"/>
    <n v="0.37354898240942302"/>
    <b v="0"/>
    <b v="0"/>
    <b v="1"/>
    <n v="0"/>
    <m/>
    <n v="0"/>
    <m/>
  </r>
  <r>
    <s v="TX001358"/>
    <s v="AC00023"/>
    <n v="422.9"/>
    <d v="2023-02-27T16:15:53"/>
    <s v="Debit"/>
    <x v="28"/>
    <s v="D000237"/>
    <s v="180.224.54.115"/>
    <s v="M027"/>
    <s v="ATM"/>
    <n v="40"/>
    <s v="Engineer"/>
    <n v="111"/>
    <n v="1"/>
    <n v="7616.43"/>
    <d v="2024-11-04T08:10:52"/>
    <n v="16"/>
    <s v="Monday"/>
    <n v="0.42920991440749001"/>
    <b v="0"/>
    <b v="0"/>
    <b v="1"/>
    <n v="0"/>
    <m/>
    <n v="0"/>
    <m/>
  </r>
  <r>
    <s v="TX001359"/>
    <s v="AC00077"/>
    <n v="20.62"/>
    <d v="2023-06-21T17:10:18"/>
    <s v="Credit"/>
    <x v="26"/>
    <s v="D000627"/>
    <s v="184.59.28.72"/>
    <s v="M014"/>
    <s v="ATM"/>
    <n v="35"/>
    <s v="Doctor"/>
    <n v="225"/>
    <n v="1"/>
    <n v="12500.8"/>
    <d v="2024-11-04T08:08:49"/>
    <n v="17"/>
    <s v="Wednesday"/>
    <n v="-0.94871499169602902"/>
    <b v="0"/>
    <b v="0"/>
    <b v="1"/>
    <n v="0"/>
    <m/>
    <n v="0"/>
    <m/>
  </r>
  <r>
    <s v="TX001360"/>
    <s v="AC00113"/>
    <n v="174.39"/>
    <d v="2023-01-09T16:08:52"/>
    <s v="Debit"/>
    <x v="23"/>
    <s v="D000078"/>
    <s v="98.255.160.110"/>
    <s v="M015"/>
    <s v="ATM"/>
    <n v="19"/>
    <s v="Student"/>
    <n v="36"/>
    <n v="1"/>
    <n v="1127.08"/>
    <d v="2024-11-04T08:11:01"/>
    <n v="16"/>
    <s v="Monday"/>
    <n v="-0.42200843702878699"/>
    <b v="0"/>
    <b v="0"/>
    <b v="1"/>
    <n v="0"/>
    <m/>
    <n v="0"/>
    <m/>
  </r>
  <r>
    <s v="TX001361"/>
    <s v="AC00391"/>
    <n v="7.86"/>
    <d v="2023-10-16T16:47:15"/>
    <s v="Credit"/>
    <x v="30"/>
    <s v="D000065"/>
    <s v="201.113.165.203"/>
    <s v="M053"/>
    <s v="Branch"/>
    <n v="76"/>
    <s v="Retired"/>
    <n v="91"/>
    <n v="1"/>
    <n v="3621.98"/>
    <d v="2024-11-04T08:07:51"/>
    <n v="16"/>
    <s v="Monday"/>
    <n v="-0.99242166814497201"/>
    <b v="0"/>
    <b v="0"/>
    <b v="1"/>
    <n v="0"/>
    <m/>
    <n v="0"/>
    <m/>
  </r>
  <r>
    <s v="TX001362"/>
    <s v="AC00136"/>
    <n v="61.98"/>
    <d v="2023-01-03T18:18:14"/>
    <s v="Debit"/>
    <x v="13"/>
    <s v="D000376"/>
    <s v="20.147.6.179"/>
    <s v="M038"/>
    <s v="Online"/>
    <n v="49"/>
    <s v="Engineer"/>
    <n v="44"/>
    <n v="1"/>
    <n v="5212.28"/>
    <d v="2024-11-04T08:08:55"/>
    <n v="18"/>
    <s v="Tuesday"/>
    <n v="-0.80704507493048905"/>
    <b v="0"/>
    <b v="0"/>
    <b v="1"/>
    <n v="0"/>
    <m/>
    <n v="0"/>
    <m/>
  </r>
  <r>
    <s v="TX001363"/>
    <s v="AC00204"/>
    <n v="54.85"/>
    <d v="2023-09-05T16:05:58"/>
    <s v="Credit"/>
    <x v="23"/>
    <s v="D000287"/>
    <s v="214.67.148.245"/>
    <s v="M071"/>
    <s v="Branch"/>
    <n v="58"/>
    <s v="Retired"/>
    <n v="40"/>
    <n v="1"/>
    <n v="2727.45"/>
    <d v="2024-11-04T08:09:36"/>
    <n v="16"/>
    <s v="Tuesday"/>
    <n v="-0.83146737924717895"/>
    <b v="0"/>
    <b v="0"/>
    <b v="1"/>
    <n v="0"/>
    <m/>
    <n v="0"/>
    <m/>
  </r>
  <r>
    <s v="TX001364"/>
    <s v="AC00089"/>
    <n v="204.7"/>
    <d v="2023-09-21T16:08:00"/>
    <s v="Debit"/>
    <x v="5"/>
    <s v="D000359"/>
    <s v="141.201.46.191"/>
    <s v="M032"/>
    <s v="Branch"/>
    <n v="49"/>
    <s v="Doctor"/>
    <n v="95"/>
    <n v="5"/>
    <n v="5117.03"/>
    <d v="2024-11-04T08:10:26"/>
    <n v="16"/>
    <s v="Thursday"/>
    <n v="-0.31818795402193201"/>
    <b v="0"/>
    <b v="1"/>
    <b v="1"/>
    <n v="1"/>
    <m/>
    <n v="0"/>
    <m/>
  </r>
  <r>
    <s v="TX001365"/>
    <s v="AC00305"/>
    <n v="16.55"/>
    <d v="2023-09-11T17:05:50"/>
    <s v="Debit"/>
    <x v="28"/>
    <s v="D000477"/>
    <s v="214.32.109.197"/>
    <s v="M009"/>
    <s v="Branch"/>
    <n v="26"/>
    <s v="Engineer"/>
    <n v="159"/>
    <n v="1"/>
    <n v="6089.79"/>
    <d v="2024-11-04T08:08:11"/>
    <n v="17"/>
    <s v="Monday"/>
    <n v="-0.96265591435646802"/>
    <b v="0"/>
    <b v="0"/>
    <b v="1"/>
    <n v="0"/>
    <m/>
    <n v="0"/>
    <m/>
  </r>
  <r>
    <s v="TX001366"/>
    <s v="AC00338"/>
    <n v="91.32"/>
    <d v="2023-11-10T16:43:45"/>
    <s v="Debit"/>
    <x v="20"/>
    <s v="D000353"/>
    <s v="49.29.37.185"/>
    <s v="M056"/>
    <s v="Branch"/>
    <n v="58"/>
    <s v="Engineer"/>
    <n v="77"/>
    <n v="1"/>
    <n v="2618.1"/>
    <d v="2024-11-04T08:08:22"/>
    <n v="16"/>
    <s v="Friday"/>
    <n v="-0.70654712140290299"/>
    <b v="0"/>
    <b v="0"/>
    <b v="1"/>
    <n v="0"/>
    <m/>
    <n v="0"/>
    <m/>
  </r>
  <r>
    <s v="TX001367"/>
    <s v="AC00268"/>
    <n v="195.49"/>
    <d v="2023-06-12T16:34:59"/>
    <s v="Debit"/>
    <x v="11"/>
    <s v="D000472"/>
    <s v="147.227.81.224"/>
    <s v="M016"/>
    <s v="ATM"/>
    <n v="31"/>
    <s v="Doctor"/>
    <n v="212"/>
    <n v="1"/>
    <n v="11988.12"/>
    <d v="2024-11-04T08:08:35"/>
    <n v="16"/>
    <s v="Monday"/>
    <n v="-0.34973485763437401"/>
    <b v="0"/>
    <b v="0"/>
    <b v="1"/>
    <n v="0"/>
    <m/>
    <n v="0"/>
    <m/>
  </r>
  <r>
    <s v="TX001368"/>
    <s v="AC00363"/>
    <n v="49.62"/>
    <d v="2023-12-07T16:19:07"/>
    <s v="Debit"/>
    <x v="42"/>
    <s v="D000080"/>
    <s v="19.228.76.177"/>
    <s v="M055"/>
    <s v="ATM"/>
    <n v="55"/>
    <s v="Engineer"/>
    <n v="111"/>
    <n v="1"/>
    <n v="3841.42"/>
    <d v="2024-11-04T08:07:23"/>
    <n v="16"/>
    <s v="Thursday"/>
    <n v="-0.84938163613024897"/>
    <b v="0"/>
    <b v="0"/>
    <b v="1"/>
    <n v="0"/>
    <m/>
    <n v="0"/>
    <m/>
  </r>
  <r>
    <s v="TX001369"/>
    <s v="AC00316"/>
    <n v="487.16"/>
    <d v="2023-01-02T16:01:14"/>
    <s v="Credit"/>
    <x v="16"/>
    <s v="D000361"/>
    <s v="156.96.135.18"/>
    <s v="M077"/>
    <s v="Branch"/>
    <n v="28"/>
    <s v="Student"/>
    <n v="84"/>
    <n v="1"/>
    <n v="321.20999999999998"/>
    <d v="2024-11-04T08:12:22"/>
    <n v="16"/>
    <s v="Monday"/>
    <n v="0.64931892918876699"/>
    <b v="0"/>
    <b v="0"/>
    <b v="1"/>
    <n v="0"/>
    <m/>
    <n v="0"/>
    <m/>
  </r>
  <r>
    <s v="TX001370"/>
    <s v="AC00167"/>
    <n v="405.6"/>
    <d v="2023-08-08T17:41:41"/>
    <s v="Debit"/>
    <x v="28"/>
    <s v="D000643"/>
    <s v="36.77.94.252"/>
    <s v="M031"/>
    <s v="Online"/>
    <n v="37"/>
    <s v="Engineer"/>
    <n v="44"/>
    <n v="1"/>
    <n v="9754.73"/>
    <d v="2024-11-04T08:09:24"/>
    <n v="17"/>
    <s v="Tuesday"/>
    <n v="0.36995242988031701"/>
    <b v="0"/>
    <b v="0"/>
    <b v="1"/>
    <n v="0"/>
    <m/>
    <n v="0"/>
    <m/>
  </r>
  <r>
    <s v="TX001371"/>
    <s v="AC00405"/>
    <n v="512.95000000000005"/>
    <d v="2023-10-16T17:08:36"/>
    <s v="Debit"/>
    <x v="15"/>
    <s v="D000335"/>
    <s v="6.234.101.35"/>
    <s v="M066"/>
    <s v="Branch"/>
    <n v="57"/>
    <s v="Engineer"/>
    <n v="143"/>
    <n v="1"/>
    <n v="9584.52"/>
    <d v="2024-11-04T08:10:05"/>
    <n v="17"/>
    <s v="Monday"/>
    <n v="0.737657109879852"/>
    <b v="0"/>
    <b v="0"/>
    <b v="1"/>
    <n v="0"/>
    <m/>
    <n v="0"/>
    <m/>
  </r>
  <r>
    <s v="TX001372"/>
    <s v="AC00098"/>
    <n v="345.94"/>
    <d v="2023-10-09T17:32:57"/>
    <s v="Debit"/>
    <x v="42"/>
    <s v="D000354"/>
    <s v="129.102.184.189"/>
    <s v="M100"/>
    <s v="ATM"/>
    <n v="31"/>
    <s v="Doctor"/>
    <n v="163"/>
    <n v="1"/>
    <n v="7624.56"/>
    <d v="2024-11-04T08:11:40"/>
    <n v="17"/>
    <s v="Monday"/>
    <n v="0.16559974046464701"/>
    <b v="0"/>
    <b v="0"/>
    <b v="1"/>
    <n v="0"/>
    <m/>
    <n v="0"/>
    <m/>
  </r>
  <r>
    <s v="TX001373"/>
    <s v="AC00116"/>
    <n v="356.56"/>
    <d v="2023-10-09T17:23:21"/>
    <s v="Debit"/>
    <x v="22"/>
    <s v="D000399"/>
    <s v="157.130.28.27"/>
    <s v="M100"/>
    <s v="Online"/>
    <n v="47"/>
    <s v="Engineer"/>
    <n v="52"/>
    <n v="1"/>
    <n v="2485.73"/>
    <d v="2024-11-04T08:11:57"/>
    <n v="17"/>
    <s v="Monday"/>
    <n v="0.20197630033045999"/>
    <b v="0"/>
    <b v="0"/>
    <b v="1"/>
    <n v="0"/>
    <m/>
    <n v="0"/>
    <m/>
  </r>
  <r>
    <s v="TX001374"/>
    <s v="AC00267"/>
    <n v="10.31"/>
    <d v="2023-01-13T16:23:56"/>
    <s v="Debit"/>
    <x v="12"/>
    <s v="D000072"/>
    <s v="74.58.165.67"/>
    <s v="M054"/>
    <s v="Online"/>
    <n v="36"/>
    <s v="Engineer"/>
    <n v="280"/>
    <n v="1"/>
    <n v="2137.9"/>
    <d v="2024-11-04T08:11:14"/>
    <n v="16"/>
    <s v="Friday"/>
    <n v="-0.98402971224372504"/>
    <b v="0"/>
    <b v="0"/>
    <b v="1"/>
    <n v="0"/>
    <m/>
    <n v="0"/>
    <m/>
  </r>
  <r>
    <s v="TX001375"/>
    <s v="AC00447"/>
    <n v="211.69"/>
    <d v="2023-10-20T16:02:07"/>
    <s v="Debit"/>
    <x v="4"/>
    <s v="D000674"/>
    <s v="200.13.225.150"/>
    <s v="M066"/>
    <s v="Branch"/>
    <n v="30"/>
    <s v="Doctor"/>
    <n v="111"/>
    <n v="1"/>
    <n v="6412.85"/>
    <d v="2024-11-04T08:07:50"/>
    <n v="16"/>
    <s v="Friday"/>
    <n v="-0.29424519004245597"/>
    <b v="0"/>
    <b v="0"/>
    <b v="1"/>
    <n v="0"/>
    <m/>
    <n v="0"/>
    <m/>
  </r>
  <r>
    <s v="TX001376"/>
    <s v="AC00042"/>
    <n v="221.49"/>
    <d v="2023-09-13T18:11:22"/>
    <s v="Credit"/>
    <x v="5"/>
    <s v="D000203"/>
    <s v="76.0.164.168"/>
    <s v="M052"/>
    <s v="Branch"/>
    <n v="23"/>
    <s v="Student"/>
    <n v="196"/>
    <n v="1"/>
    <n v="707.25"/>
    <d v="2024-11-04T08:11:50"/>
    <n v="18"/>
    <s v="Wednesday"/>
    <n v="-0.26067736643746803"/>
    <b v="0"/>
    <b v="0"/>
    <b v="1"/>
    <n v="0"/>
    <m/>
    <n v="0"/>
    <m/>
  </r>
  <r>
    <s v="TX001377"/>
    <s v="AC00074"/>
    <n v="278.23"/>
    <d v="2023-05-04T17:49:33"/>
    <s v="Debit"/>
    <x v="41"/>
    <s v="D000530"/>
    <s v="116.106.207.139"/>
    <s v="M019"/>
    <s v="Online"/>
    <n v="48"/>
    <s v="Engineer"/>
    <n v="83"/>
    <n v="1"/>
    <n v="8300.5400000000009"/>
    <d v="2024-11-04T08:09:46"/>
    <n v="17"/>
    <s v="Thursday"/>
    <n v="-6.6326518340834695E-2"/>
    <b v="0"/>
    <b v="0"/>
    <b v="1"/>
    <n v="0"/>
    <m/>
    <n v="0"/>
    <m/>
  </r>
  <r>
    <s v="TX001378"/>
    <s v="AC00063"/>
    <n v="116.88"/>
    <d v="2023-10-04T17:10:02"/>
    <s v="Debit"/>
    <x v="11"/>
    <s v="D000024"/>
    <s v="23.163.145.195"/>
    <s v="M026"/>
    <s v="ATM"/>
    <n v="45"/>
    <s v="Doctor"/>
    <n v="263"/>
    <n v="1"/>
    <n v="7717.34"/>
    <d v="2024-11-04T08:10:02"/>
    <n v="17"/>
    <s v="Wednesday"/>
    <n v="-0.61899675698009804"/>
    <b v="0"/>
    <b v="0"/>
    <b v="1"/>
    <n v="0"/>
    <m/>
    <n v="0"/>
    <m/>
  </r>
  <r>
    <s v="TX001379"/>
    <s v="AC00085"/>
    <n v="328.77"/>
    <d v="2023-04-03T17:59:23"/>
    <s v="Credit"/>
    <x v="0"/>
    <s v="D000133"/>
    <s v="101.120.142.50"/>
    <s v="M033"/>
    <s v="Online"/>
    <n v="39"/>
    <s v="Doctor"/>
    <n v="247"/>
    <n v="1"/>
    <n v="6967.03"/>
    <d v="2024-11-04T08:09:57"/>
    <n v="17"/>
    <s v="Monday"/>
    <n v="0.106787543393459"/>
    <b v="0"/>
    <b v="0"/>
    <b v="1"/>
    <n v="0"/>
    <m/>
    <n v="0"/>
    <m/>
  </r>
  <r>
    <s v="TX001380"/>
    <s v="AC00126"/>
    <n v="77.53"/>
    <d v="2023-07-25T18:00:25"/>
    <s v="Debit"/>
    <x v="12"/>
    <s v="D000522"/>
    <s v="203.245.215.62"/>
    <s v="M052"/>
    <s v="Branch"/>
    <n v="54"/>
    <s v="Retired"/>
    <n v="55"/>
    <n v="1"/>
    <n v="5158.6000000000004"/>
    <d v="2024-11-04T08:07:12"/>
    <n v="18"/>
    <s v="Tuesday"/>
    <n v="-0.75378184461849296"/>
    <b v="0"/>
    <b v="0"/>
    <b v="1"/>
    <n v="0"/>
    <m/>
    <n v="0"/>
    <m/>
  </r>
  <r>
    <s v="TX001381"/>
    <s v="AC00471"/>
    <n v="421.74"/>
    <d v="2023-06-20T17:07:05"/>
    <s v="Debit"/>
    <x v="24"/>
    <s v="D000339"/>
    <s v="73.108.76.238"/>
    <s v="M014"/>
    <s v="Online"/>
    <n v="67"/>
    <s v="Doctor"/>
    <n v="103"/>
    <n v="1"/>
    <n v="12031.14"/>
    <d v="2024-11-04T08:10:18"/>
    <n v="17"/>
    <s v="Tuesday"/>
    <n v="0.42523658018485899"/>
    <b v="0"/>
    <b v="0"/>
    <b v="1"/>
    <n v="0"/>
    <m/>
    <n v="0"/>
    <m/>
  </r>
  <r>
    <s v="TX001382"/>
    <s v="AC00304"/>
    <n v="313.69"/>
    <d v="2023-03-10T16:35:33"/>
    <s v="Debit"/>
    <x v="5"/>
    <s v="D000211"/>
    <s v="53.131.194.183"/>
    <s v="M034"/>
    <s v="Branch"/>
    <n v="73"/>
    <s v="Retired"/>
    <n v="152"/>
    <n v="1"/>
    <n v="7093.68"/>
    <d v="2024-11-04T08:10:23"/>
    <n v="16"/>
    <s v="Friday"/>
    <n v="5.5134198499253599E-2"/>
    <b v="0"/>
    <b v="0"/>
    <b v="1"/>
    <n v="0"/>
    <m/>
    <n v="0"/>
    <m/>
  </r>
  <r>
    <s v="TX001383"/>
    <s v="AC00242"/>
    <n v="411.72"/>
    <d v="2023-06-20T18:43:51"/>
    <s v="Debit"/>
    <x v="38"/>
    <s v="D000104"/>
    <s v="166.41.54.117"/>
    <s v="M014"/>
    <s v="Branch"/>
    <n v="29"/>
    <s v="Doctor"/>
    <n v="153"/>
    <n v="1"/>
    <n v="8539.86"/>
    <d v="2024-11-04T08:11:43"/>
    <n v="18"/>
    <s v="Tuesday"/>
    <n v="0.39091519319281998"/>
    <b v="0"/>
    <b v="0"/>
    <b v="1"/>
    <n v="0"/>
    <m/>
    <n v="0"/>
    <m/>
  </r>
  <r>
    <s v="TX001384"/>
    <s v="AC00261"/>
    <n v="508.73"/>
    <d v="2023-07-14T16:22:54"/>
    <s v="Debit"/>
    <x v="29"/>
    <s v="D000316"/>
    <s v="172.184.35.29"/>
    <s v="M071"/>
    <s v="Branch"/>
    <n v="59"/>
    <s v="Retired"/>
    <n v="89"/>
    <n v="1"/>
    <n v="7640.57"/>
    <d v="2024-11-04T08:09:07"/>
    <n v="16"/>
    <s v="Friday"/>
    <n v="0.72320239400096997"/>
    <b v="0"/>
    <b v="0"/>
    <b v="1"/>
    <n v="0"/>
    <m/>
    <n v="0"/>
    <m/>
  </r>
  <r>
    <s v="TX001385"/>
    <s v="AC00338"/>
    <n v="153.08000000000001"/>
    <d v="2023-11-27T16:57:08"/>
    <s v="Debit"/>
    <x v="32"/>
    <s v="D000637"/>
    <s v="130.29.230.16"/>
    <s v="M057"/>
    <s v="ATM"/>
    <n v="24"/>
    <s v="Student"/>
    <n v="201"/>
    <n v="1"/>
    <n v="1292.21"/>
    <d v="2024-11-04T08:09:29"/>
    <n v="16"/>
    <s v="Monday"/>
    <n v="-0.49500132692901999"/>
    <b v="0"/>
    <b v="0"/>
    <b v="1"/>
    <n v="0"/>
    <m/>
    <n v="0"/>
    <m/>
  </r>
  <r>
    <s v="TX001386"/>
    <s v="AC00292"/>
    <n v="23.01"/>
    <d v="2023-06-09T18:33:04"/>
    <s v="Debit"/>
    <x v="17"/>
    <s v="D000363"/>
    <s v="55.154.161.250"/>
    <s v="M090"/>
    <s v="Branch"/>
    <n v="63"/>
    <s v="Retired"/>
    <n v="166"/>
    <n v="1"/>
    <n v="5958.75"/>
    <d v="2024-11-04T08:09:14"/>
    <n v="18"/>
    <s v="Friday"/>
    <n v="-0.94052855308215999"/>
    <b v="0"/>
    <b v="0"/>
    <b v="1"/>
    <n v="0"/>
    <m/>
    <n v="0"/>
    <m/>
  </r>
  <r>
    <s v="TX001387"/>
    <s v="AC00024"/>
    <n v="69.28"/>
    <d v="2023-10-30T16:36:24"/>
    <s v="Debit"/>
    <x v="16"/>
    <s v="D000379"/>
    <s v="184.4.253.143"/>
    <s v="M070"/>
    <s v="Online"/>
    <n v="25"/>
    <s v="Student"/>
    <n v="129"/>
    <n v="1"/>
    <n v="708.74"/>
    <d v="2024-11-04T08:11:01"/>
    <n v="16"/>
    <s v="Monday"/>
    <n v="-0.78204047163289603"/>
    <b v="0"/>
    <b v="0"/>
    <b v="1"/>
    <n v="0"/>
    <m/>
    <n v="0"/>
    <m/>
  </r>
  <r>
    <s v="TX001388"/>
    <s v="AC00441"/>
    <n v="51.25"/>
    <d v="2023-08-29T16:16:15"/>
    <s v="Credit"/>
    <x v="14"/>
    <s v="D000113"/>
    <s v="101.223.82.253"/>
    <s v="M044"/>
    <s v="Branch"/>
    <n v="28"/>
    <s v="Student"/>
    <n v="66"/>
    <n v="1"/>
    <n v="1744.4"/>
    <d v="2024-11-04T08:11:52"/>
    <n v="16"/>
    <s v="Tuesday"/>
    <n v="-0.84379841648982701"/>
    <b v="0"/>
    <b v="0"/>
    <b v="1"/>
    <n v="0"/>
    <m/>
    <n v="0"/>
    <m/>
  </r>
  <r>
    <s v="TX001389"/>
    <s v="AC00412"/>
    <n v="407.65"/>
    <d v="2023-08-07T17:17:34"/>
    <s v="Debit"/>
    <x v="13"/>
    <s v="D000013"/>
    <s v="8.136.178.116"/>
    <s v="M095"/>
    <s v="ATM"/>
    <n v="25"/>
    <s v="Student"/>
    <n v="263"/>
    <n v="1"/>
    <n v="273.77999999999997"/>
    <d v="2024-11-04T08:08:37"/>
    <n v="17"/>
    <s v="Monday"/>
    <n v="0.37697427053238097"/>
    <b v="0"/>
    <b v="0"/>
    <b v="1"/>
    <n v="0"/>
    <m/>
    <n v="0"/>
    <m/>
  </r>
  <r>
    <s v="TX001390"/>
    <s v="AC00315"/>
    <n v="459.25"/>
    <d v="2023-05-23T16:44:33"/>
    <s v="Debit"/>
    <x v="28"/>
    <s v="D000248"/>
    <s v="28.149.72.129"/>
    <s v="M043"/>
    <s v="Branch"/>
    <n v="25"/>
    <s v="Student"/>
    <n v="59"/>
    <n v="1"/>
    <n v="130.76"/>
    <d v="2024-11-04T08:11:47"/>
    <n v="16"/>
    <s v="Tuesday"/>
    <n v="0.55371913767701098"/>
    <b v="0"/>
    <b v="0"/>
    <b v="1"/>
    <n v="0"/>
    <m/>
    <n v="0"/>
    <m/>
  </r>
  <r>
    <s v="TX001391"/>
    <s v="AC00120"/>
    <n v="301.56"/>
    <d v="2023-02-09T17:46:49"/>
    <s v="Debit"/>
    <x v="6"/>
    <s v="D000014"/>
    <s v="155.37.19.43"/>
    <s v="M011"/>
    <s v="Branch"/>
    <n v="49"/>
    <s v="Doctor"/>
    <n v="118"/>
    <n v="1"/>
    <n v="10389.6"/>
    <d v="2024-11-04T08:10:23"/>
    <n v="17"/>
    <s v="Thursday"/>
    <n v="1.35854535677739E-2"/>
    <b v="0"/>
    <b v="0"/>
    <b v="1"/>
    <n v="0"/>
    <m/>
    <n v="0"/>
    <m/>
  </r>
  <r>
    <s v="TX001392"/>
    <s v="AC00462"/>
    <n v="17.670000000000002"/>
    <d v="2023-06-27T17:50:21"/>
    <s v="Debit"/>
    <x v="0"/>
    <s v="D000416"/>
    <s v="21.97.154.92"/>
    <s v="M061"/>
    <s v="Online"/>
    <n v="63"/>
    <s v="Doctor"/>
    <n v="91"/>
    <n v="1"/>
    <n v="1048.18"/>
    <d v="2024-11-04T08:10:55"/>
    <n v="17"/>
    <s v="Tuesday"/>
    <n v="-0.95881959165875497"/>
    <b v="0"/>
    <b v="0"/>
    <b v="1"/>
    <n v="0"/>
    <m/>
    <n v="0"/>
    <m/>
  </r>
  <r>
    <s v="TX001393"/>
    <s v="AC00481"/>
    <n v="5.29"/>
    <d v="2023-03-13T18:24:20"/>
    <s v="Credit"/>
    <x v="23"/>
    <s v="D000121"/>
    <s v="62.27.235.199"/>
    <s v="M008"/>
    <s v="Online"/>
    <n v="32"/>
    <s v="Doctor"/>
    <n v="132"/>
    <n v="1"/>
    <n v="12896.68"/>
    <d v="2024-11-04T08:11:04"/>
    <n v="18"/>
    <s v="Monday"/>
    <n v="-1.0012246586209701"/>
    <b v="0"/>
    <b v="0"/>
    <b v="1"/>
    <n v="0"/>
    <m/>
    <n v="0"/>
    <m/>
  </r>
  <r>
    <s v="TX001394"/>
    <s v="AC00166"/>
    <n v="401.37"/>
    <d v="2023-09-18T16:18:19"/>
    <s v="Debit"/>
    <x v="16"/>
    <s v="D000404"/>
    <s v="1.198.76.182"/>
    <s v="M031"/>
    <s v="Branch"/>
    <n v="43"/>
    <s v="Engineer"/>
    <n v="251"/>
    <n v="1"/>
    <n v="8208.5400000000009"/>
    <d v="2024-11-04T08:11:41"/>
    <n v="16"/>
    <s v="Monday"/>
    <n v="0.35546346112020499"/>
    <b v="0"/>
    <b v="0"/>
    <b v="1"/>
    <n v="0"/>
    <m/>
    <n v="0"/>
    <m/>
  </r>
  <r>
    <s v="TX001395"/>
    <s v="AC00438"/>
    <n v="145.4"/>
    <d v="2023-07-06T17:53:38"/>
    <s v="Debit"/>
    <x v="28"/>
    <s v="D000069"/>
    <s v="49.174.157.140"/>
    <s v="M044"/>
    <s v="Online"/>
    <n v="38"/>
    <s v="Engineer"/>
    <n v="24"/>
    <n v="1"/>
    <n v="5244.49"/>
    <d v="2024-11-04T08:09:52"/>
    <n v="17"/>
    <s v="Thursday"/>
    <n v="-0.52130753971333699"/>
    <b v="0"/>
    <b v="0"/>
    <b v="1"/>
    <n v="0"/>
    <m/>
    <n v="0"/>
    <m/>
  </r>
  <r>
    <s v="TX001396"/>
    <s v="AC00090"/>
    <n v="556.34"/>
    <d v="2023-10-19T16:34:22"/>
    <s v="Debit"/>
    <x v="6"/>
    <s v="D000377"/>
    <s v="59.127.135.25"/>
    <s v="M031"/>
    <s v="Online"/>
    <n v="37"/>
    <s v="Doctor"/>
    <n v="46"/>
    <n v="1"/>
    <n v="11935.14"/>
    <d v="2024-11-04T08:07:12"/>
    <n v="16"/>
    <s v="Thursday"/>
    <n v="0.88628036153499701"/>
    <b v="0"/>
    <b v="0"/>
    <b v="1"/>
    <n v="0"/>
    <m/>
    <n v="0"/>
    <m/>
  </r>
  <r>
    <s v="TX001397"/>
    <s v="AC00041"/>
    <n v="34.31"/>
    <d v="2023-04-28T16:55:28"/>
    <s v="Debit"/>
    <x v="26"/>
    <s v="D000353"/>
    <s v="167.95.191.52"/>
    <s v="M094"/>
    <s v="ATM"/>
    <n v="24"/>
    <s v="Student"/>
    <n v="251"/>
    <n v="1"/>
    <n v="1484.76"/>
    <d v="2024-11-04T08:11:26"/>
    <n v="16"/>
    <s v="Friday"/>
    <n v="-0.90182279729273496"/>
    <b v="0"/>
    <b v="0"/>
    <b v="1"/>
    <n v="0"/>
    <m/>
    <n v="0"/>
    <m/>
  </r>
  <r>
    <s v="TX001398"/>
    <s v="AC00141"/>
    <n v="780.59"/>
    <d v="2023-06-28T17:58:48"/>
    <s v="Credit"/>
    <x v="28"/>
    <s v="D000451"/>
    <s v="191.25.177.160"/>
    <s v="M058"/>
    <s v="Online"/>
    <n v="23"/>
    <s v="Student"/>
    <n v="145"/>
    <n v="1"/>
    <n v="6513.34"/>
    <d v="2024-11-04T08:07:01"/>
    <n v="17"/>
    <s v="Wednesday"/>
    <n v="1.6544012231083101"/>
    <b v="0"/>
    <b v="0"/>
    <b v="1"/>
    <n v="0"/>
    <m/>
    <n v="0"/>
    <m/>
  </r>
  <r>
    <s v="TX001399"/>
    <s v="AC00410"/>
    <n v="282.64999999999998"/>
    <d v="2023-03-08T17:42:36"/>
    <s v="Debit"/>
    <x v="18"/>
    <s v="D000626"/>
    <s v="135.73.131.111"/>
    <s v="M012"/>
    <s v="ATM"/>
    <n v="35"/>
    <s v="Doctor"/>
    <n v="161"/>
    <n v="1"/>
    <n v="13801.15"/>
    <d v="2024-11-04T08:08:51"/>
    <n v="17"/>
    <s v="Wednesday"/>
    <n v="-5.1186744837360798E-2"/>
    <b v="0"/>
    <b v="0"/>
    <b v="1"/>
    <n v="0"/>
    <m/>
    <n v="0"/>
    <m/>
  </r>
  <r>
    <s v="TX001400"/>
    <s v="AC00362"/>
    <n v="305.27"/>
    <d v="2023-09-27T16:25:38"/>
    <s v="Debit"/>
    <x v="17"/>
    <s v="D000657"/>
    <s v="57.166.147.242"/>
    <s v="M059"/>
    <s v="Online"/>
    <n v="68"/>
    <s v="Doctor"/>
    <n v="147"/>
    <n v="1"/>
    <n v="12958.65"/>
    <d v="2024-11-04T08:09:31"/>
    <n v="16"/>
    <s v="Wednesday"/>
    <n v="2.6293272503947699E-2"/>
    <b v="0"/>
    <b v="0"/>
    <b v="1"/>
    <n v="0"/>
    <m/>
    <n v="0"/>
    <m/>
  </r>
  <r>
    <s v="TX001401"/>
    <s v="AC00315"/>
    <n v="185.81"/>
    <d v="2023-09-20T16:30:06"/>
    <s v="Debit"/>
    <x v="14"/>
    <s v="D000696"/>
    <s v="201.114.165.141"/>
    <s v="M033"/>
    <s v="Online"/>
    <n v="32"/>
    <s v="Doctor"/>
    <n v="116"/>
    <n v="1"/>
    <n v="9588.7099999999991"/>
    <d v="2024-11-04T08:10:15"/>
    <n v="16"/>
    <s v="Wednesday"/>
    <n v="-0.38289164666460701"/>
    <b v="0"/>
    <b v="0"/>
    <b v="1"/>
    <n v="0"/>
    <m/>
    <n v="0"/>
    <m/>
  </r>
  <r>
    <s v="TX001402"/>
    <s v="AC00092"/>
    <n v="66.010000000000005"/>
    <d v="2023-10-06T18:39:39"/>
    <s v="Debit"/>
    <x v="20"/>
    <s v="D000317"/>
    <s v="49.172.82.247"/>
    <s v="M042"/>
    <s v="Online"/>
    <n v="49"/>
    <s v="Engineer"/>
    <n v="179"/>
    <n v="1"/>
    <n v="3475.99"/>
    <d v="2024-11-04T08:07:05"/>
    <n v="18"/>
    <s v="Friday"/>
    <n v="-0.79324116379496801"/>
    <b v="0"/>
    <b v="0"/>
    <b v="1"/>
    <n v="0"/>
    <m/>
    <n v="0"/>
    <m/>
  </r>
  <r>
    <s v="TX001403"/>
    <s v="AC00133"/>
    <n v="447.95"/>
    <d v="2023-01-11T17:27:56"/>
    <s v="Debit"/>
    <x v="28"/>
    <s v="D000442"/>
    <s v="19.20.13.234"/>
    <s v="M002"/>
    <s v="Branch"/>
    <n v="29"/>
    <s v="Engineer"/>
    <n v="75"/>
    <n v="1"/>
    <n v="7544.4"/>
    <d v="2024-11-04T08:09:20"/>
    <n v="17"/>
    <s v="Wednesday"/>
    <n v="0.51501338188758605"/>
    <b v="0"/>
    <b v="0"/>
    <b v="1"/>
    <n v="0"/>
    <m/>
    <n v="0"/>
    <m/>
  </r>
  <r>
    <s v="TX001404"/>
    <s v="AC00069"/>
    <n v="279.3"/>
    <d v="2023-06-22T17:28:02"/>
    <s v="Debit"/>
    <x v="5"/>
    <s v="D000674"/>
    <s v="77.21.150.75"/>
    <s v="M079"/>
    <s v="ATM"/>
    <n v="19"/>
    <s v="Student"/>
    <n v="48"/>
    <n v="1"/>
    <n v="1193.6099999999999"/>
    <d v="2024-11-04T08:07:20"/>
    <n v="17"/>
    <s v="Thursday"/>
    <n v="-6.2661460049269702E-2"/>
    <b v="0"/>
    <b v="0"/>
    <b v="1"/>
    <n v="0"/>
    <m/>
    <n v="0"/>
    <m/>
  </r>
  <r>
    <s v="TX001405"/>
    <s v="AC00498"/>
    <n v="26.75"/>
    <d v="2023-05-08T16:25:03"/>
    <s v="Debit"/>
    <x v="7"/>
    <s v="D000537"/>
    <s v="131.41.45.13"/>
    <s v="M096"/>
    <s v="Online"/>
    <n v="33"/>
    <s v="Doctor"/>
    <n v="27"/>
    <n v="1"/>
    <n v="12063.77"/>
    <d v="2024-11-04T08:07:00"/>
    <n v="16"/>
    <s v="Monday"/>
    <n v="-0.92771797550229695"/>
    <b v="0"/>
    <b v="0"/>
    <b v="1"/>
    <n v="0"/>
    <m/>
    <n v="0"/>
    <m/>
  </r>
  <r>
    <s v="TX001406"/>
    <s v="AC00006"/>
    <n v="611.15"/>
    <d v="2023-08-11T17:12:30"/>
    <s v="Debit"/>
    <x v="8"/>
    <s v="D000044"/>
    <s v="51.250.46.149"/>
    <s v="M009"/>
    <s v="ATM"/>
    <n v="27"/>
    <s v="Student"/>
    <n v="121"/>
    <n v="1"/>
    <n v="892.83"/>
    <d v="2024-11-04T08:09:23"/>
    <n v="17"/>
    <s v="Friday"/>
    <n v="1.0740204035543199"/>
    <b v="0"/>
    <b v="0"/>
    <b v="1"/>
    <n v="0"/>
    <m/>
    <n v="0"/>
    <m/>
  </r>
  <r>
    <s v="TX001407"/>
    <s v="AC00104"/>
    <n v="275.2"/>
    <d v="2023-08-24T17:13:38"/>
    <s v="Debit"/>
    <x v="22"/>
    <s v="D000122"/>
    <s v="59.12.96.11"/>
    <s v="M058"/>
    <s v="Online"/>
    <n v="54"/>
    <s v="Engineer"/>
    <n v="81"/>
    <n v="1"/>
    <n v="1230.1199999999999"/>
    <d v="2024-11-04T08:09:50"/>
    <n v="17"/>
    <s v="Thursday"/>
    <n v="-7.6705141353397399E-2"/>
    <b v="0"/>
    <b v="0"/>
    <b v="1"/>
    <n v="0"/>
    <m/>
    <n v="0"/>
    <m/>
  </r>
  <r>
    <s v="TX001408"/>
    <s v="AC00311"/>
    <n v="427.79"/>
    <d v="2023-02-21T17:42:42"/>
    <s v="Debit"/>
    <x v="24"/>
    <s v="D000018"/>
    <s v="203.99.96.114"/>
    <s v="M016"/>
    <s v="Branch"/>
    <n v="18"/>
    <s v="Student"/>
    <n v="189"/>
    <n v="1"/>
    <n v="1479.67"/>
    <d v="2024-11-04T08:08:54"/>
    <n v="17"/>
    <s v="Tuesday"/>
    <n v="0.44595957332875402"/>
    <b v="0"/>
    <b v="0"/>
    <b v="1"/>
    <n v="0"/>
    <m/>
    <n v="0"/>
    <m/>
  </r>
  <r>
    <s v="TX001409"/>
    <s v="AC00144"/>
    <n v="469.13"/>
    <d v="2023-12-04T17:53:57"/>
    <s v="Credit"/>
    <x v="25"/>
    <s v="D000501"/>
    <s v="63.191.171.41"/>
    <s v="M009"/>
    <s v="ATM"/>
    <n v="54"/>
    <s v="Doctor"/>
    <n v="139"/>
    <n v="1"/>
    <n v="1265.28"/>
    <d v="2024-11-04T08:07:30"/>
    <n v="17"/>
    <s v="Monday"/>
    <n v="0.58756098433183501"/>
    <b v="0"/>
    <b v="0"/>
    <b v="1"/>
    <n v="0"/>
    <m/>
    <n v="0"/>
    <m/>
  </r>
  <r>
    <s v="TX001410"/>
    <s v="AC00157"/>
    <n v="102.81"/>
    <d v="2023-12-04T16:23:00"/>
    <s v="Debit"/>
    <x v="6"/>
    <s v="D000076"/>
    <s v="21.28.32.1"/>
    <s v="M074"/>
    <s v="Branch"/>
    <n v="76"/>
    <s v="Retired"/>
    <n v="47"/>
    <n v="1"/>
    <n v="3228.87"/>
    <d v="2024-11-04T08:08:07"/>
    <n v="16"/>
    <s v="Monday"/>
    <n v="-0.66719056087011597"/>
    <b v="0"/>
    <b v="0"/>
    <b v="1"/>
    <n v="0"/>
    <m/>
    <n v="0"/>
    <m/>
  </r>
  <r>
    <s v="TX001411"/>
    <s v="AC00171"/>
    <n v="22.61"/>
    <d v="2023-12-21T17:56:04"/>
    <s v="Debit"/>
    <x v="6"/>
    <s v="D000255"/>
    <s v="76.136.92.235"/>
    <s v="M099"/>
    <s v="Online"/>
    <n v="19"/>
    <s v="Student"/>
    <n v="145"/>
    <n v="1"/>
    <n v="1111.67"/>
    <d v="2024-11-04T08:06:47"/>
    <n v="17"/>
    <s v="Thursday"/>
    <n v="-0.94189866833134295"/>
    <b v="0"/>
    <b v="0"/>
    <b v="1"/>
    <n v="0"/>
    <m/>
    <n v="0"/>
    <m/>
  </r>
  <r>
    <s v="TX001412"/>
    <s v="AC00374"/>
    <n v="68.28"/>
    <d v="2023-06-08T18:54:04"/>
    <s v="Debit"/>
    <x v="35"/>
    <s v="D000649"/>
    <s v="148.112.151.27"/>
    <s v="M100"/>
    <s v="Online"/>
    <n v="56"/>
    <s v="Engineer"/>
    <n v="293"/>
    <n v="1"/>
    <n v="3213.16"/>
    <d v="2024-11-04T08:08:24"/>
    <n v="18"/>
    <s v="Thursday"/>
    <n v="-0.78546575975585398"/>
    <b v="0"/>
    <b v="0"/>
    <b v="1"/>
    <n v="0"/>
    <m/>
    <n v="0"/>
    <m/>
  </r>
  <r>
    <s v="TX001413"/>
    <s v="AC00219"/>
    <n v="33.65"/>
    <d v="2023-09-18T17:18:03"/>
    <s v="Credit"/>
    <x v="22"/>
    <s v="D000470"/>
    <s v="49.31.186.82"/>
    <s v="M067"/>
    <s v="Online"/>
    <n v="63"/>
    <s v="Doctor"/>
    <n v="146"/>
    <n v="1"/>
    <n v="12719.93"/>
    <d v="2024-11-04T08:07:24"/>
    <n v="17"/>
    <s v="Monday"/>
    <n v="-0.904083487453887"/>
    <b v="0"/>
    <b v="0"/>
    <b v="1"/>
    <n v="0"/>
    <m/>
    <n v="0"/>
    <m/>
  </r>
  <r>
    <s v="TX001414"/>
    <s v="AC00405"/>
    <n v="362.68"/>
    <d v="2023-01-16T18:02:19"/>
    <s v="Credit"/>
    <x v="19"/>
    <s v="D000280"/>
    <s v="172.111.76.65"/>
    <s v="M014"/>
    <s v="ATM"/>
    <n v="63"/>
    <s v="Retired"/>
    <n v="137"/>
    <n v="1"/>
    <n v="2040.77"/>
    <d v="2024-11-04T08:06:30"/>
    <n v="18"/>
    <s v="Monday"/>
    <n v="0.22293906364296301"/>
    <b v="0"/>
    <b v="0"/>
    <b v="1"/>
    <n v="0"/>
    <m/>
    <n v="0"/>
    <m/>
  </r>
  <r>
    <s v="TX001415"/>
    <s v="AC00075"/>
    <n v="73.23"/>
    <d v="2023-06-23T16:41:27"/>
    <s v="Debit"/>
    <x v="23"/>
    <s v="D000128"/>
    <s v="66.226.179.193"/>
    <s v="M090"/>
    <s v="Branch"/>
    <n v="20"/>
    <s v="Student"/>
    <n v="172"/>
    <n v="1"/>
    <n v="1309.8499999999999"/>
    <d v="2024-11-04T08:12:22"/>
    <n v="16"/>
    <s v="Friday"/>
    <n v="-0.76851058354721202"/>
    <b v="0"/>
    <b v="0"/>
    <b v="1"/>
    <n v="0"/>
    <m/>
    <n v="0"/>
    <m/>
  </r>
  <r>
    <s v="TX001416"/>
    <s v="AC00136"/>
    <n v="654.49"/>
    <d v="2023-11-20T16:31:36"/>
    <s v="Credit"/>
    <x v="14"/>
    <s v="D000380"/>
    <s v="167.104.180.235"/>
    <s v="M060"/>
    <s v="Online"/>
    <n v="25"/>
    <s v="Student"/>
    <n v="104"/>
    <n v="1"/>
    <n v="164.61"/>
    <d v="2024-11-04T08:08:39"/>
    <n v="16"/>
    <s v="Monday"/>
    <n v="1.2224723908033099"/>
    <b v="0"/>
    <b v="0"/>
    <b v="1"/>
    <n v="0"/>
    <m/>
    <n v="0"/>
    <m/>
  </r>
  <r>
    <s v="TX001417"/>
    <s v="AC00056"/>
    <n v="18.559999999999999"/>
    <d v="2023-04-24T17:04:21"/>
    <s v="Credit"/>
    <x v="11"/>
    <s v="D000189"/>
    <s v="41.82.55.163"/>
    <s v="M094"/>
    <s v="Branch"/>
    <n v="49"/>
    <s v="Engineer"/>
    <n v="161"/>
    <n v="1"/>
    <n v="4230.37"/>
    <d v="2024-11-04T08:07:40"/>
    <n v="17"/>
    <s v="Monday"/>
    <n v="-0.95577108522932197"/>
    <b v="0"/>
    <b v="0"/>
    <b v="1"/>
    <n v="0"/>
    <m/>
    <n v="0"/>
    <m/>
  </r>
  <r>
    <s v="TX001418"/>
    <s v="AC00368"/>
    <n v="389.05"/>
    <d v="2023-01-06T17:35:08"/>
    <s v="Debit"/>
    <x v="34"/>
    <s v="D000379"/>
    <s v="7.105.184.86"/>
    <s v="M075"/>
    <s v="ATM"/>
    <n v="27"/>
    <s v="Student"/>
    <n v="41"/>
    <n v="1"/>
    <n v="761"/>
    <d v="2024-11-04T08:11:28"/>
    <n v="17"/>
    <s v="Friday"/>
    <n v="0.31326391144536397"/>
    <b v="0"/>
    <b v="0"/>
    <b v="1"/>
    <n v="0"/>
    <m/>
    <n v="0"/>
    <m/>
  </r>
  <r>
    <s v="TX001419"/>
    <s v="AC00261"/>
    <n v="7.38"/>
    <d v="2023-03-15T16:47:45"/>
    <s v="Debit"/>
    <x v="1"/>
    <s v="D000011"/>
    <s v="156.96.135.18"/>
    <s v="M076"/>
    <s v="Online"/>
    <n v="67"/>
    <s v="Retired"/>
    <n v="105"/>
    <n v="1"/>
    <n v="2923.83"/>
    <d v="2024-11-04T08:10:18"/>
    <n v="16"/>
    <s v="Wednesday"/>
    <n v="-0.99406580644399201"/>
    <b v="0"/>
    <b v="0"/>
    <b v="1"/>
    <n v="0"/>
    <m/>
    <n v="0"/>
    <m/>
  </r>
  <r>
    <s v="TX001420"/>
    <s v="AC00090"/>
    <n v="109.48"/>
    <d v="2023-06-26T17:38:22"/>
    <s v="Debit"/>
    <x v="21"/>
    <s v="D000122"/>
    <s v="17.36.132.202"/>
    <s v="M008"/>
    <s v="Online"/>
    <n v="61"/>
    <s v="Retired"/>
    <n v="93"/>
    <n v="1"/>
    <n v="7372.47"/>
    <d v="2024-11-04T08:07:26"/>
    <n v="17"/>
    <s v="Monday"/>
    <n v="-0.64434388908998697"/>
    <b v="0"/>
    <b v="0"/>
    <b v="1"/>
    <n v="0"/>
    <m/>
    <n v="0"/>
    <m/>
  </r>
  <r>
    <s v="TX001421"/>
    <s v="AC00297"/>
    <n v="66.91"/>
    <d v="2023-01-30T18:47:17"/>
    <s v="Debit"/>
    <x v="6"/>
    <s v="D000509"/>
    <s v="51.196.87.214"/>
    <s v="M047"/>
    <s v="ATM"/>
    <n v="39"/>
    <s v="Doctor"/>
    <n v="85"/>
    <n v="1"/>
    <n v="871.1"/>
    <d v="2024-11-04T08:10:19"/>
    <n v="18"/>
    <s v="Monday"/>
    <n v="-0.79015840448430597"/>
    <b v="0"/>
    <b v="0"/>
    <b v="1"/>
    <n v="0"/>
    <m/>
    <n v="0"/>
    <m/>
  </r>
  <r>
    <s v="TX001422"/>
    <s v="AC00144"/>
    <n v="335.48"/>
    <d v="2023-03-02T16:06:18"/>
    <s v="Debit"/>
    <x v="5"/>
    <s v="D000211"/>
    <s v="107.247.202.71"/>
    <s v="M040"/>
    <s v="Branch"/>
    <n v="45"/>
    <s v="Engineer"/>
    <n v="155"/>
    <n v="1"/>
    <n v="3023.16"/>
    <d v="2024-11-04T08:06:45"/>
    <n v="16"/>
    <s v="Thursday"/>
    <n v="0.12977122669850699"/>
    <b v="0"/>
    <b v="0"/>
    <b v="1"/>
    <n v="0"/>
    <m/>
    <n v="0"/>
    <m/>
  </r>
  <r>
    <s v="TX001423"/>
    <s v="AC00207"/>
    <n v="38.14"/>
    <d v="2023-12-28T16:51:20"/>
    <s v="Debit"/>
    <x v="10"/>
    <s v="D000572"/>
    <s v="113.134.242.82"/>
    <s v="M026"/>
    <s v="Online"/>
    <n v="19"/>
    <s v="Student"/>
    <n v="174"/>
    <n v="1"/>
    <n v="1119.21"/>
    <d v="2024-11-04T08:09:59"/>
    <n v="16"/>
    <s v="Thursday"/>
    <n v="-0.88870394378180595"/>
    <b v="0"/>
    <b v="0"/>
    <b v="1"/>
    <n v="0"/>
    <m/>
    <n v="0"/>
    <m/>
  </r>
  <r>
    <s v="TX001424"/>
    <s v="AC00443"/>
    <n v="1076.98"/>
    <d v="2023-12-20T18:12:25"/>
    <s v="Debit"/>
    <x v="8"/>
    <s v="D000474"/>
    <s v="49.31.186.82"/>
    <s v="M090"/>
    <s v="Branch"/>
    <n v="60"/>
    <s v="Doctor"/>
    <n v="173"/>
    <n v="1"/>
    <n v="11833.73"/>
    <d v="2024-11-04T08:09:33"/>
    <n v="18"/>
    <s v="Wednesday"/>
    <n v="2.66962236987181"/>
    <b v="1"/>
    <b v="0"/>
    <b v="1"/>
    <n v="1"/>
    <m/>
    <n v="1"/>
    <m/>
  </r>
  <r>
    <s v="TX001425"/>
    <s v="AC00179"/>
    <n v="360.02"/>
    <d v="2023-02-09T16:29:06"/>
    <s v="Debit"/>
    <x v="34"/>
    <s v="D000072"/>
    <s v="49.31.186.82"/>
    <s v="M004"/>
    <s v="Online"/>
    <n v="68"/>
    <s v="Retired"/>
    <n v="68"/>
    <n v="1"/>
    <n v="6400.59"/>
    <d v="2024-11-04T08:08:53"/>
    <n v="16"/>
    <s v="Thursday"/>
    <n v="0.21382779723589401"/>
    <b v="0"/>
    <b v="0"/>
    <b v="1"/>
    <n v="0"/>
    <m/>
    <n v="0"/>
    <m/>
  </r>
  <r>
    <s v="TX001426"/>
    <s v="AC00175"/>
    <n v="567.71"/>
    <d v="2023-02-06T18:39:23"/>
    <s v="Debit"/>
    <x v="11"/>
    <s v="D000605"/>
    <s v="6.204.110.7"/>
    <s v="M086"/>
    <s v="Online"/>
    <n v="63"/>
    <s v="Doctor"/>
    <n v="80"/>
    <n v="1"/>
    <n v="13884.24"/>
    <d v="2024-11-04T08:10:40"/>
    <n v="18"/>
    <s v="Monday"/>
    <n v="0.92522588749302903"/>
    <b v="0"/>
    <b v="0"/>
    <b v="1"/>
    <n v="0"/>
    <m/>
    <n v="0"/>
    <m/>
  </r>
  <r>
    <s v="TX001427"/>
    <s v="AC00386"/>
    <n v="218.19"/>
    <d v="2023-05-23T16:29:31"/>
    <s v="Debit"/>
    <x v="14"/>
    <s v="D000626"/>
    <s v="165.35.58.173"/>
    <s v="M078"/>
    <s v="ATM"/>
    <n v="19"/>
    <s v="Student"/>
    <n v="185"/>
    <n v="1"/>
    <n v="620.83000000000004"/>
    <d v="2024-11-04T08:10:27"/>
    <n v="16"/>
    <s v="Tuesday"/>
    <n v="-0.27198081724322898"/>
    <b v="0"/>
    <b v="0"/>
    <b v="1"/>
    <n v="0"/>
    <m/>
    <n v="0"/>
    <m/>
  </r>
  <r>
    <s v="TX001428"/>
    <s v="AC00067"/>
    <n v="209.99"/>
    <d v="2023-09-07T17:19:21"/>
    <s v="Debit"/>
    <x v="13"/>
    <s v="D000381"/>
    <s v="125.89.163.224"/>
    <s v="M014"/>
    <s v="ATM"/>
    <n v="19"/>
    <s v="Student"/>
    <n v="40"/>
    <n v="1"/>
    <n v="1938.01"/>
    <d v="2024-11-04T08:11:39"/>
    <n v="17"/>
    <s v="Thursday"/>
    <n v="-0.30006817985148398"/>
    <b v="0"/>
    <b v="0"/>
    <b v="1"/>
    <n v="0"/>
    <m/>
    <n v="0"/>
    <m/>
  </r>
  <r>
    <s v="TX001429"/>
    <s v="AC00369"/>
    <n v="11.02"/>
    <d v="2023-11-13T16:32:53"/>
    <s v="Debit"/>
    <x v="28"/>
    <s v="D000320"/>
    <s v="203.174.215.229"/>
    <s v="M008"/>
    <s v="Branch"/>
    <n v="19"/>
    <s v="Student"/>
    <n v="280"/>
    <n v="1"/>
    <n v="964.79"/>
    <d v="2024-11-04T08:06:56"/>
    <n v="16"/>
    <s v="Monday"/>
    <n v="-0.98159775767642499"/>
    <b v="0"/>
    <b v="0"/>
    <b v="1"/>
    <n v="0"/>
    <m/>
    <n v="0"/>
    <m/>
  </r>
  <r>
    <s v="TX001430"/>
    <s v="AC00257"/>
    <n v="83.43"/>
    <d v="2023-05-30T16:28:48"/>
    <s v="Debit"/>
    <x v="22"/>
    <s v="D000627"/>
    <s v="23.255.214.209"/>
    <s v="M012"/>
    <s v="Online"/>
    <n v="56"/>
    <s v="Retired"/>
    <n v="109"/>
    <n v="1"/>
    <n v="1870.16"/>
    <d v="2024-11-04T08:11:40"/>
    <n v="16"/>
    <s v="Tuesday"/>
    <n v="-0.73357264469304095"/>
    <b v="0"/>
    <b v="0"/>
    <b v="1"/>
    <n v="0"/>
    <m/>
    <n v="0"/>
    <m/>
  </r>
  <r>
    <s v="TX001431"/>
    <s v="AC00059"/>
    <n v="344.97"/>
    <d v="2023-03-20T17:30:52"/>
    <s v="Debit"/>
    <x v="14"/>
    <s v="D000264"/>
    <s v="214.67.148.245"/>
    <s v="M050"/>
    <s v="Online"/>
    <n v="34"/>
    <s v="Doctor"/>
    <n v="106"/>
    <n v="1"/>
    <n v="5577.94"/>
    <d v="2024-11-04T08:09:39"/>
    <n v="17"/>
    <s v="Monday"/>
    <n v="0.16227721098537801"/>
    <b v="0"/>
    <b v="0"/>
    <b v="1"/>
    <n v="0"/>
    <m/>
    <n v="0"/>
    <m/>
  </r>
  <r>
    <s v="TX001432"/>
    <s v="AC00341"/>
    <n v="172.29"/>
    <d v="2023-01-30T17:22:39"/>
    <s v="Debit"/>
    <x v="39"/>
    <s v="D000474"/>
    <s v="72.128.135.172"/>
    <s v="M034"/>
    <s v="ATM"/>
    <n v="36"/>
    <s v="Engineer"/>
    <n v="283"/>
    <n v="1"/>
    <n v="8700.7999999999993"/>
    <d v="2024-11-04T08:08:42"/>
    <n v="17"/>
    <s v="Monday"/>
    <n v="-0.42920154208699801"/>
    <b v="0"/>
    <b v="0"/>
    <b v="1"/>
    <n v="0"/>
    <m/>
    <n v="0"/>
    <m/>
  </r>
  <r>
    <s v="TX001433"/>
    <s v="AC00357"/>
    <n v="195.54"/>
    <d v="2023-07-17T16:05:23"/>
    <s v="Debit"/>
    <x v="32"/>
    <s v="D000144"/>
    <s v="161.195.172.148"/>
    <s v="M039"/>
    <s v="Online"/>
    <n v="60"/>
    <s v="Retired"/>
    <n v="255"/>
    <n v="1"/>
    <n v="2794.66"/>
    <d v="2024-11-04T08:09:01"/>
    <n v="16"/>
    <s v="Monday"/>
    <n v="-0.349563593228226"/>
    <b v="0"/>
    <b v="0"/>
    <b v="1"/>
    <n v="0"/>
    <m/>
    <n v="0"/>
    <m/>
  </r>
  <r>
    <s v="TX001434"/>
    <s v="AC00455"/>
    <n v="101.23"/>
    <d v="2023-08-04T18:34:01"/>
    <s v="Debit"/>
    <x v="40"/>
    <s v="D000696"/>
    <s v="171.150.178.172"/>
    <s v="M015"/>
    <s v="Online"/>
    <n v="45"/>
    <s v="Engineer"/>
    <n v="87"/>
    <n v="1"/>
    <n v="6169.71"/>
    <d v="2024-11-04T08:06:42"/>
    <n v="18"/>
    <s v="Friday"/>
    <n v="-0.67260251610439004"/>
    <b v="0"/>
    <b v="0"/>
    <b v="1"/>
    <n v="0"/>
    <m/>
    <n v="0"/>
    <m/>
  </r>
  <r>
    <s v="TX001435"/>
    <s v="AC00346"/>
    <n v="180.46"/>
    <d v="2023-03-13T16:26:30"/>
    <s v="Debit"/>
    <x v="41"/>
    <s v="D000456"/>
    <s v="147.114.91.132"/>
    <s v="M001"/>
    <s v="ATM"/>
    <n v="25"/>
    <s v="Student"/>
    <n v="34"/>
    <n v="1"/>
    <n v="831.75"/>
    <d v="2024-11-04T08:11:23"/>
    <n v="16"/>
    <s v="Monday"/>
    <n v="-0.40121693812243198"/>
    <b v="0"/>
    <b v="0"/>
    <b v="1"/>
    <n v="0"/>
    <m/>
    <n v="0"/>
    <m/>
  </r>
  <r>
    <s v="TX001436"/>
    <s v="AC00118"/>
    <n v="692.55"/>
    <d v="2023-03-07T16:51:37"/>
    <s v="Debit"/>
    <x v="27"/>
    <s v="D000577"/>
    <s v="180.224.54.115"/>
    <s v="M058"/>
    <s v="Branch"/>
    <n v="53"/>
    <s v="Retired"/>
    <n v="109"/>
    <n v="1"/>
    <n v="2451.56"/>
    <d v="2024-11-04T08:12:17"/>
    <n v="16"/>
    <s v="Tuesday"/>
    <n v="1.35283885676309"/>
    <b v="0"/>
    <b v="0"/>
    <b v="1"/>
    <n v="0"/>
    <m/>
    <n v="0"/>
    <m/>
  </r>
  <r>
    <s v="TX001437"/>
    <s v="AC00275"/>
    <n v="147.31"/>
    <d v="2023-06-12T17:10:27"/>
    <s v="Credit"/>
    <x v="2"/>
    <s v="D000059"/>
    <s v="100.4.40.132"/>
    <s v="M005"/>
    <s v="Online"/>
    <n v="34"/>
    <s v="Doctor"/>
    <n v="92"/>
    <n v="1"/>
    <n v="13625.52"/>
    <d v="2024-11-04T08:07:58"/>
    <n v="17"/>
    <s v="Monday"/>
    <n v="-0.51476523939848795"/>
    <b v="0"/>
    <b v="0"/>
    <b v="1"/>
    <n v="0"/>
    <m/>
    <n v="0"/>
    <m/>
  </r>
  <r>
    <s v="TX001438"/>
    <s v="AC00028"/>
    <n v="107.48"/>
    <d v="2023-02-07T17:38:18"/>
    <s v="Debit"/>
    <x v="16"/>
    <s v="D000624"/>
    <s v="120.32.147.210"/>
    <s v="M058"/>
    <s v="Branch"/>
    <n v="20"/>
    <s v="Student"/>
    <n v="103"/>
    <n v="1"/>
    <n v="1379.39"/>
    <d v="2024-11-04T08:12:07"/>
    <n v="17"/>
    <s v="Tuesday"/>
    <n v="-0.65119446533590197"/>
    <b v="0"/>
    <b v="0"/>
    <b v="1"/>
    <n v="0"/>
    <m/>
    <n v="0"/>
    <m/>
  </r>
  <r>
    <s v="TX001439"/>
    <s v="AC00179"/>
    <n v="1831.02"/>
    <d v="2023-09-15T17:31:42"/>
    <s v="Credit"/>
    <x v="15"/>
    <s v="D000246"/>
    <s v="141.121.30.32"/>
    <s v="M012"/>
    <s v="Online"/>
    <n v="62"/>
    <s v="Doctor"/>
    <n v="83"/>
    <n v="1"/>
    <n v="11498.01"/>
    <d v="2024-11-04T08:10:52"/>
    <n v="17"/>
    <s v="Friday"/>
    <n v="5.2524266261070203"/>
    <b v="1"/>
    <b v="0"/>
    <b v="1"/>
    <n v="1"/>
    <m/>
    <n v="1"/>
    <m/>
  </r>
  <r>
    <s v="TX001440"/>
    <s v="AC00090"/>
    <n v="81.510000000000005"/>
    <d v="2023-08-10T16:10:22"/>
    <s v="Debit"/>
    <x v="38"/>
    <s v="D000079"/>
    <s v="192.95.36.246"/>
    <s v="M059"/>
    <s v="Branch"/>
    <n v="25"/>
    <s v="Student"/>
    <n v="97"/>
    <n v="1"/>
    <n v="865.49"/>
    <d v="2024-11-04T08:07:15"/>
    <n v="16"/>
    <s v="Thursday"/>
    <n v="-0.74014919788912004"/>
    <b v="0"/>
    <b v="0"/>
    <b v="1"/>
    <n v="0"/>
    <m/>
    <n v="0"/>
    <m/>
  </r>
  <r>
    <s v="TX001441"/>
    <s v="AC00367"/>
    <n v="365.48"/>
    <d v="2023-05-22T17:59:02"/>
    <s v="Credit"/>
    <x v="6"/>
    <s v="D000310"/>
    <s v="44.197.126.59"/>
    <s v="M082"/>
    <s v="Online"/>
    <n v="76"/>
    <s v="Retired"/>
    <n v="216"/>
    <n v="1"/>
    <n v="7147.4"/>
    <d v="2024-11-04T08:10:38"/>
    <n v="17"/>
    <s v="Monday"/>
    <n v="0.23252987038724501"/>
    <b v="0"/>
    <b v="0"/>
    <b v="1"/>
    <n v="0"/>
    <m/>
    <n v="0"/>
    <m/>
  </r>
  <r>
    <s v="TX001442"/>
    <s v="AC00441"/>
    <n v="491.1"/>
    <d v="2023-06-05T16:08:37"/>
    <s v="Credit"/>
    <x v="1"/>
    <s v="D000408"/>
    <s v="175.210.47.87"/>
    <s v="M067"/>
    <s v="Online"/>
    <n v="35"/>
    <s v="Engineer"/>
    <n v="125"/>
    <n v="1"/>
    <n v="7833.85"/>
    <d v="2024-11-04T08:07:32"/>
    <n v="16"/>
    <s v="Monday"/>
    <n v="0.66281456439322095"/>
    <b v="0"/>
    <b v="0"/>
    <b v="1"/>
    <n v="0"/>
    <m/>
    <n v="0"/>
    <m/>
  </r>
  <r>
    <s v="TX001443"/>
    <s v="AC00266"/>
    <n v="452.8"/>
    <d v="2023-11-24T16:45:11"/>
    <s v="Debit"/>
    <x v="16"/>
    <s v="D000527"/>
    <s v="211.45.75.44"/>
    <s v="M034"/>
    <s v="Branch"/>
    <n v="80"/>
    <s v="Retired"/>
    <n v="151"/>
    <n v="1"/>
    <n v="4840.67"/>
    <d v="2024-11-04T08:07:34"/>
    <n v="16"/>
    <s v="Friday"/>
    <n v="0.53162602928393199"/>
    <b v="0"/>
    <b v="0"/>
    <b v="1"/>
    <n v="0"/>
    <m/>
    <n v="0"/>
    <m/>
  </r>
  <r>
    <s v="TX001444"/>
    <s v="AC00072"/>
    <n v="645.04"/>
    <d v="2023-12-22T17:08:55"/>
    <s v="Debit"/>
    <x v="11"/>
    <s v="D000515"/>
    <s v="10.191.172.154"/>
    <s v="M014"/>
    <s v="Branch"/>
    <n v="70"/>
    <s v="Retired"/>
    <n v="78"/>
    <n v="1"/>
    <n v="7361.47"/>
    <d v="2024-11-04T08:07:29"/>
    <n v="17"/>
    <s v="Friday"/>
    <n v="1.1901034180413601"/>
    <b v="0"/>
    <b v="0"/>
    <b v="1"/>
    <n v="0"/>
    <m/>
    <n v="0"/>
    <m/>
  </r>
  <r>
    <s v="TX001445"/>
    <s v="AC00245"/>
    <n v="169.28"/>
    <d v="2023-03-27T18:08:06"/>
    <s v="Debit"/>
    <x v="26"/>
    <s v="D000227"/>
    <s v="218.238.171.184"/>
    <s v="M057"/>
    <s v="Branch"/>
    <n v="45"/>
    <s v="Doctor"/>
    <n v="114"/>
    <n v="1"/>
    <n v="5128.4399999999996"/>
    <d v="2024-11-04T08:11:54"/>
    <n v="18"/>
    <s v="Monday"/>
    <n v="-0.43951165933710201"/>
    <b v="0"/>
    <b v="0"/>
    <b v="1"/>
    <n v="0"/>
    <m/>
    <n v="0"/>
    <m/>
  </r>
  <r>
    <s v="TX001446"/>
    <s v="AC00119"/>
    <n v="88.42"/>
    <d v="2023-10-18T16:28:19"/>
    <s v="Debit"/>
    <x v="39"/>
    <s v="D000443"/>
    <s v="37.143.57.20"/>
    <s v="M096"/>
    <s v="ATM"/>
    <n v="62"/>
    <s v="Doctor"/>
    <n v="91"/>
    <n v="1"/>
    <n v="12381.45"/>
    <d v="2024-11-04T08:09:15"/>
    <n v="16"/>
    <s v="Wednesday"/>
    <n v="-0.71648045695948104"/>
    <b v="0"/>
    <b v="0"/>
    <b v="1"/>
    <n v="0"/>
    <m/>
    <n v="0"/>
    <m/>
  </r>
  <r>
    <s v="TX001447"/>
    <s v="AC00061"/>
    <n v="155.53"/>
    <d v="2023-03-24T17:04:32"/>
    <s v="Debit"/>
    <x v="21"/>
    <s v="D000507"/>
    <s v="77.21.150.75"/>
    <s v="M041"/>
    <s v="ATM"/>
    <n v="29"/>
    <s v="Engineer"/>
    <n v="66"/>
    <n v="1"/>
    <n v="4008.05"/>
    <d v="2024-11-04T08:08:36"/>
    <n v="17"/>
    <s v="Friday"/>
    <n v="-0.48660937102777302"/>
    <b v="0"/>
    <b v="0"/>
    <b v="1"/>
    <n v="0"/>
    <m/>
    <n v="0"/>
    <m/>
  </r>
  <r>
    <s v="TX001448"/>
    <s v="AC00080"/>
    <n v="991.82"/>
    <d v="2023-12-04T16:16:19"/>
    <s v="Debit"/>
    <x v="20"/>
    <s v="D000496"/>
    <s v="62.152.134.92"/>
    <s v="M042"/>
    <s v="Online"/>
    <n v="43"/>
    <s v="Engineer"/>
    <n v="300"/>
    <n v="1"/>
    <n v="3493.13"/>
    <d v="2024-11-04T08:10:11"/>
    <n v="16"/>
    <s v="Monday"/>
    <n v="2.3779248333207201"/>
    <b v="1"/>
    <b v="0"/>
    <b v="1"/>
    <n v="1"/>
    <m/>
    <n v="1"/>
    <m/>
  </r>
  <r>
    <s v="TX001449"/>
    <s v="AC00254"/>
    <n v="39.24"/>
    <d v="2023-11-14T18:33:32"/>
    <s v="Debit"/>
    <x v="34"/>
    <s v="D000164"/>
    <s v="214.67.148.245"/>
    <s v="M095"/>
    <s v="ATM"/>
    <n v="77"/>
    <s v="Retired"/>
    <n v="106"/>
    <n v="1"/>
    <n v="6462.41"/>
    <d v="2024-11-04T08:11:18"/>
    <n v="18"/>
    <s v="Tuesday"/>
    <n v="-0.88493612684655198"/>
    <b v="0"/>
    <b v="0"/>
    <b v="1"/>
    <n v="0"/>
    <m/>
    <n v="0"/>
    <m/>
  </r>
  <r>
    <s v="TX001450"/>
    <s v="AC00218"/>
    <n v="152.01"/>
    <d v="2023-02-23T16:41:55"/>
    <s v="Debit"/>
    <x v="18"/>
    <s v="D000407"/>
    <s v="80.75.92.66"/>
    <s v="M095"/>
    <s v="ATM"/>
    <n v="42"/>
    <s v="Engineer"/>
    <n v="111"/>
    <n v="3"/>
    <n v="4625.12"/>
    <d v="2024-11-04T08:11:14"/>
    <n v="16"/>
    <s v="Thursday"/>
    <n v="-0.49866638522058498"/>
    <b v="0"/>
    <b v="1"/>
    <b v="1"/>
    <n v="1"/>
    <m/>
    <n v="0"/>
    <m/>
  </r>
  <r>
    <s v="TX001451"/>
    <s v="AC00268"/>
    <n v="78.77"/>
    <d v="2023-05-08T18:36:59"/>
    <s v="Credit"/>
    <x v="17"/>
    <s v="D000301"/>
    <s v="64.15.0.66"/>
    <s v="M085"/>
    <s v="ATM"/>
    <n v="48"/>
    <s v="Engineer"/>
    <n v="50"/>
    <n v="1"/>
    <n v="6470.57"/>
    <d v="2024-11-04T08:06:41"/>
    <n v="18"/>
    <s v="Monday"/>
    <n v="-0.74953448734602501"/>
    <b v="0"/>
    <b v="0"/>
    <b v="1"/>
    <n v="0"/>
    <m/>
    <n v="0"/>
    <m/>
  </r>
  <r>
    <s v="TX001452"/>
    <s v="AC00460"/>
    <n v="26.5"/>
    <d v="2023-02-08T16:42:59"/>
    <s v="Debit"/>
    <x v="7"/>
    <s v="D000175"/>
    <s v="9.230.41.239"/>
    <s v="M063"/>
    <s v="Online"/>
    <n v="48"/>
    <s v="Engineer"/>
    <n v="179"/>
    <n v="1"/>
    <n v="4854.83"/>
    <d v="2024-11-04T08:07:24"/>
    <n v="16"/>
    <s v="Wednesday"/>
    <n v="-0.928574297533036"/>
    <b v="0"/>
    <b v="0"/>
    <b v="1"/>
    <n v="0"/>
    <m/>
    <n v="0"/>
    <m/>
  </r>
  <r>
    <s v="TX001453"/>
    <s v="AC00257"/>
    <n v="83.62"/>
    <d v="2023-06-22T17:18:09"/>
    <s v="Debit"/>
    <x v="3"/>
    <s v="D000554"/>
    <s v="202.21.120.44"/>
    <s v="M069"/>
    <s v="ATM"/>
    <n v="48"/>
    <s v="Doctor"/>
    <n v="146"/>
    <n v="1"/>
    <n v="12652.22"/>
    <d v="2024-11-04T08:12:06"/>
    <n v="17"/>
    <s v="Thursday"/>
    <n v="-0.73292183994967897"/>
    <b v="0"/>
    <b v="0"/>
    <b v="1"/>
    <n v="0"/>
    <m/>
    <n v="0"/>
    <m/>
  </r>
  <r>
    <s v="TX001454"/>
    <s v="AC00398"/>
    <n v="142.78"/>
    <d v="2023-05-09T16:40:52"/>
    <s v="Debit"/>
    <x v="0"/>
    <s v="D000499"/>
    <s v="80.75.92.66"/>
    <s v="M021"/>
    <s v="Branch"/>
    <n v="68"/>
    <s v="Doctor"/>
    <n v="150"/>
    <n v="1"/>
    <n v="11705.88"/>
    <d v="2024-11-04T08:12:22"/>
    <n v="16"/>
    <s v="Tuesday"/>
    <n v="-0.53028179459548697"/>
    <b v="0"/>
    <b v="0"/>
    <b v="1"/>
    <n v="0"/>
    <m/>
    <n v="0"/>
    <m/>
  </r>
  <r>
    <s v="TX001455"/>
    <s v="AC00162"/>
    <n v="55.99"/>
    <d v="2023-11-13T16:16:24"/>
    <s v="Debit"/>
    <x v="39"/>
    <s v="D000525"/>
    <s v="215.97.143.157"/>
    <s v="M037"/>
    <s v="ATM"/>
    <n v="35"/>
    <s v="Doctor"/>
    <n v="95"/>
    <n v="1"/>
    <n v="932.61"/>
    <d v="2024-11-04T08:07:20"/>
    <n v="16"/>
    <s v="Monday"/>
    <n v="-0.82756255078700702"/>
    <b v="0"/>
    <b v="0"/>
    <b v="1"/>
    <n v="0"/>
    <m/>
    <n v="0"/>
    <m/>
  </r>
  <r>
    <s v="TX001456"/>
    <s v="AC00015"/>
    <n v="774.48"/>
    <d v="2023-03-06T16:12:45"/>
    <s v="Debit"/>
    <x v="12"/>
    <s v="D000233"/>
    <s v="76.136.92.235"/>
    <s v="M013"/>
    <s v="Branch"/>
    <n v="61"/>
    <s v="Doctor"/>
    <n v="31"/>
    <n v="1"/>
    <n v="11613.58"/>
    <d v="2024-11-04T08:08:33"/>
    <n v="16"/>
    <s v="Monday"/>
    <n v="1.6334727126770401"/>
    <b v="0"/>
    <b v="0"/>
    <b v="1"/>
    <n v="0"/>
    <m/>
    <n v="0"/>
    <m/>
  </r>
  <r>
    <s v="TX001457"/>
    <s v="AC00462"/>
    <n v="105.37"/>
    <d v="2023-05-11T18:31:20"/>
    <s v="Debit"/>
    <x v="30"/>
    <s v="D000327"/>
    <s v="164.75.163.220"/>
    <s v="M043"/>
    <s v="ATM"/>
    <n v="25"/>
    <s v="Student"/>
    <n v="160"/>
    <n v="1"/>
    <n v="1068.55"/>
    <d v="2024-11-04T08:09:44"/>
    <n v="18"/>
    <s v="Thursday"/>
    <n v="-0.65842182327534404"/>
    <b v="0"/>
    <b v="0"/>
    <b v="1"/>
    <n v="0"/>
    <m/>
    <n v="0"/>
    <m/>
  </r>
  <r>
    <s v="TX001458"/>
    <s v="AC00218"/>
    <n v="118.83"/>
    <d v="2023-06-26T16:10:25"/>
    <s v="Debit"/>
    <x v="33"/>
    <s v="D000321"/>
    <s v="190.251.45.32"/>
    <s v="M039"/>
    <s v="Online"/>
    <n v="28"/>
    <s v="Student"/>
    <n v="295"/>
    <n v="1"/>
    <n v="1616.3"/>
    <d v="2024-11-04T08:08:28"/>
    <n v="16"/>
    <s v="Monday"/>
    <n v="-0.61231744514033004"/>
    <b v="0"/>
    <b v="0"/>
    <b v="1"/>
    <n v="0"/>
    <m/>
    <n v="0"/>
    <m/>
  </r>
  <r>
    <s v="TX001459"/>
    <s v="AC00217"/>
    <n v="46.22"/>
    <d v="2023-11-13T16:41:09"/>
    <s v="Debit"/>
    <x v="24"/>
    <s v="D000638"/>
    <s v="49.31.186.82"/>
    <s v="M049"/>
    <s v="Branch"/>
    <n v="23"/>
    <s v="Student"/>
    <n v="217"/>
    <n v="1"/>
    <n v="471.28"/>
    <d v="2024-11-04T08:08:59"/>
    <n v="16"/>
    <s v="Monday"/>
    <n v="-0.861027615748306"/>
    <b v="0"/>
    <b v="0"/>
    <b v="1"/>
    <n v="0"/>
    <m/>
    <n v="0"/>
    <m/>
  </r>
  <r>
    <s v="TX001460"/>
    <s v="AC00460"/>
    <n v="659.71"/>
    <d v="2023-05-05T16:10:24"/>
    <s v="Credit"/>
    <x v="24"/>
    <s v="D000095"/>
    <s v="150.83.4.238"/>
    <s v="M052"/>
    <s v="Branch"/>
    <n v="21"/>
    <s v="Student"/>
    <n v="148"/>
    <n v="1"/>
    <n v="106.86"/>
    <d v="2024-11-04T08:09:32"/>
    <n v="16"/>
    <s v="Friday"/>
    <n v="1.24035239480516"/>
    <b v="0"/>
    <b v="0"/>
    <b v="1"/>
    <n v="0"/>
    <m/>
    <n v="0"/>
    <m/>
  </r>
  <r>
    <s v="TX001461"/>
    <s v="AC00068"/>
    <n v="377.97"/>
    <d v="2023-11-17T16:50:08"/>
    <s v="Debit"/>
    <x v="19"/>
    <s v="D000195"/>
    <s v="138.87.180.254"/>
    <s v="M028"/>
    <s v="Online"/>
    <n v="72"/>
    <s v="Retired"/>
    <n v="160"/>
    <n v="1"/>
    <n v="2457.1"/>
    <d v="2024-11-04T08:11:04"/>
    <n v="16"/>
    <s v="Friday"/>
    <n v="0.27531171904299001"/>
    <b v="0"/>
    <b v="0"/>
    <b v="1"/>
    <n v="0"/>
    <m/>
    <n v="0"/>
    <m/>
  </r>
  <r>
    <s v="TX001462"/>
    <s v="AC00214"/>
    <n v="114.1"/>
    <d v="2023-05-22T17:45:02"/>
    <s v="Debit"/>
    <x v="35"/>
    <s v="D000275"/>
    <s v="65.149.11.248"/>
    <s v="M024"/>
    <s v="Branch"/>
    <n v="69"/>
    <s v="Retired"/>
    <n v="148"/>
    <n v="1"/>
    <n v="5882.12"/>
    <d v="2024-11-04T08:11:19"/>
    <n v="17"/>
    <s v="Monday"/>
    <n v="-0.62851905796192098"/>
    <b v="0"/>
    <b v="0"/>
    <b v="1"/>
    <n v="0"/>
    <m/>
    <n v="0"/>
    <m/>
  </r>
  <r>
    <s v="TX001463"/>
    <s v="AC00266"/>
    <n v="11.3"/>
    <d v="2023-12-01T16:33:43"/>
    <s v="Credit"/>
    <x v="12"/>
    <s v="D000528"/>
    <s v="10.191.172.154"/>
    <s v="M044"/>
    <s v="Online"/>
    <n v="55"/>
    <s v="Retired"/>
    <n v="41"/>
    <n v="1"/>
    <n v="1938.99"/>
    <d v="2024-11-04T08:09:25"/>
    <n v="16"/>
    <s v="Friday"/>
    <n v="-0.98063867700199703"/>
    <b v="0"/>
    <b v="0"/>
    <b v="1"/>
    <n v="0"/>
    <m/>
    <n v="0"/>
    <m/>
  </r>
  <r>
    <s v="TX001464"/>
    <s v="AC00193"/>
    <n v="95.5"/>
    <d v="2023-05-22T16:24:02"/>
    <s v="Debit"/>
    <x v="32"/>
    <s v="D000362"/>
    <s v="177.116.108.246"/>
    <s v="M031"/>
    <s v="Online"/>
    <n v="57"/>
    <s v="Retired"/>
    <n v="17"/>
    <n v="1"/>
    <n v="4079.09"/>
    <d v="2024-11-04T08:08:19"/>
    <n v="16"/>
    <s v="Monday"/>
    <n v="-0.69222941704893903"/>
    <b v="0"/>
    <b v="0"/>
    <b v="1"/>
    <n v="0"/>
    <m/>
    <n v="0"/>
    <m/>
  </r>
  <r>
    <s v="TX001465"/>
    <s v="AC00132"/>
    <n v="130.93"/>
    <d v="2023-02-08T16:52:09"/>
    <s v="Credit"/>
    <x v="1"/>
    <s v="D000417"/>
    <s v="193.221.15.59"/>
    <s v="M061"/>
    <s v="Branch"/>
    <n v="28"/>
    <s v="Engineer"/>
    <n v="149"/>
    <n v="1"/>
    <n v="860.12"/>
    <d v="2024-11-04T08:11:18"/>
    <n v="16"/>
    <s v="Wednesday"/>
    <n v="-0.57087145885253898"/>
    <b v="0"/>
    <b v="0"/>
    <b v="1"/>
    <n v="0"/>
    <m/>
    <n v="0"/>
    <m/>
  </r>
  <r>
    <s v="TX001466"/>
    <s v="AC00241"/>
    <n v="272.97000000000003"/>
    <d v="2023-04-17T18:42:04"/>
    <s v="Debit"/>
    <x v="35"/>
    <s v="D000638"/>
    <s v="66.226.179.193"/>
    <s v="M033"/>
    <s v="Online"/>
    <n v="68"/>
    <s v="Retired"/>
    <n v="174"/>
    <n v="1"/>
    <n v="7811.31"/>
    <d v="2024-11-04T08:10:58"/>
    <n v="18"/>
    <s v="Monday"/>
    <n v="-8.4343533867593398E-2"/>
    <b v="0"/>
    <b v="0"/>
    <b v="1"/>
    <n v="0"/>
    <m/>
    <n v="0"/>
    <m/>
  </r>
  <r>
    <s v="TX001467"/>
    <s v="AC00015"/>
    <n v="73.349999999999994"/>
    <d v="2023-03-13T16:33:49"/>
    <s v="Debit"/>
    <x v="23"/>
    <s v="D000340"/>
    <s v="9.230.41.239"/>
    <s v="M093"/>
    <s v="Branch"/>
    <n v="24"/>
    <s v="Student"/>
    <n v="47"/>
    <n v="1"/>
    <n v="1181.8399999999999"/>
    <d v="2024-11-04T08:09:57"/>
    <n v="16"/>
    <s v="Monday"/>
    <n v="-0.76809954897245702"/>
    <b v="0"/>
    <b v="0"/>
    <b v="1"/>
    <n v="0"/>
    <m/>
    <n v="0"/>
    <m/>
  </r>
  <r>
    <s v="TX001468"/>
    <s v="AC00352"/>
    <n v="29.94"/>
    <d v="2023-10-13T16:22:08"/>
    <s v="Debit"/>
    <x v="23"/>
    <s v="D000266"/>
    <s v="3.77.114.6"/>
    <s v="M063"/>
    <s v="ATM"/>
    <n v="58"/>
    <s v="Doctor"/>
    <n v="243"/>
    <n v="1"/>
    <n v="10915.54"/>
    <d v="2024-11-04T08:12:01"/>
    <n v="16"/>
    <s v="Friday"/>
    <n v="-0.91679130639006101"/>
    <b v="0"/>
    <b v="0"/>
    <b v="1"/>
    <n v="0"/>
    <m/>
    <n v="0"/>
    <m/>
  </r>
  <r>
    <s v="TX001469"/>
    <s v="AC00396"/>
    <n v="307.24"/>
    <d v="2023-11-02T16:05:49"/>
    <s v="Debit"/>
    <x v="24"/>
    <s v="D000584"/>
    <s v="17.87.7.140"/>
    <s v="M096"/>
    <s v="ATM"/>
    <n v="19"/>
    <s v="Student"/>
    <n v="136"/>
    <n v="2"/>
    <n v="1670.72"/>
    <d v="2024-11-04T08:09:50"/>
    <n v="16"/>
    <s v="Thursday"/>
    <n v="3.3041090106175001E-2"/>
    <b v="0"/>
    <b v="1"/>
    <b v="1"/>
    <n v="1"/>
    <m/>
    <n v="0"/>
    <m/>
  </r>
  <r>
    <s v="TX001470"/>
    <s v="AC00174"/>
    <n v="50.52"/>
    <d v="2023-10-16T16:29:39"/>
    <s v="Debit"/>
    <x v="35"/>
    <s v="D000377"/>
    <s v="151.247.130.190"/>
    <s v="M029"/>
    <s v="Online"/>
    <n v="20"/>
    <s v="Student"/>
    <n v="140"/>
    <n v="1"/>
    <n v="1121.19"/>
    <d v="2024-11-04T08:09:12"/>
    <n v="16"/>
    <s v="Monday"/>
    <n v="-0.84629887681958704"/>
    <b v="0"/>
    <b v="0"/>
    <b v="1"/>
    <n v="0"/>
    <m/>
    <n v="0"/>
    <m/>
  </r>
  <r>
    <s v="TX001471"/>
    <s v="AC00024"/>
    <n v="820.46"/>
    <d v="2023-04-03T16:22:48"/>
    <s v="Credit"/>
    <x v="18"/>
    <s v="D000185"/>
    <s v="89.21.156.229"/>
    <s v="M041"/>
    <s v="Online"/>
    <n v="53"/>
    <s v="Engineer"/>
    <n v="243"/>
    <n v="1"/>
    <n v="5621.86"/>
    <d v="2024-11-04T08:10:23"/>
    <n v="16"/>
    <s v="Monday"/>
    <n v="1.79096746057064"/>
    <b v="0"/>
    <b v="0"/>
    <b v="1"/>
    <n v="0"/>
    <m/>
    <n v="0"/>
    <m/>
  </r>
  <r>
    <s v="TX001472"/>
    <s v="AC00250"/>
    <n v="153.07"/>
    <d v="2023-04-03T18:37:57"/>
    <s v="Debit"/>
    <x v="8"/>
    <s v="D000503"/>
    <s v="92.214.76.157"/>
    <s v="M034"/>
    <s v="ATM"/>
    <n v="56"/>
    <s v="Engineer"/>
    <n v="116"/>
    <n v="1"/>
    <n v="8873.43"/>
    <d v="2024-11-04T08:12:06"/>
    <n v="18"/>
    <s v="Monday"/>
    <n v="-0.49503557981024998"/>
    <b v="0"/>
    <b v="0"/>
    <b v="1"/>
    <n v="0"/>
    <m/>
    <n v="0"/>
    <m/>
  </r>
  <r>
    <s v="TX001473"/>
    <s v="AC00373"/>
    <n v="52.94"/>
    <d v="2023-06-12T17:36:25"/>
    <s v="Debit"/>
    <x v="28"/>
    <s v="D000160"/>
    <s v="98.255.160.110"/>
    <s v="M052"/>
    <s v="Branch"/>
    <n v="41"/>
    <s v="Doctor"/>
    <n v="146"/>
    <n v="1"/>
    <n v="6990.92"/>
    <d v="2024-11-04T08:11:08"/>
    <n v="17"/>
    <s v="Monday"/>
    <n v="-0.83800967956202899"/>
    <b v="0"/>
    <b v="0"/>
    <b v="1"/>
    <n v="0"/>
    <m/>
    <n v="0"/>
    <m/>
  </r>
  <r>
    <s v="TX001474"/>
    <s v="AC00030"/>
    <n v="384.41"/>
    <d v="2023-04-17T16:53:29"/>
    <s v="Debit"/>
    <x v="36"/>
    <s v="D000289"/>
    <s v="168.55.199.214"/>
    <s v="M093"/>
    <s v="ATM"/>
    <n v="60"/>
    <s v="Engineer"/>
    <n v="65"/>
    <n v="1"/>
    <n v="7831.56"/>
    <d v="2024-11-04T08:10:13"/>
    <n v="16"/>
    <s v="Monday"/>
    <n v="0.29737057455483901"/>
    <b v="0"/>
    <b v="0"/>
    <b v="1"/>
    <n v="0"/>
    <m/>
    <n v="0"/>
    <m/>
  </r>
  <r>
    <s v="TX001475"/>
    <s v="AC00422"/>
    <n v="235.42"/>
    <d v="2023-07-10T18:34:22"/>
    <s v="Debit"/>
    <x v="37"/>
    <s v="D000424"/>
    <s v="105.87.212.115"/>
    <s v="M060"/>
    <s v="Branch"/>
    <n v="51"/>
    <s v="Retired"/>
    <n v="175"/>
    <n v="1"/>
    <n v="6173.23"/>
    <d v="2024-11-04T08:11:06"/>
    <n v="18"/>
    <s v="Monday"/>
    <n v="-0.212963102884664"/>
    <b v="0"/>
    <b v="0"/>
    <b v="1"/>
    <n v="0"/>
    <m/>
    <n v="0"/>
    <m/>
  </r>
  <r>
    <s v="TX001476"/>
    <s v="AC00229"/>
    <n v="114.23"/>
    <d v="2023-06-07T17:35:50"/>
    <s v="Debit"/>
    <x v="34"/>
    <s v="D000213"/>
    <s v="106.244.1.47"/>
    <s v="M089"/>
    <s v="ATM"/>
    <n v="56"/>
    <s v="Doctor"/>
    <n v="64"/>
    <n v="1"/>
    <n v="9523.7199999999993"/>
    <d v="2024-11-04T08:06:35"/>
    <n v="17"/>
    <s v="Wednesday"/>
    <n v="-0.62807377050593605"/>
    <b v="0"/>
    <b v="0"/>
    <b v="1"/>
    <n v="0"/>
    <m/>
    <n v="0"/>
    <m/>
  </r>
  <r>
    <s v="TX001477"/>
    <s v="AC00002"/>
    <n v="12.62"/>
    <d v="2023-05-05T16:35:44"/>
    <s v="Debit"/>
    <x v="39"/>
    <s v="D000475"/>
    <s v="93.160.83.196"/>
    <s v="M068"/>
    <s v="Branch"/>
    <n v="33"/>
    <s v="Doctor"/>
    <n v="61"/>
    <n v="1"/>
    <n v="6420.47"/>
    <d v="2024-11-04T08:09:03"/>
    <n v="16"/>
    <s v="Friday"/>
    <n v="-0.97611729667969305"/>
    <b v="0"/>
    <b v="0"/>
    <b v="1"/>
    <n v="0"/>
    <m/>
    <n v="0"/>
    <m/>
  </r>
  <r>
    <s v="TX001478"/>
    <s v="AC00227"/>
    <n v="997.37"/>
    <d v="2023-12-22T18:24:01"/>
    <s v="Debit"/>
    <x v="18"/>
    <s v="D000629"/>
    <s v="32.71.250.58"/>
    <s v="M053"/>
    <s v="ATM"/>
    <n v="23"/>
    <s v="Student"/>
    <n v="145"/>
    <n v="1"/>
    <n v="1146.0899999999999"/>
    <d v="2024-11-04T08:07:23"/>
    <n v="18"/>
    <s v="Friday"/>
    <n v="2.39693518240313"/>
    <b v="1"/>
    <b v="0"/>
    <b v="1"/>
    <n v="1"/>
    <m/>
    <n v="1"/>
    <m/>
  </r>
  <r>
    <s v="TX001479"/>
    <s v="AC00393"/>
    <n v="373.52"/>
    <d v="2023-09-25T16:23:23"/>
    <s v="Debit"/>
    <x v="40"/>
    <s v="D000673"/>
    <s v="219.31.152.129"/>
    <s v="M026"/>
    <s v="ATM"/>
    <n v="35"/>
    <s v="Engineer"/>
    <n v="235"/>
    <n v="1"/>
    <n v="6430.41"/>
    <d v="2024-11-04T08:11:16"/>
    <n v="16"/>
    <s v="Monday"/>
    <n v="0.26006918689582698"/>
    <b v="0"/>
    <b v="0"/>
    <b v="1"/>
    <n v="0"/>
    <m/>
    <n v="0"/>
    <m/>
  </r>
  <r>
    <s v="TX001480"/>
    <s v="AC00042"/>
    <n v="336.05"/>
    <d v="2023-04-24T17:18:18"/>
    <s v="Debit"/>
    <x v="25"/>
    <s v="D000044"/>
    <s v="89.237.88.251"/>
    <s v="M019"/>
    <s v="Branch"/>
    <n v="28"/>
    <s v="Student"/>
    <n v="164"/>
    <n v="1"/>
    <n v="1635.05"/>
    <d v="2024-11-04T08:12:13"/>
    <n v="17"/>
    <s v="Monday"/>
    <n v="0.13172364092859301"/>
    <b v="0"/>
    <b v="0"/>
    <b v="1"/>
    <n v="0"/>
    <m/>
    <n v="0"/>
    <m/>
  </r>
  <r>
    <s v="TX001481"/>
    <s v="AC00111"/>
    <n v="366.93"/>
    <d v="2023-12-11T18:43:00"/>
    <s v="Debit"/>
    <x v="1"/>
    <s v="D000697"/>
    <s v="45.182.28.148"/>
    <s v="M078"/>
    <s v="Online"/>
    <n v="66"/>
    <s v="Retired"/>
    <n v="33"/>
    <n v="1"/>
    <n v="6697.79"/>
    <d v="2024-11-04T08:11:33"/>
    <n v="18"/>
    <s v="Monday"/>
    <n v="0.23749653816553401"/>
    <b v="0"/>
    <b v="0"/>
    <b v="1"/>
    <n v="0"/>
    <m/>
    <n v="0"/>
    <m/>
  </r>
  <r>
    <s v="TX001482"/>
    <s v="AC00178"/>
    <n v="112.27"/>
    <d v="2023-10-19T17:34:53"/>
    <s v="Debit"/>
    <x v="6"/>
    <s v="D000690"/>
    <s v="199.6.127.153"/>
    <s v="M007"/>
    <s v="Branch"/>
    <n v="58"/>
    <s v="Doctor"/>
    <n v="102"/>
    <n v="1"/>
    <n v="7369.89"/>
    <d v="2024-11-04T08:11:23"/>
    <n v="17"/>
    <s v="Thursday"/>
    <n v="-0.63478733522693398"/>
    <b v="0"/>
    <b v="0"/>
    <b v="1"/>
    <n v="0"/>
    <m/>
    <n v="0"/>
    <m/>
  </r>
  <r>
    <s v="TX001483"/>
    <s v="AC00218"/>
    <n v="494.96"/>
    <d v="2023-03-31T16:34:38"/>
    <s v="Debit"/>
    <x v="30"/>
    <s v="D000320"/>
    <s v="45.182.28.148"/>
    <s v="M067"/>
    <s v="ATM"/>
    <n v="40"/>
    <s v="Engineer"/>
    <n v="132"/>
    <n v="1"/>
    <n v="6903.68"/>
    <d v="2024-11-04T08:08:34"/>
    <n v="16"/>
    <s v="Friday"/>
    <n v="0.67603617654783899"/>
    <b v="0"/>
    <b v="0"/>
    <b v="1"/>
    <n v="0"/>
    <m/>
    <n v="0"/>
    <m/>
  </r>
  <r>
    <s v="TX001484"/>
    <s v="AC00198"/>
    <n v="561.58000000000004"/>
    <d v="2023-06-23T17:38:26"/>
    <s v="Debit"/>
    <x v="30"/>
    <s v="D000229"/>
    <s v="170.154.69.105"/>
    <s v="M022"/>
    <s v="Online"/>
    <n v="65"/>
    <s v="Doctor"/>
    <n v="23"/>
    <n v="1"/>
    <n v="11748.86"/>
    <d v="2024-11-04T08:06:32"/>
    <n v="17"/>
    <s v="Friday"/>
    <n v="0.90422887129929697"/>
    <b v="0"/>
    <b v="0"/>
    <b v="1"/>
    <n v="0"/>
    <m/>
    <n v="0"/>
    <m/>
  </r>
  <r>
    <s v="TX001485"/>
    <s v="AC00060"/>
    <n v="440.94"/>
    <d v="2023-09-13T18:38:27"/>
    <s v="Debit"/>
    <x v="25"/>
    <s v="D000133"/>
    <s v="189.20.224.220"/>
    <s v="M008"/>
    <s v="Online"/>
    <n v="42"/>
    <s v="Doctor"/>
    <n v="148"/>
    <n v="1"/>
    <n v="7303.23"/>
    <d v="2024-11-04T08:11:22"/>
    <n v="18"/>
    <s v="Wednesday"/>
    <n v="0.49100211214565098"/>
    <b v="0"/>
    <b v="0"/>
    <b v="1"/>
    <n v="0"/>
    <m/>
    <n v="0"/>
    <m/>
  </r>
  <r>
    <s v="TX001486"/>
    <s v="AC00397"/>
    <n v="71.900000000000006"/>
    <d v="2023-02-20T16:28:39"/>
    <s v="Debit"/>
    <x v="16"/>
    <s v="D000553"/>
    <s v="136.172.149.77"/>
    <s v="M013"/>
    <s v="Branch"/>
    <n v="29"/>
    <s v="Doctor"/>
    <n v="51"/>
    <n v="1"/>
    <n v="10619.35"/>
    <d v="2024-11-04T08:12:07"/>
    <n v="16"/>
    <s v="Monday"/>
    <n v="-0.77306621675074605"/>
    <b v="0"/>
    <b v="0"/>
    <b v="1"/>
    <n v="0"/>
    <m/>
    <n v="0"/>
    <m/>
  </r>
  <r>
    <s v="TX001487"/>
    <s v="AC00338"/>
    <n v="256.66000000000003"/>
    <d v="2023-07-17T17:08:03"/>
    <s v="Credit"/>
    <x v="3"/>
    <s v="D000377"/>
    <s v="101.223.82.253"/>
    <s v="M045"/>
    <s v="Online"/>
    <n v="54"/>
    <s v="Retired"/>
    <n v="137"/>
    <n v="1"/>
    <n v="1794.5"/>
    <d v="2024-11-04T08:06:55"/>
    <n v="17"/>
    <s v="Monday"/>
    <n v="-0.14020998315303701"/>
    <b v="0"/>
    <b v="0"/>
    <b v="1"/>
    <n v="0"/>
    <m/>
    <n v="0"/>
    <m/>
  </r>
  <r>
    <s v="TX001488"/>
    <s v="AC00101"/>
    <n v="166.55"/>
    <d v="2023-07-13T17:51:44"/>
    <s v="Credit"/>
    <x v="1"/>
    <s v="D000386"/>
    <s v="148.25.159.90"/>
    <s v="M065"/>
    <s v="Branch"/>
    <n v="59"/>
    <s v="Doctor"/>
    <n v="99"/>
    <n v="1"/>
    <n v="12970.21"/>
    <d v="2024-11-04T08:09:36"/>
    <n v="17"/>
    <s v="Thursday"/>
    <n v="-0.448862695912777"/>
    <b v="0"/>
    <b v="0"/>
    <b v="1"/>
    <n v="0"/>
    <m/>
    <n v="0"/>
    <m/>
  </r>
  <r>
    <s v="TX001489"/>
    <s v="AC00384"/>
    <n v="276.26"/>
    <d v="2023-02-13T17:04:50"/>
    <s v="Debit"/>
    <x v="12"/>
    <s v="D000307"/>
    <s v="97.106.5.76"/>
    <s v="M024"/>
    <s v="Branch"/>
    <n v="56"/>
    <s v="Doctor"/>
    <n v="143"/>
    <n v="1"/>
    <n v="120.89"/>
    <d v="2024-11-04T08:11:47"/>
    <n v="17"/>
    <s v="Monday"/>
    <n v="-7.3074335943061994E-2"/>
    <b v="0"/>
    <b v="0"/>
    <b v="1"/>
    <n v="0"/>
    <m/>
    <n v="0"/>
    <m/>
  </r>
  <r>
    <s v="TX001490"/>
    <s v="AC00368"/>
    <n v="35.46"/>
    <d v="2023-07-18T16:38:11"/>
    <s v="Debit"/>
    <x v="7"/>
    <s v="D000674"/>
    <s v="83.80.89.29"/>
    <s v="M073"/>
    <s v="ATM"/>
    <n v="67"/>
    <s v="Doctor"/>
    <n v="164"/>
    <n v="1"/>
    <n v="5692.31"/>
    <d v="2024-11-04T08:10:12"/>
    <n v="16"/>
    <s v="Tuesday"/>
    <n v="-0.89788371595133298"/>
    <b v="0"/>
    <b v="0"/>
    <b v="1"/>
    <n v="0"/>
    <m/>
    <n v="0"/>
    <m/>
  </r>
  <r>
    <s v="TX001491"/>
    <s v="AC00233"/>
    <n v="38.14"/>
    <d v="2023-04-07T16:16:00"/>
    <s v="Debit"/>
    <x v="42"/>
    <s v="D000016"/>
    <s v="160.212.125.105"/>
    <s v="M072"/>
    <s v="Branch"/>
    <n v="50"/>
    <s v="Engineer"/>
    <n v="165"/>
    <n v="1"/>
    <n v="9879.8700000000008"/>
    <d v="2024-11-04T08:07:16"/>
    <n v="16"/>
    <s v="Friday"/>
    <n v="-0.88870394378180595"/>
    <b v="0"/>
    <b v="0"/>
    <b v="1"/>
    <n v="0"/>
    <m/>
    <n v="0"/>
    <m/>
  </r>
  <r>
    <s v="TX001492"/>
    <s v="AC00375"/>
    <n v="506.26"/>
    <d v="2023-12-18T18:26:07"/>
    <s v="Credit"/>
    <x v="21"/>
    <s v="D000670"/>
    <s v="200.136.146.93"/>
    <s v="M014"/>
    <s v="ATM"/>
    <n v="64"/>
    <s v="Retired"/>
    <n v="86"/>
    <n v="1"/>
    <n v="6266.65"/>
    <d v="2024-11-04T08:11:53"/>
    <n v="18"/>
    <s v="Monday"/>
    <n v="0.71474193233726402"/>
    <b v="0"/>
    <b v="0"/>
    <b v="1"/>
    <n v="0"/>
    <m/>
    <n v="0"/>
    <m/>
  </r>
  <r>
    <s v="TX001493"/>
    <s v="AC00277"/>
    <n v="736.32"/>
    <d v="2023-04-12T17:06:06"/>
    <s v="Debit"/>
    <x v="7"/>
    <s v="D000503"/>
    <s v="64.15.0.66"/>
    <s v="M054"/>
    <s v="Online"/>
    <n v="31"/>
    <s v="Doctor"/>
    <n v="28"/>
    <n v="1"/>
    <n v="14268.95"/>
    <d v="2024-11-04T08:10:23"/>
    <n v="17"/>
    <s v="Wednesday"/>
    <n v="1.50276371790496"/>
    <b v="0"/>
    <b v="0"/>
    <b v="1"/>
    <n v="0"/>
    <m/>
    <n v="0"/>
    <m/>
  </r>
  <r>
    <s v="TX001494"/>
    <s v="AC00202"/>
    <n v="389.43"/>
    <d v="2023-11-27T18:01:47"/>
    <s v="Credit"/>
    <x v="14"/>
    <s v="D000485"/>
    <s v="10.144.131.89"/>
    <s v="M005"/>
    <s v="ATM"/>
    <n v="52"/>
    <s v="Engineer"/>
    <n v="151"/>
    <n v="1"/>
    <n v="6449.83"/>
    <d v="2024-11-04T08:10:57"/>
    <n v="18"/>
    <s v="Monday"/>
    <n v="0.31456552093208801"/>
    <b v="0"/>
    <b v="0"/>
    <b v="1"/>
    <n v="0"/>
    <m/>
    <n v="0"/>
    <m/>
  </r>
  <r>
    <s v="TX001495"/>
    <s v="AC00142"/>
    <n v="25.58"/>
    <d v="2023-11-16T16:33:22"/>
    <s v="Debit"/>
    <x v="32"/>
    <s v="D000083"/>
    <s v="194.29.57.163"/>
    <s v="M048"/>
    <s v="ATM"/>
    <n v="60"/>
    <s v="Engineer"/>
    <n v="166"/>
    <n v="1"/>
    <n v="6741.41"/>
    <d v="2024-11-04T08:06:29"/>
    <n v="16"/>
    <s v="Thursday"/>
    <n v="-0.93172556260615802"/>
    <b v="0"/>
    <b v="0"/>
    <b v="1"/>
    <n v="0"/>
    <m/>
    <n v="0"/>
    <m/>
  </r>
  <r>
    <s v="TX001496"/>
    <s v="AC00178"/>
    <n v="446.1"/>
    <d v="2023-09-19T17:45:19"/>
    <s v="Debit"/>
    <x v="6"/>
    <s v="D000444"/>
    <s v="78.69.172.205"/>
    <s v="M068"/>
    <s v="ATM"/>
    <n v="25"/>
    <s v="Student"/>
    <n v="243"/>
    <n v="1"/>
    <n v="1008.44"/>
    <d v="2024-11-04T08:08:30"/>
    <n v="17"/>
    <s v="Tuesday"/>
    <n v="0.50867659886011396"/>
    <b v="0"/>
    <b v="0"/>
    <b v="1"/>
    <n v="0"/>
    <m/>
    <n v="0"/>
    <m/>
  </r>
  <r>
    <s v="TX001497"/>
    <s v="AC00130"/>
    <n v="147.74"/>
    <d v="2023-09-05T16:52:06"/>
    <s v="Debit"/>
    <x v="3"/>
    <s v="D000064"/>
    <s v="12.246.170.239"/>
    <s v="M034"/>
    <s v="Branch"/>
    <n v="23"/>
    <s v="Student"/>
    <n v="15"/>
    <n v="1"/>
    <n v="1711.78"/>
    <d v="2024-11-04T08:12:18"/>
    <n v="16"/>
    <s v="Tuesday"/>
    <n v="-0.51329236550561597"/>
    <b v="0"/>
    <b v="0"/>
    <b v="1"/>
    <n v="0"/>
    <m/>
    <n v="0"/>
    <m/>
  </r>
  <r>
    <s v="TX001498"/>
    <s v="AC00018"/>
    <n v="1228.81"/>
    <d v="2023-02-20T16:36:36"/>
    <s v="Debit"/>
    <x v="23"/>
    <s v="D000381"/>
    <s v="63.191.171.41"/>
    <s v="M034"/>
    <s v="ATM"/>
    <n v="26"/>
    <s v="Student"/>
    <n v="254"/>
    <n v="1"/>
    <n v="1821"/>
    <d v="2024-11-04T08:09:05"/>
    <n v="16"/>
    <s v="Monday"/>
    <n v="3.1896838655805202"/>
    <b v="1"/>
    <b v="0"/>
    <b v="1"/>
    <n v="1"/>
    <m/>
    <n v="1"/>
    <m/>
  </r>
  <r>
    <s v="TX001499"/>
    <s v="AC00293"/>
    <n v="46.23"/>
    <d v="2023-05-29T17:45:26"/>
    <s v="Debit"/>
    <x v="41"/>
    <s v="D000350"/>
    <s v="34.86.220.205"/>
    <s v="M015"/>
    <s v="Online"/>
    <n v="77"/>
    <s v="Retired"/>
    <n v="282"/>
    <n v="1"/>
    <n v="5107.75"/>
    <d v="2024-11-04T08:09:46"/>
    <n v="17"/>
    <s v="Monday"/>
    <n v="-0.86099336286707595"/>
    <b v="0"/>
    <b v="0"/>
    <b v="1"/>
    <n v="0"/>
    <m/>
    <n v="0"/>
    <m/>
  </r>
  <r>
    <s v="TX001500"/>
    <s v="AC00449"/>
    <n v="265.37"/>
    <d v="2023-05-26T17:56:17"/>
    <s v="Debit"/>
    <x v="38"/>
    <s v="D000633"/>
    <s v="173.252.44.183"/>
    <s v="M013"/>
    <s v="Branch"/>
    <n v="33"/>
    <s v="Engineer"/>
    <n v="77"/>
    <n v="1"/>
    <n v="5229.95"/>
    <d v="2024-11-04T08:09:20"/>
    <n v="17"/>
    <s v="Friday"/>
    <n v="-0.110375723602073"/>
    <b v="0"/>
    <b v="0"/>
    <b v="1"/>
    <n v="0"/>
    <m/>
    <n v="0"/>
    <m/>
  </r>
  <r>
    <s v="TX001501"/>
    <s v="AC00496"/>
    <n v="342.57"/>
    <d v="2023-02-03T17:10:00"/>
    <s v="Debit"/>
    <x v="35"/>
    <s v="D000345"/>
    <s v="64.15.0.66"/>
    <s v="M100"/>
    <s v="Online"/>
    <n v="20"/>
    <s v="Student"/>
    <n v="91"/>
    <n v="1"/>
    <n v="339.16"/>
    <d v="2024-11-04T08:09:51"/>
    <n v="17"/>
    <s v="Friday"/>
    <n v="0.15405651949027799"/>
    <b v="0"/>
    <b v="0"/>
    <b v="1"/>
    <n v="0"/>
    <m/>
    <n v="0"/>
    <m/>
  </r>
  <r>
    <s v="TX001502"/>
    <s v="AC00370"/>
    <n v="417.26"/>
    <d v="2023-02-27T17:01:24"/>
    <s v="Credit"/>
    <x v="22"/>
    <s v="D000183"/>
    <s v="17.36.132.202"/>
    <s v="M049"/>
    <s v="Online"/>
    <n v="32"/>
    <s v="Doctor"/>
    <n v="45"/>
    <n v="1"/>
    <n v="10442.48"/>
    <d v="2024-11-04T08:11:53"/>
    <n v="17"/>
    <s v="Monday"/>
    <n v="0.40989128939400699"/>
    <b v="0"/>
    <b v="0"/>
    <b v="1"/>
    <n v="0"/>
    <m/>
    <n v="0"/>
    <m/>
  </r>
  <r>
    <s v="TX001503"/>
    <s v="AC00341"/>
    <n v="33.630000000000003"/>
    <d v="2023-11-03T16:50:08"/>
    <s v="Debit"/>
    <x v="15"/>
    <s v="D000556"/>
    <s v="141.241.241.128"/>
    <s v="M024"/>
    <s v="Online"/>
    <n v="63"/>
    <s v="Retired"/>
    <n v="76"/>
    <n v="1"/>
    <n v="4324.3999999999996"/>
    <d v="2024-11-04T08:10:52"/>
    <n v="16"/>
    <s v="Friday"/>
    <n v="-0.90415199321634598"/>
    <b v="0"/>
    <b v="0"/>
    <b v="1"/>
    <n v="0"/>
    <m/>
    <n v="0"/>
    <m/>
  </r>
  <r>
    <s v="TX001504"/>
    <s v="AC00400"/>
    <n v="64.58"/>
    <d v="2023-12-04T18:06:30"/>
    <s v="Debit"/>
    <x v="39"/>
    <s v="D000647"/>
    <s v="21.190.11.223"/>
    <s v="M056"/>
    <s v="Branch"/>
    <n v="55"/>
    <s v="Retired"/>
    <n v="173"/>
    <n v="1"/>
    <n v="6292.29"/>
    <d v="2024-11-04T08:11:27"/>
    <n v="18"/>
    <s v="Monday"/>
    <n v="-0.79813932581079805"/>
    <b v="0"/>
    <b v="0"/>
    <b v="1"/>
    <n v="0"/>
    <m/>
    <n v="0"/>
    <m/>
  </r>
  <r>
    <s v="TX001505"/>
    <s v="AC00301"/>
    <n v="23.23"/>
    <d v="2023-04-20T16:34:59"/>
    <s v="Credit"/>
    <x v="19"/>
    <s v="D000573"/>
    <s v="156.96.135.18"/>
    <s v="M064"/>
    <s v="Branch"/>
    <n v="21"/>
    <s v="Student"/>
    <n v="122"/>
    <n v="1"/>
    <n v="269.01"/>
    <d v="2024-11-04T08:09:54"/>
    <n v="16"/>
    <s v="Thursday"/>
    <n v="-0.93977498969510898"/>
    <b v="0"/>
    <b v="0"/>
    <b v="1"/>
    <n v="0"/>
    <m/>
    <n v="0"/>
    <m/>
  </r>
  <r>
    <s v="TX001506"/>
    <s v="AC00249"/>
    <n v="160.52000000000001"/>
    <d v="2023-08-07T16:15:05"/>
    <s v="Credit"/>
    <x v="36"/>
    <s v="D000254"/>
    <s v="98.255.160.110"/>
    <s v="M034"/>
    <s v="ATM"/>
    <n v="78"/>
    <s v="Retired"/>
    <n v="112"/>
    <n v="1"/>
    <n v="5379.25"/>
    <d v="2024-11-04T08:07:59"/>
    <n v="16"/>
    <s v="Monday"/>
    <n v="-0.46951718329421299"/>
    <b v="0"/>
    <b v="0"/>
    <b v="1"/>
    <n v="0"/>
    <m/>
    <n v="0"/>
    <m/>
  </r>
  <r>
    <s v="TX001507"/>
    <s v="AC00239"/>
    <n v="278.88"/>
    <d v="2023-09-29T16:53:14"/>
    <s v="Debit"/>
    <x v="31"/>
    <s v="D000350"/>
    <s v="184.185.209.72"/>
    <s v="M001"/>
    <s v="Branch"/>
    <n v="64"/>
    <s v="Doctor"/>
    <n v="179"/>
    <n v="2"/>
    <n v="1334.09"/>
    <d v="2024-11-04T08:09:44"/>
    <n v="16"/>
    <s v="Friday"/>
    <n v="-6.4100081060912098E-2"/>
    <b v="0"/>
    <b v="1"/>
    <b v="1"/>
    <n v="1"/>
    <m/>
    <n v="0"/>
    <m/>
  </r>
  <r>
    <s v="TX001508"/>
    <s v="AC00419"/>
    <n v="285.49"/>
    <d v="2023-08-11T18:42:10"/>
    <s v="Credit"/>
    <x v="27"/>
    <s v="D000498"/>
    <s v="41.82.55.163"/>
    <s v="M071"/>
    <s v="Branch"/>
    <n v="53"/>
    <s v="Doctor"/>
    <n v="109"/>
    <n v="1"/>
    <n v="6366.84"/>
    <d v="2024-11-04T08:12:14"/>
    <n v="18"/>
    <s v="Friday"/>
    <n v="-4.1458926568160102E-2"/>
    <b v="0"/>
    <b v="0"/>
    <b v="1"/>
    <n v="0"/>
    <m/>
    <n v="0"/>
    <m/>
  </r>
  <r>
    <s v="TX001509"/>
    <s v="AC00435"/>
    <n v="71.87"/>
    <d v="2023-01-16T18:03:02"/>
    <s v="Debit"/>
    <x v="9"/>
    <s v="D000039"/>
    <s v="110.247.153.70"/>
    <s v="M057"/>
    <s v="ATM"/>
    <n v="22"/>
    <s v="Student"/>
    <n v="258"/>
    <n v="1"/>
    <n v="1839.1"/>
    <d v="2024-11-04T08:12:07"/>
    <n v="18"/>
    <s v="Monday"/>
    <n v="-0.77316897539443497"/>
    <b v="0"/>
    <b v="0"/>
    <b v="1"/>
    <n v="0"/>
    <m/>
    <n v="0"/>
    <m/>
  </r>
  <r>
    <s v="TX001510"/>
    <s v="AC00012"/>
    <n v="308.8"/>
    <d v="2023-12-26T16:08:51"/>
    <s v="Debit"/>
    <x v="21"/>
    <s v="D000256"/>
    <s v="65.164.3.100"/>
    <s v="M018"/>
    <s v="ATM"/>
    <n v="53"/>
    <s v="Retired"/>
    <n v="41"/>
    <n v="1"/>
    <n v="3966.54"/>
    <d v="2024-11-04T08:09:59"/>
    <n v="16"/>
    <s v="Tuesday"/>
    <n v="3.8384539577989402E-2"/>
    <b v="0"/>
    <b v="0"/>
    <b v="1"/>
    <n v="0"/>
    <m/>
    <n v="0"/>
    <m/>
  </r>
  <r>
    <s v="TX001511"/>
    <s v="AC00438"/>
    <n v="135.35"/>
    <d v="2023-07-28T18:42:51"/>
    <s v="Debit"/>
    <x v="1"/>
    <s v="D000219"/>
    <s v="218.54.207.160"/>
    <s v="M098"/>
    <s v="Branch"/>
    <n v="33"/>
    <s v="Engineer"/>
    <n v="82"/>
    <n v="1"/>
    <n v="9983.36"/>
    <d v="2024-11-04T08:07:24"/>
    <n v="18"/>
    <s v="Friday"/>
    <n v="-0.55573168534906503"/>
    <b v="0"/>
    <b v="0"/>
    <b v="1"/>
    <n v="0"/>
    <m/>
    <n v="0"/>
    <m/>
  </r>
  <r>
    <s v="TX001512"/>
    <s v="AC00345"/>
    <n v="288.43"/>
    <d v="2023-05-08T16:37:53"/>
    <s v="Debit"/>
    <x v="37"/>
    <s v="D000136"/>
    <s v="7.105.184.86"/>
    <s v="M075"/>
    <s v="Branch"/>
    <n v="66"/>
    <s v="Retired"/>
    <n v="72"/>
    <n v="1"/>
    <n v="4577.09"/>
    <d v="2024-11-04T08:09:00"/>
    <n v="16"/>
    <s v="Monday"/>
    <n v="-3.1388579486663799E-2"/>
    <b v="0"/>
    <b v="0"/>
    <b v="1"/>
    <n v="0"/>
    <m/>
    <n v="0"/>
    <m/>
  </r>
  <r>
    <s v="TX001513"/>
    <s v="AC00026"/>
    <n v="147.46"/>
    <d v="2023-10-12T16:58:25"/>
    <s v="Credit"/>
    <x v="10"/>
    <s v="D000380"/>
    <s v="78.69.172.205"/>
    <s v="M071"/>
    <s v="Online"/>
    <n v="65"/>
    <s v="Doctor"/>
    <n v="205"/>
    <n v="1"/>
    <n v="7458.03"/>
    <d v="2024-11-04T08:11:31"/>
    <n v="16"/>
    <s v="Thursday"/>
    <n v="-0.51425144618004404"/>
    <b v="0"/>
    <b v="0"/>
    <b v="1"/>
    <n v="0"/>
    <m/>
    <n v="0"/>
    <m/>
  </r>
  <r>
    <s v="TX001514"/>
    <s v="AC00416"/>
    <n v="214.15"/>
    <d v="2023-10-30T17:07:54"/>
    <s v="Debit"/>
    <x v="8"/>
    <s v="D000531"/>
    <s v="210.228.226.64"/>
    <s v="M064"/>
    <s v="Branch"/>
    <n v="32"/>
    <s v="Engineer"/>
    <n v="217"/>
    <n v="1"/>
    <n v="6397.29"/>
    <d v="2024-11-04T08:10:59"/>
    <n v="17"/>
    <s v="Monday"/>
    <n v="-0.28581898125997901"/>
    <b v="0"/>
    <b v="0"/>
    <b v="1"/>
    <n v="0"/>
    <m/>
    <n v="0"/>
    <m/>
  </r>
  <r>
    <s v="TX001515"/>
    <s v="AC00272"/>
    <n v="71.34"/>
    <d v="2023-08-28T16:00:00"/>
    <s v="Debit"/>
    <x v="19"/>
    <s v="D000256"/>
    <s v="188.225.207.71"/>
    <s v="M021"/>
    <s v="Online"/>
    <n v="49"/>
    <s v="Engineer"/>
    <n v="144"/>
    <n v="3"/>
    <n v="6345.03"/>
    <d v="2024-11-04T08:09:43"/>
    <n v="16"/>
    <s v="Monday"/>
    <n v="-0.77498437809960197"/>
    <b v="0"/>
    <b v="1"/>
    <b v="1"/>
    <n v="1"/>
    <m/>
    <n v="0"/>
    <m/>
  </r>
  <r>
    <s v="TX001516"/>
    <s v="AC00468"/>
    <n v="170.36"/>
    <d v="2023-03-27T16:56:29"/>
    <s v="Debit"/>
    <x v="7"/>
    <s v="D000225"/>
    <s v="133.63.96.21"/>
    <s v="M091"/>
    <s v="ATM"/>
    <n v="30"/>
    <s v="Doctor"/>
    <n v="118"/>
    <n v="1"/>
    <n v="6034.73"/>
    <d v="2024-11-04T08:09:24"/>
    <n v="16"/>
    <s v="Monday"/>
    <n v="-0.43581234816430697"/>
    <b v="0"/>
    <b v="0"/>
    <b v="1"/>
    <n v="0"/>
    <m/>
    <n v="0"/>
    <m/>
  </r>
  <r>
    <s v="TX001517"/>
    <s v="AC00040"/>
    <n v="965.66"/>
    <d v="2023-12-18T17:22:16"/>
    <s v="Debit"/>
    <x v="3"/>
    <s v="D000244"/>
    <s v="81.102.230.41"/>
    <s v="M009"/>
    <s v="ATM"/>
    <n v="53"/>
    <s v="Engineer"/>
    <n v="32"/>
    <n v="1"/>
    <n v="765.81"/>
    <d v="2024-11-04T08:08:58"/>
    <n v="17"/>
    <s v="Monday"/>
    <n v="2.2883192960241399"/>
    <b v="1"/>
    <b v="0"/>
    <b v="1"/>
    <n v="1"/>
    <m/>
    <n v="1"/>
    <m/>
  </r>
  <r>
    <s v="TX001518"/>
    <s v="AC00302"/>
    <n v="736.53"/>
    <d v="2023-05-10T17:05:08"/>
    <s v="Debit"/>
    <x v="26"/>
    <s v="D000548"/>
    <s v="219.193.239.152"/>
    <s v="M065"/>
    <s v="ATM"/>
    <n v="55"/>
    <s v="Engineer"/>
    <n v="120"/>
    <n v="1"/>
    <n v="9826.26"/>
    <d v="2024-11-04T08:09:38"/>
    <n v="17"/>
    <s v="Wednesday"/>
    <n v="1.5034830284107801"/>
    <b v="0"/>
    <b v="0"/>
    <b v="1"/>
    <n v="0"/>
    <m/>
    <n v="0"/>
    <m/>
  </r>
  <r>
    <s v="TX001519"/>
    <s v="AC00271"/>
    <n v="213.42"/>
    <d v="2023-07-27T17:30:14"/>
    <s v="Debit"/>
    <x v="15"/>
    <s v="D000536"/>
    <s v="133.67.250.163"/>
    <s v="M052"/>
    <s v="ATM"/>
    <n v="45"/>
    <s v="Engineer"/>
    <n v="17"/>
    <n v="1"/>
    <n v="3736.38"/>
    <d v="2024-11-04T08:11:26"/>
    <n v="17"/>
    <s v="Thursday"/>
    <n v="-0.28831944158973799"/>
    <b v="0"/>
    <b v="0"/>
    <b v="1"/>
    <n v="0"/>
    <m/>
    <n v="0"/>
    <m/>
  </r>
  <r>
    <s v="TX001520"/>
    <s v="AC00495"/>
    <n v="94.09"/>
    <d v="2023-09-12T16:32:09"/>
    <s v="Debit"/>
    <x v="19"/>
    <s v="D000429"/>
    <s v="116.237.223.50"/>
    <s v="M042"/>
    <s v="Branch"/>
    <n v="27"/>
    <s v="Student"/>
    <n v="203"/>
    <n v="1"/>
    <n v="646.85"/>
    <d v="2024-11-04T08:10:29"/>
    <n v="16"/>
    <s v="Tuesday"/>
    <n v="-0.69705907330230898"/>
    <b v="0"/>
    <b v="0"/>
    <b v="1"/>
    <n v="0"/>
    <m/>
    <n v="0"/>
    <m/>
  </r>
  <r>
    <s v="TX001521"/>
    <s v="AC00246"/>
    <n v="91.23"/>
    <d v="2023-05-15T16:13:54"/>
    <s v="Debit"/>
    <x v="35"/>
    <s v="D000184"/>
    <s v="32.240.176.64"/>
    <s v="M003"/>
    <s v="ATM"/>
    <n v="72"/>
    <s v="Retired"/>
    <n v="86"/>
    <n v="1"/>
    <n v="6385.12"/>
    <d v="2024-11-04T08:08:29"/>
    <n v="16"/>
    <s v="Monday"/>
    <n v="-0.70685539733396896"/>
    <b v="0"/>
    <b v="0"/>
    <b v="1"/>
    <n v="0"/>
    <m/>
    <n v="0"/>
    <m/>
  </r>
  <r>
    <s v="TX001522"/>
    <s v="AC00139"/>
    <n v="263.92"/>
    <d v="2023-07-26T17:56:54"/>
    <s v="Credit"/>
    <x v="0"/>
    <s v="D000568"/>
    <s v="32.240.176.64"/>
    <s v="M074"/>
    <s v="Branch"/>
    <n v="57"/>
    <s v="Retired"/>
    <n v="233"/>
    <n v="1"/>
    <n v="4161.71"/>
    <d v="2024-11-04T08:10:43"/>
    <n v="17"/>
    <s v="Wednesday"/>
    <n v="-0.11534239138036199"/>
    <b v="0"/>
    <b v="0"/>
    <b v="1"/>
    <n v="0"/>
    <m/>
    <n v="0"/>
    <m/>
  </r>
  <r>
    <s v="TX001523"/>
    <s v="AC00298"/>
    <n v="77.5"/>
    <d v="2023-05-23T16:44:55"/>
    <s v="Credit"/>
    <x v="18"/>
    <s v="D000333"/>
    <s v="198.166.198.233"/>
    <s v="M061"/>
    <s v="Online"/>
    <n v="51"/>
    <s v="Doctor"/>
    <n v="201"/>
    <n v="1"/>
    <n v="11079.77"/>
    <d v="2024-11-04T08:08:15"/>
    <n v="16"/>
    <s v="Tuesday"/>
    <n v="-0.75388460326218198"/>
    <b v="0"/>
    <b v="0"/>
    <b v="1"/>
    <n v="0"/>
    <m/>
    <n v="0"/>
    <m/>
  </r>
  <r>
    <s v="TX001524"/>
    <s v="AC00246"/>
    <n v="3.65"/>
    <d v="2023-02-13T17:48:36"/>
    <s v="Debit"/>
    <x v="19"/>
    <s v="D000115"/>
    <s v="21.28.32.1"/>
    <s v="M098"/>
    <s v="Online"/>
    <n v="69"/>
    <s v="Doctor"/>
    <n v="146"/>
    <n v="1"/>
    <n v="10017.11"/>
    <d v="2024-11-04T08:11:01"/>
    <n v="17"/>
    <s v="Monday"/>
    <n v="-1.0068421311426199"/>
    <b v="0"/>
    <b v="0"/>
    <b v="1"/>
    <n v="0"/>
    <m/>
    <n v="0"/>
    <m/>
  </r>
  <r>
    <s v="TX001525"/>
    <s v="AC00323"/>
    <n v="43.88"/>
    <d v="2023-11-13T17:43:37"/>
    <s v="Credit"/>
    <x v="6"/>
    <s v="D000349"/>
    <s v="139.23.212.102"/>
    <s v="M038"/>
    <s v="Online"/>
    <n v="26"/>
    <s v="Student"/>
    <n v="251"/>
    <n v="1"/>
    <n v="1644.09"/>
    <d v="2024-11-04T08:08:21"/>
    <n v="17"/>
    <s v="Monday"/>
    <n v="-0.86904278995602702"/>
    <b v="0"/>
    <b v="0"/>
    <b v="1"/>
    <n v="0"/>
    <m/>
    <n v="0"/>
    <m/>
  </r>
  <r>
    <s v="TX001526"/>
    <s v="AC00310"/>
    <n v="591.98"/>
    <d v="2023-04-28T16:32:10"/>
    <s v="Debit"/>
    <x v="39"/>
    <s v="D000560"/>
    <s v="7.146.35.122"/>
    <s v="M069"/>
    <s v="ATM"/>
    <n v="28"/>
    <s v="Student"/>
    <n v="132"/>
    <n v="1"/>
    <n v="387.65"/>
    <d v="2024-11-04T08:07:44"/>
    <n v="16"/>
    <s v="Friday"/>
    <n v="1.0083576302372099"/>
    <b v="0"/>
    <b v="0"/>
    <b v="1"/>
    <n v="0"/>
    <m/>
    <n v="0"/>
    <m/>
  </r>
  <r>
    <s v="TX001527"/>
    <s v="AC00083"/>
    <n v="224.79"/>
    <d v="2023-08-22T16:34:34"/>
    <s v="Debit"/>
    <x v="35"/>
    <s v="D000208"/>
    <s v="3.11.254.2"/>
    <s v="M063"/>
    <s v="Online"/>
    <n v="18"/>
    <s v="Student"/>
    <n v="129"/>
    <n v="1"/>
    <n v="528.38"/>
    <d v="2024-11-04T08:10:25"/>
    <n v="16"/>
    <s v="Tuesday"/>
    <n v="-0.24937391563170699"/>
    <b v="0"/>
    <b v="0"/>
    <b v="1"/>
    <n v="0"/>
    <m/>
    <n v="0"/>
    <m/>
  </r>
  <r>
    <s v="TX001528"/>
    <s v="AC00222"/>
    <n v="64.3"/>
    <d v="2023-09-04T17:36:40"/>
    <s v="Debit"/>
    <x v="12"/>
    <s v="D000084"/>
    <s v="219.98.242.240"/>
    <s v="M015"/>
    <s v="ATM"/>
    <n v="55"/>
    <s v="Retired"/>
    <n v="67"/>
    <n v="1"/>
    <n v="7530.3"/>
    <d v="2024-11-04T08:11:58"/>
    <n v="17"/>
    <s v="Monday"/>
    <n v="-0.79909840648522601"/>
    <b v="0"/>
    <b v="0"/>
    <b v="1"/>
    <n v="0"/>
    <m/>
    <n v="0"/>
    <m/>
  </r>
  <r>
    <s v="TX001529"/>
    <s v="AC00459"/>
    <n v="111.79"/>
    <d v="2023-12-26T17:40:23"/>
    <s v="Debit"/>
    <x v="36"/>
    <s v="D000530"/>
    <s v="110.235.207.187"/>
    <s v="M056"/>
    <s v="Online"/>
    <n v="62"/>
    <s v="Doctor"/>
    <n v="49"/>
    <n v="1"/>
    <n v="10887.59"/>
    <d v="2024-11-04T08:11:34"/>
    <n v="17"/>
    <s v="Tuesday"/>
    <n v="-0.63643147352595397"/>
    <b v="0"/>
    <b v="0"/>
    <b v="1"/>
    <n v="0"/>
    <m/>
    <n v="0"/>
    <m/>
  </r>
  <r>
    <s v="TX001530"/>
    <s v="AC00091"/>
    <n v="927.16"/>
    <d v="2023-03-20T16:48:00"/>
    <s v="Debit"/>
    <x v="23"/>
    <s v="D000385"/>
    <s v="84.237.126.96"/>
    <s v="M013"/>
    <s v="ATM"/>
    <n v="59"/>
    <s v="Retired"/>
    <n v="153"/>
    <n v="1"/>
    <n v="7104.61"/>
    <d v="2024-11-04T08:10:20"/>
    <n v="16"/>
    <s v="Monday"/>
    <n v="2.15644570329026"/>
    <b v="1"/>
    <b v="0"/>
    <b v="1"/>
    <n v="1"/>
    <m/>
    <n v="1"/>
    <m/>
  </r>
  <r>
    <s v="TX001531"/>
    <s v="AC00122"/>
    <n v="613.70000000000005"/>
    <d v="2023-02-22T17:33:56"/>
    <s v="Credit"/>
    <x v="18"/>
    <s v="D000670"/>
    <s v="86.83.61.143"/>
    <s v="M055"/>
    <s v="Branch"/>
    <n v="61"/>
    <s v="Retired"/>
    <n v="37"/>
    <n v="1"/>
    <n v="7307.11"/>
    <d v="2024-11-04T08:10:53"/>
    <n v="17"/>
    <s v="Wednesday"/>
    <n v="1.0827548882678599"/>
    <b v="0"/>
    <b v="0"/>
    <b v="1"/>
    <n v="0"/>
    <m/>
    <n v="0"/>
    <m/>
  </r>
  <r>
    <s v="TX001532"/>
    <s v="AC00432"/>
    <n v="26.07"/>
    <d v="2023-03-16T17:00:29"/>
    <s v="Debit"/>
    <x v="21"/>
    <s v="D000552"/>
    <s v="194.174.252.1"/>
    <s v="M061"/>
    <s v="Branch"/>
    <n v="20"/>
    <s v="Student"/>
    <n v="19"/>
    <n v="3"/>
    <n v="349.98"/>
    <d v="2024-11-04T08:10:16"/>
    <n v="17"/>
    <s v="Thursday"/>
    <n v="-0.93004717142590798"/>
    <b v="0"/>
    <b v="1"/>
    <b v="1"/>
    <n v="1"/>
    <m/>
    <n v="0"/>
    <m/>
  </r>
  <r>
    <s v="TX001533"/>
    <s v="AC00218"/>
    <n v="170.45"/>
    <d v="2023-01-05T16:56:49"/>
    <s v="Debit"/>
    <x v="23"/>
    <s v="D000560"/>
    <s v="50.202.8.53"/>
    <s v="M026"/>
    <s v="Branch"/>
    <n v="60"/>
    <s v="Engineer"/>
    <n v="199"/>
    <n v="1"/>
    <n v="2284.41"/>
    <d v="2024-11-04T08:09:17"/>
    <n v="16"/>
    <s v="Thursday"/>
    <n v="-0.435504072233241"/>
    <b v="0"/>
    <b v="0"/>
    <b v="1"/>
    <n v="0"/>
    <m/>
    <n v="0"/>
    <m/>
  </r>
  <r>
    <s v="TX001534"/>
    <s v="AC00294"/>
    <n v="344.27"/>
    <d v="2023-09-19T17:23:14"/>
    <s v="Debit"/>
    <x v="25"/>
    <s v="D000172"/>
    <s v="214.125.131.88"/>
    <s v="M031"/>
    <s v="Branch"/>
    <n v="22"/>
    <s v="Student"/>
    <n v="123"/>
    <n v="1"/>
    <n v="1918.36"/>
    <d v="2024-11-04T08:09:37"/>
    <n v="17"/>
    <s v="Tuesday"/>
    <n v="0.159879509299307"/>
    <b v="0"/>
    <b v="0"/>
    <b v="1"/>
    <n v="0"/>
    <m/>
    <n v="0"/>
    <m/>
  </r>
  <r>
    <s v="TX001535"/>
    <s v="AC00407"/>
    <n v="872.72"/>
    <d v="2023-04-24T16:47:17"/>
    <s v="Debit"/>
    <x v="38"/>
    <s v="D000559"/>
    <s v="216.79.134.201"/>
    <s v="M033"/>
    <s v="Online"/>
    <n v="22"/>
    <s v="Student"/>
    <n v="288"/>
    <n v="1"/>
    <n v="503.01"/>
    <d v="2024-11-04T08:10:49"/>
    <n v="16"/>
    <s v="Monday"/>
    <n v="1.9699730178764301"/>
    <b v="0"/>
    <b v="0"/>
    <b v="1"/>
    <n v="0"/>
    <m/>
    <n v="0"/>
    <m/>
  </r>
  <r>
    <s v="TX001536"/>
    <s v="AC00480"/>
    <n v="292.95"/>
    <d v="2023-02-16T16:23:11"/>
    <s v="Debit"/>
    <x v="11"/>
    <s v="D000456"/>
    <s v="221.169.49.152"/>
    <s v="M055"/>
    <s v="Branch"/>
    <n v="37"/>
    <s v="Engineer"/>
    <n v="56"/>
    <n v="1"/>
    <n v="1216.9100000000001"/>
    <d v="2024-11-04T08:11:13"/>
    <n v="16"/>
    <s v="Thursday"/>
    <n v="-1.59062771708939E-2"/>
    <b v="0"/>
    <b v="0"/>
    <b v="1"/>
    <n v="0"/>
    <m/>
    <n v="0"/>
    <m/>
  </r>
  <r>
    <s v="TX001537"/>
    <s v="AC00367"/>
    <n v="28.44"/>
    <d v="2023-08-31T17:43:38"/>
    <s v="Debit"/>
    <x v="41"/>
    <s v="D000176"/>
    <s v="200.164.13.160"/>
    <s v="M047"/>
    <s v="ATM"/>
    <n v="18"/>
    <s v="Student"/>
    <n v="243"/>
    <n v="1"/>
    <n v="1071.04"/>
    <d v="2024-11-04T08:09:03"/>
    <n v="17"/>
    <s v="Thursday"/>
    <n v="-0.92192923857449804"/>
    <b v="0"/>
    <b v="0"/>
    <b v="1"/>
    <n v="0"/>
    <m/>
    <n v="0"/>
    <m/>
  </r>
  <r>
    <s v="TX001538"/>
    <s v="AC00324"/>
    <n v="209.02"/>
    <d v="2023-03-03T17:08:36"/>
    <s v="Debit"/>
    <x v="39"/>
    <s v="D000599"/>
    <s v="97.4.209.133"/>
    <s v="M008"/>
    <s v="ATM"/>
    <n v="21"/>
    <s v="Student"/>
    <n v="74"/>
    <n v="1"/>
    <n v="187.9"/>
    <d v="2024-11-04T08:11:19"/>
    <n v="17"/>
    <s v="Friday"/>
    <n v="-0.30339070933075302"/>
    <b v="0"/>
    <b v="0"/>
    <b v="1"/>
    <n v="0"/>
    <m/>
    <n v="0"/>
    <m/>
  </r>
  <r>
    <s v="TX001539"/>
    <s v="AC00253"/>
    <n v="20.05"/>
    <d v="2023-11-29T17:43:51"/>
    <s v="Debit"/>
    <x v="29"/>
    <s v="D000293"/>
    <s v="164.75.163.220"/>
    <s v="M018"/>
    <s v="ATM"/>
    <n v="72"/>
    <s v="Retired"/>
    <n v="171"/>
    <n v="1"/>
    <n v="7145.67"/>
    <d v="2024-11-04T08:08:00"/>
    <n v="17"/>
    <s v="Wednesday"/>
    <n v="-0.95066740592611498"/>
    <b v="0"/>
    <b v="0"/>
    <b v="1"/>
    <n v="0"/>
    <m/>
    <n v="0"/>
    <m/>
  </r>
  <r>
    <s v="TX001540"/>
    <s v="AC00344"/>
    <n v="175.02"/>
    <d v="2023-04-10T16:23:53"/>
    <s v="Debit"/>
    <x v="37"/>
    <s v="D000609"/>
    <s v="105.6.30.244"/>
    <s v="M092"/>
    <s v="Online"/>
    <n v="28"/>
    <s v="Student"/>
    <n v="71"/>
    <n v="1"/>
    <n v="1493.88"/>
    <d v="2024-11-04T08:09:21"/>
    <n v="16"/>
    <s v="Monday"/>
    <n v="-0.41985050551132302"/>
    <b v="0"/>
    <b v="0"/>
    <b v="1"/>
    <n v="0"/>
    <m/>
    <n v="0"/>
    <m/>
  </r>
  <r>
    <s v="TX001541"/>
    <s v="AC00153"/>
    <n v="89.5"/>
    <d v="2023-08-21T16:22:06"/>
    <s v="Credit"/>
    <x v="12"/>
    <s v="D000014"/>
    <s v="166.79.195.157"/>
    <s v="M020"/>
    <s v="Branch"/>
    <n v="41"/>
    <s v="Engineer"/>
    <n v="134"/>
    <n v="1"/>
    <n v="8658.9500000000007"/>
    <d v="2024-11-04T08:09:01"/>
    <n v="16"/>
    <s v="Monday"/>
    <n v="-0.71278114578668605"/>
    <b v="0"/>
    <b v="0"/>
    <b v="1"/>
    <n v="0"/>
    <m/>
    <n v="0"/>
    <m/>
  </r>
  <r>
    <s v="TX001542"/>
    <s v="AC00016"/>
    <n v="69.959999999999994"/>
    <d v="2023-10-16T17:43:00"/>
    <s v="Debit"/>
    <x v="21"/>
    <s v="D000397"/>
    <s v="184.146.10.88"/>
    <s v="M060"/>
    <s v="Branch"/>
    <n v="28"/>
    <s v="Student"/>
    <n v="31"/>
    <n v="1"/>
    <n v="164.12"/>
    <d v="2024-11-04T08:08:13"/>
    <n v="17"/>
    <s v="Monday"/>
    <n v="-0.779711275709284"/>
    <b v="0"/>
    <b v="0"/>
    <b v="1"/>
    <n v="0"/>
    <m/>
    <n v="0"/>
    <m/>
  </r>
  <r>
    <s v="TX001543"/>
    <s v="AC00291"/>
    <n v="146.51"/>
    <d v="2023-01-25T17:12:17"/>
    <s v="Debit"/>
    <x v="10"/>
    <s v="D000575"/>
    <s v="219.98.242.240"/>
    <s v="M097"/>
    <s v="ATM"/>
    <n v="53"/>
    <s v="Engineer"/>
    <n v="68"/>
    <n v="1"/>
    <n v="7089.9"/>
    <d v="2024-11-04T08:10:39"/>
    <n v="17"/>
    <s v="Wednesday"/>
    <n v="-0.51750546989685398"/>
    <b v="0"/>
    <b v="0"/>
    <b v="1"/>
    <n v="0"/>
    <m/>
    <n v="0"/>
    <m/>
  </r>
  <r>
    <s v="TX001544"/>
    <s v="AC00362"/>
    <n v="376.78"/>
    <d v="2023-08-14T17:25:14"/>
    <s v="Credit"/>
    <x v="9"/>
    <s v="D000602"/>
    <s v="81.248.235.147"/>
    <s v="M061"/>
    <s v="Online"/>
    <n v="21"/>
    <s v="Student"/>
    <n v="88"/>
    <n v="1"/>
    <n v="841.65"/>
    <d v="2024-11-04T08:07:49"/>
    <n v="17"/>
    <s v="Monday"/>
    <n v="0.27123562617667002"/>
    <b v="0"/>
    <b v="0"/>
    <b v="1"/>
    <n v="0"/>
    <m/>
    <n v="0"/>
    <m/>
  </r>
  <r>
    <s v="TX001545"/>
    <s v="AC00202"/>
    <n v="148.54"/>
    <d v="2023-12-22T16:25:16"/>
    <s v="Credit"/>
    <x v="15"/>
    <s v="D000156"/>
    <s v="145.179.219.57"/>
    <s v="M048"/>
    <s v="Branch"/>
    <n v="71"/>
    <s v="Retired"/>
    <n v="107"/>
    <n v="1"/>
    <n v="5677.05"/>
    <d v="2024-11-04T08:11:52"/>
    <n v="16"/>
    <s v="Friday"/>
    <n v="-0.51055213500724905"/>
    <b v="0"/>
    <b v="0"/>
    <b v="1"/>
    <n v="0"/>
    <m/>
    <n v="0"/>
    <m/>
  </r>
  <r>
    <s v="TX001546"/>
    <s v="AC00163"/>
    <n v="388.77"/>
    <d v="2023-12-11T16:57:08"/>
    <s v="Credit"/>
    <x v="36"/>
    <s v="D000215"/>
    <s v="49.20.211.229"/>
    <s v="M065"/>
    <s v="Online"/>
    <n v="26"/>
    <s v="Student"/>
    <n v="30"/>
    <n v="1"/>
    <n v="1658.49"/>
    <d v="2024-11-04T08:11:05"/>
    <n v="16"/>
    <s v="Monday"/>
    <n v="0.31230483077093502"/>
    <b v="0"/>
    <b v="0"/>
    <b v="1"/>
    <n v="0"/>
    <m/>
    <n v="0"/>
    <m/>
  </r>
  <r>
    <s v="TX001547"/>
    <s v="AC00123"/>
    <n v="100.38"/>
    <d v="2023-11-27T17:51:15"/>
    <s v="Debit"/>
    <x v="6"/>
    <s v="D000548"/>
    <s v="71.93.189.160"/>
    <s v="M060"/>
    <s v="Branch"/>
    <n v="63"/>
    <s v="Doctor"/>
    <n v="49"/>
    <n v="1"/>
    <n v="10171.68"/>
    <d v="2024-11-04T08:09:18"/>
    <n v="17"/>
    <s v="Monday"/>
    <n v="-0.67551401100890396"/>
    <b v="0"/>
    <b v="0"/>
    <b v="1"/>
    <n v="0"/>
    <m/>
    <n v="0"/>
    <m/>
  </r>
  <r>
    <s v="TX001548"/>
    <s v="AC00054"/>
    <n v="137.22999999999999"/>
    <d v="2023-04-07T16:50:22"/>
    <s v="Debit"/>
    <x v="41"/>
    <s v="D000207"/>
    <s v="82.51.236.134"/>
    <s v="M084"/>
    <s v="Branch"/>
    <n v="64"/>
    <s v="Doctor"/>
    <n v="63"/>
    <n v="1"/>
    <n v="13847.99"/>
    <d v="2024-11-04T08:08:41"/>
    <n v="16"/>
    <s v="Friday"/>
    <n v="-0.54929214367790402"/>
    <b v="0"/>
    <b v="0"/>
    <b v="1"/>
    <n v="0"/>
    <m/>
    <n v="0"/>
    <m/>
  </r>
  <r>
    <s v="TX001549"/>
    <s v="AC00172"/>
    <n v="870.3"/>
    <d v="2023-08-28T17:56:39"/>
    <s v="Debit"/>
    <x v="24"/>
    <s v="D000200"/>
    <s v="143.212.47.226"/>
    <s v="M003"/>
    <s v="ATM"/>
    <n v="51"/>
    <s v="Retired"/>
    <n v="229"/>
    <n v="1"/>
    <n v="3688.98"/>
    <d v="2024-11-04T08:08:54"/>
    <n v="17"/>
    <s v="Monday"/>
    <n v="1.96168382061887"/>
    <b v="0"/>
    <b v="0"/>
    <b v="1"/>
    <n v="0"/>
    <m/>
    <n v="0"/>
    <m/>
  </r>
  <r>
    <s v="TX001550"/>
    <s v="AC00176"/>
    <n v="458.94"/>
    <d v="2023-07-18T18:06:23"/>
    <s v="Debit"/>
    <x v="8"/>
    <s v="D000074"/>
    <s v="151.247.130.190"/>
    <s v="M076"/>
    <s v="Branch"/>
    <n v="52"/>
    <s v="Engineer"/>
    <n v="180"/>
    <n v="1"/>
    <n v="5619.95"/>
    <d v="2024-11-04T08:08:35"/>
    <n v="18"/>
    <s v="Tuesday"/>
    <n v="0.55265729835889399"/>
    <b v="0"/>
    <b v="0"/>
    <b v="1"/>
    <n v="0"/>
    <m/>
    <n v="0"/>
    <m/>
  </r>
  <r>
    <s v="TX001551"/>
    <s v="AC00093"/>
    <n v="327.35000000000002"/>
    <d v="2023-09-25T18:48:58"/>
    <s v="Credit"/>
    <x v="11"/>
    <s v="D000531"/>
    <s v="19.111.192.175"/>
    <s v="M059"/>
    <s v="Branch"/>
    <n v="20"/>
    <s v="Student"/>
    <n v="175"/>
    <n v="1"/>
    <n v="342.08"/>
    <d v="2024-11-04T08:11:19"/>
    <n v="18"/>
    <s v="Monday"/>
    <n v="0.101923634258859"/>
    <b v="0"/>
    <b v="0"/>
    <b v="1"/>
    <n v="0"/>
    <m/>
    <n v="0"/>
    <m/>
  </r>
  <r>
    <s v="TX001552"/>
    <s v="AC00310"/>
    <n v="757.15"/>
    <d v="2023-01-17T16:53:08"/>
    <s v="Debit"/>
    <x v="3"/>
    <s v="D000463"/>
    <s v="200.13.225.150"/>
    <s v="M085"/>
    <s v="Online"/>
    <n v="53"/>
    <s v="Engineer"/>
    <n v="38"/>
    <n v="1"/>
    <n v="4702.8599999999997"/>
    <d v="2024-11-04T08:08:06"/>
    <n v="16"/>
    <s v="Tuesday"/>
    <n v="1.5741124695061799"/>
    <b v="0"/>
    <b v="0"/>
    <b v="1"/>
    <n v="0"/>
    <m/>
    <n v="0"/>
    <m/>
  </r>
  <r>
    <s v="TX001553"/>
    <s v="AC00127"/>
    <n v="5.64"/>
    <d v="2023-03-08T16:57:30"/>
    <s v="Debit"/>
    <x v="35"/>
    <s v="D000691"/>
    <s v="77.208.193.198"/>
    <s v="M064"/>
    <s v="Online"/>
    <n v="59"/>
    <s v="Doctor"/>
    <n v="47"/>
    <n v="1"/>
    <n v="12703.24"/>
    <d v="2024-11-04T08:11:10"/>
    <n v="16"/>
    <s v="Wednesday"/>
    <n v="-1.00002580777793"/>
    <b v="0"/>
    <b v="0"/>
    <b v="1"/>
    <n v="0"/>
    <m/>
    <n v="0"/>
    <m/>
  </r>
  <r>
    <s v="TX001554"/>
    <s v="AC00286"/>
    <n v="47.23"/>
    <d v="2023-08-03T18:18:56"/>
    <s v="Credit"/>
    <x v="11"/>
    <s v="D000031"/>
    <s v="188.225.207.71"/>
    <s v="M034"/>
    <s v="Online"/>
    <n v="73"/>
    <s v="Retired"/>
    <n v="160"/>
    <n v="1"/>
    <n v="6659.81"/>
    <d v="2024-11-04T08:11:07"/>
    <n v="18"/>
    <s v="Thursday"/>
    <n v="-0.857568074744118"/>
    <b v="0"/>
    <b v="0"/>
    <b v="1"/>
    <n v="0"/>
    <m/>
    <n v="0"/>
    <m/>
  </r>
  <r>
    <s v="TX001555"/>
    <s v="AC00497"/>
    <n v="239.41"/>
    <d v="2023-11-01T17:23:46"/>
    <s v="Credit"/>
    <x v="21"/>
    <s v="D000693"/>
    <s v="145.246.171.225"/>
    <s v="M064"/>
    <s v="Online"/>
    <n v="42"/>
    <s v="Doctor"/>
    <n v="248"/>
    <n v="1"/>
    <n v="7860.65"/>
    <d v="2024-11-04T08:07:19"/>
    <n v="17"/>
    <s v="Wednesday"/>
    <n v="-0.199296203274062"/>
    <b v="0"/>
    <b v="0"/>
    <b v="1"/>
    <n v="0"/>
    <m/>
    <n v="0"/>
    <m/>
  </r>
  <r>
    <s v="TX001556"/>
    <s v="AC00475"/>
    <n v="7.48"/>
    <d v="2023-07-03T16:46:20"/>
    <s v="Debit"/>
    <x v="25"/>
    <s v="D000596"/>
    <s v="27.93.195.98"/>
    <s v="M025"/>
    <s v="ATM"/>
    <n v="55"/>
    <s v="Engineer"/>
    <n v="29"/>
    <n v="1"/>
    <n v="1275.2"/>
    <d v="2024-11-04T08:12:21"/>
    <n v="16"/>
    <s v="Monday"/>
    <n v="-0.99372327763169599"/>
    <b v="0"/>
    <b v="0"/>
    <b v="1"/>
    <n v="0"/>
    <m/>
    <n v="0"/>
    <m/>
  </r>
  <r>
    <s v="TX001557"/>
    <s v="AC00470"/>
    <n v="170.97"/>
    <d v="2023-05-01T17:04:30"/>
    <s v="Debit"/>
    <x v="9"/>
    <s v="D000259"/>
    <s v="187.52.200.18"/>
    <s v="M044"/>
    <s v="Branch"/>
    <n v="26"/>
    <s v="Student"/>
    <n v="292"/>
    <n v="1"/>
    <n v="1265.27"/>
    <d v="2024-11-04T08:07:51"/>
    <n v="17"/>
    <s v="Monday"/>
    <n v="-0.43372292240930299"/>
    <b v="0"/>
    <b v="0"/>
    <b v="1"/>
    <n v="0"/>
    <m/>
    <n v="0"/>
    <m/>
  </r>
  <r>
    <s v="TX001558"/>
    <s v="AC00245"/>
    <n v="262.43"/>
    <d v="2023-06-13T17:26:54"/>
    <s v="Credit"/>
    <x v="0"/>
    <s v="D000365"/>
    <s v="172.184.35.29"/>
    <s v="M046"/>
    <s v="Online"/>
    <n v="37"/>
    <s v="Doctor"/>
    <n v="274"/>
    <n v="5"/>
    <n v="12841.01"/>
    <d v="2024-11-04T08:07:46"/>
    <n v="17"/>
    <s v="Tuesday"/>
    <n v="-0.12044607068356999"/>
    <b v="0"/>
    <b v="1"/>
    <b v="1"/>
    <n v="1"/>
    <m/>
    <n v="0"/>
    <m/>
  </r>
  <r>
    <s v="TX001559"/>
    <s v="AC00480"/>
    <n v="659.15"/>
    <d v="2023-01-31T16:02:23"/>
    <s v="Debit"/>
    <x v="35"/>
    <s v="D000202"/>
    <s v="78.69.172.205"/>
    <s v="M014"/>
    <s v="ATM"/>
    <n v="22"/>
    <s v="Student"/>
    <n v="204"/>
    <n v="1"/>
    <n v="1241.5899999999999"/>
    <d v="2024-11-04T08:06:24"/>
    <n v="16"/>
    <s v="Tuesday"/>
    <n v="1.2384342334563001"/>
    <b v="0"/>
    <b v="0"/>
    <b v="1"/>
    <n v="0"/>
    <m/>
    <n v="0"/>
    <m/>
  </r>
  <r>
    <s v="TX001560"/>
    <s v="AC00011"/>
    <n v="31.53"/>
    <d v="2023-12-20T17:15:14"/>
    <s v="Debit"/>
    <x v="31"/>
    <s v="D000328"/>
    <s v="37.143.57.20"/>
    <s v="M095"/>
    <s v="Online"/>
    <n v="25"/>
    <s v="Student"/>
    <n v="283"/>
    <n v="1"/>
    <n v="874.93"/>
    <d v="2024-11-04T08:06:33"/>
    <n v="17"/>
    <s v="Wednesday"/>
    <n v="-0.91134509827455801"/>
    <b v="0"/>
    <b v="0"/>
    <b v="1"/>
    <n v="0"/>
    <m/>
    <n v="0"/>
    <m/>
  </r>
  <r>
    <s v="TX001561"/>
    <s v="AC00362"/>
    <n v="111.66"/>
    <d v="2023-06-07T18:18:32"/>
    <s v="Credit"/>
    <x v="38"/>
    <s v="D000384"/>
    <s v="62.251.170.72"/>
    <s v="M068"/>
    <s v="Online"/>
    <n v="48"/>
    <s v="Engineer"/>
    <n v="140"/>
    <n v="1"/>
    <n v="5716.72"/>
    <d v="2024-11-04T08:07:36"/>
    <n v="18"/>
    <s v="Wednesday"/>
    <n v="-0.63687676098193802"/>
    <b v="0"/>
    <b v="0"/>
    <b v="1"/>
    <n v="0"/>
    <m/>
    <n v="0"/>
    <m/>
  </r>
  <r>
    <s v="TX001562"/>
    <s v="AC00015"/>
    <n v="250.01"/>
    <d v="2023-11-06T16:28:15"/>
    <s v="Debit"/>
    <x v="31"/>
    <s v="D000191"/>
    <s v="157.47.114.20"/>
    <s v="M057"/>
    <s v="ATM"/>
    <n v="62"/>
    <s v="Retired"/>
    <n v="88"/>
    <n v="1"/>
    <n v="1541.48"/>
    <d v="2024-11-04T08:12:10"/>
    <n v="16"/>
    <s v="Monday"/>
    <n v="-0.162988149170707"/>
    <b v="0"/>
    <b v="0"/>
    <b v="1"/>
    <n v="0"/>
    <m/>
    <n v="0"/>
    <m/>
  </r>
  <r>
    <s v="TX001563"/>
    <s v="AC00112"/>
    <n v="554.15"/>
    <d v="2023-04-18T17:17:37"/>
    <s v="Debit"/>
    <x v="3"/>
    <s v="D000087"/>
    <s v="151.247.130.190"/>
    <s v="M066"/>
    <s v="ATM"/>
    <n v="49"/>
    <s v="Doctor"/>
    <n v="108"/>
    <n v="1"/>
    <n v="14817.22"/>
    <d v="2024-11-04T08:12:11"/>
    <n v="17"/>
    <s v="Tuesday"/>
    <n v="0.87877898054571901"/>
    <b v="0"/>
    <b v="0"/>
    <b v="1"/>
    <n v="0"/>
    <m/>
    <n v="0"/>
    <m/>
  </r>
  <r>
    <s v="TX001564"/>
    <s v="AC00057"/>
    <n v="598.66"/>
    <d v="2023-01-10T16:51:44"/>
    <s v="Credit"/>
    <x v="27"/>
    <s v="D000316"/>
    <s v="52.50.209.49"/>
    <s v="M032"/>
    <s v="Branch"/>
    <n v="32"/>
    <s v="Engineer"/>
    <n v="222"/>
    <n v="1"/>
    <n v="2587.11"/>
    <d v="2024-11-04T08:11:41"/>
    <n v="16"/>
    <s v="Tuesday"/>
    <n v="1.0312385548985701"/>
    <b v="0"/>
    <b v="0"/>
    <b v="1"/>
    <n v="0"/>
    <m/>
    <n v="0"/>
    <m/>
  </r>
  <r>
    <s v="TX001565"/>
    <s v="AC00393"/>
    <n v="28.38"/>
    <d v="2023-05-18T16:24:16"/>
    <s v="Debit"/>
    <x v="30"/>
    <s v="D000700"/>
    <s v="149.84.108.18"/>
    <s v="M083"/>
    <s v="Branch"/>
    <n v="55"/>
    <s v="Doctor"/>
    <n v="98"/>
    <n v="1"/>
    <n v="173.7"/>
    <d v="2024-11-04T08:08:56"/>
    <n v="16"/>
    <s v="Thursday"/>
    <n v="-0.92213475586187499"/>
    <b v="0"/>
    <b v="0"/>
    <b v="1"/>
    <n v="0"/>
    <m/>
    <n v="0"/>
    <m/>
  </r>
  <r>
    <s v="TX001566"/>
    <s v="AC00233"/>
    <n v="16.8"/>
    <d v="2023-11-27T17:01:48"/>
    <s v="Debit"/>
    <x v="0"/>
    <s v="D000426"/>
    <s v="86.220.59.252"/>
    <s v="M021"/>
    <s v="ATM"/>
    <n v="49"/>
    <s v="Doctor"/>
    <n v="94"/>
    <n v="1"/>
    <n v="11847.07"/>
    <d v="2024-11-04T08:09:51"/>
    <n v="17"/>
    <s v="Monday"/>
    <n v="-0.96179959232572798"/>
    <b v="0"/>
    <b v="0"/>
    <b v="1"/>
    <n v="0"/>
    <m/>
    <n v="0"/>
    <m/>
  </r>
  <r>
    <s v="TX001567"/>
    <s v="AC00466"/>
    <n v="896.79"/>
    <d v="2023-11-06T16:35:59"/>
    <s v="Debit"/>
    <x v="34"/>
    <s v="D000582"/>
    <s v="138.87.180.254"/>
    <s v="M087"/>
    <s v="Online"/>
    <n v="33"/>
    <s v="Doctor"/>
    <n v="168"/>
    <n v="1"/>
    <n v="11146.74"/>
    <d v="2024-11-04T08:06:45"/>
    <n v="16"/>
    <s v="Monday"/>
    <n v="2.0524197029960201"/>
    <b v="0"/>
    <b v="0"/>
    <b v="1"/>
    <n v="0"/>
    <m/>
    <n v="0"/>
    <m/>
  </r>
  <r>
    <s v="TX001568"/>
    <s v="AC00453"/>
    <n v="159"/>
    <d v="2023-03-06T18:04:32"/>
    <s v="Debit"/>
    <x v="17"/>
    <s v="D000545"/>
    <s v="77.92.193.22"/>
    <s v="M059"/>
    <s v="ATM"/>
    <n v="49"/>
    <s v="Engineer"/>
    <n v="38"/>
    <n v="1"/>
    <n v="369.79"/>
    <d v="2024-11-04T08:08:35"/>
    <n v="18"/>
    <s v="Monday"/>
    <n v="-0.47472362124110901"/>
    <b v="0"/>
    <b v="0"/>
    <b v="1"/>
    <n v="0"/>
    <m/>
    <n v="0"/>
    <m/>
  </r>
  <r>
    <s v="TX001569"/>
    <s v="AC00203"/>
    <n v="56.31"/>
    <d v="2023-09-27T17:54:16"/>
    <s v="Credit"/>
    <x v="1"/>
    <s v="D000038"/>
    <s v="18.72.115.111"/>
    <s v="M042"/>
    <s v="Online"/>
    <n v="75"/>
    <s v="Retired"/>
    <n v="195"/>
    <n v="1"/>
    <n v="6396.08"/>
    <d v="2024-11-04T08:08:12"/>
    <n v="17"/>
    <s v="Wednesday"/>
    <n v="-0.82646645858765999"/>
    <b v="0"/>
    <b v="0"/>
    <b v="1"/>
    <n v="0"/>
    <m/>
    <n v="0"/>
    <m/>
  </r>
  <r>
    <s v="TX001570"/>
    <s v="AC00228"/>
    <n v="203.99"/>
    <d v="2023-01-20T16:34:35"/>
    <s v="Debit"/>
    <x v="26"/>
    <s v="D000007"/>
    <s v="213.15.9.253"/>
    <s v="M073"/>
    <s v="Online"/>
    <n v="52"/>
    <s v="Retired"/>
    <n v="215"/>
    <n v="1"/>
    <n v="4840.3100000000004"/>
    <d v="2024-11-04T08:09:52"/>
    <n v="16"/>
    <s v="Friday"/>
    <n v="-0.32061990858923201"/>
    <b v="0"/>
    <b v="0"/>
    <b v="1"/>
    <n v="0"/>
    <m/>
    <n v="0"/>
    <m/>
  </r>
  <r>
    <s v="TX001571"/>
    <s v="AC00131"/>
    <n v="50.99"/>
    <d v="2023-10-31T16:45:07"/>
    <s v="Debit"/>
    <x v="8"/>
    <s v="D000217"/>
    <s v="147.119.62.178"/>
    <s v="M003"/>
    <s v="Branch"/>
    <n v="29"/>
    <s v="Doctor"/>
    <n v="76"/>
    <n v="1"/>
    <n v="1334.6"/>
    <d v="2024-11-04T08:10:00"/>
    <n v="16"/>
    <s v="Tuesday"/>
    <n v="-0.84468899140179599"/>
    <b v="0"/>
    <b v="0"/>
    <b v="1"/>
    <n v="0"/>
    <m/>
    <n v="0"/>
    <m/>
  </r>
  <r>
    <s v="TX001572"/>
    <s v="AC00247"/>
    <n v="101.28"/>
    <d v="2023-08-23T18:19:06"/>
    <s v="Credit"/>
    <x v="29"/>
    <s v="D000506"/>
    <s v="81.222.37.186"/>
    <s v="M023"/>
    <s v="Online"/>
    <n v="32"/>
    <s v="Engineer"/>
    <n v="75"/>
    <n v="1"/>
    <n v="2774.35"/>
    <d v="2024-11-04T08:06:44"/>
    <n v="18"/>
    <s v="Wednesday"/>
    <n v="-0.67243125169824203"/>
    <b v="0"/>
    <b v="0"/>
    <b v="1"/>
    <n v="0"/>
    <m/>
    <n v="0"/>
    <m/>
  </r>
  <r>
    <s v="TX001573"/>
    <s v="AC00425"/>
    <n v="299.92"/>
    <d v="2023-10-09T18:41:21"/>
    <s v="Debit"/>
    <x v="13"/>
    <s v="D000197"/>
    <s v="201.113.165.203"/>
    <s v="M007"/>
    <s v="ATM"/>
    <n v="27"/>
    <s v="Student"/>
    <n v="122"/>
    <n v="1"/>
    <n v="1368"/>
    <d v="2024-11-04T08:08:59"/>
    <n v="18"/>
    <s v="Monday"/>
    <n v="7.9679810461229308E-3"/>
    <b v="0"/>
    <b v="0"/>
    <b v="1"/>
    <n v="0"/>
    <m/>
    <n v="0"/>
    <m/>
  </r>
  <r>
    <s v="TX001574"/>
    <s v="AC00123"/>
    <n v="77.540000000000006"/>
    <d v="2023-02-01T17:12:47"/>
    <s v="Debit"/>
    <x v="37"/>
    <s v="D000352"/>
    <s v="79.47.176.19"/>
    <s v="M095"/>
    <s v="Online"/>
    <n v="67"/>
    <s v="Retired"/>
    <n v="73"/>
    <n v="1"/>
    <n v="4536.38"/>
    <d v="2024-11-04T08:10:22"/>
    <n v="17"/>
    <s v="Wednesday"/>
    <n v="-0.75374759173726302"/>
    <b v="0"/>
    <b v="0"/>
    <b v="1"/>
    <n v="0"/>
    <m/>
    <n v="0"/>
    <m/>
  </r>
  <r>
    <s v="TX001575"/>
    <s v="AC00139"/>
    <n v="18.350000000000001"/>
    <d v="2023-09-18T16:40:59"/>
    <s v="Debit"/>
    <x v="9"/>
    <s v="D000685"/>
    <s v="83.80.89.29"/>
    <s v="M035"/>
    <s v="Branch"/>
    <n v="21"/>
    <s v="Student"/>
    <n v="78"/>
    <n v="1"/>
    <n v="1293.3900000000001"/>
    <d v="2024-11-04T08:10:06"/>
    <n v="16"/>
    <s v="Monday"/>
    <n v="-0.95649039573514305"/>
    <b v="0"/>
    <b v="0"/>
    <b v="1"/>
    <n v="0"/>
    <m/>
    <n v="0"/>
    <m/>
  </r>
  <r>
    <s v="TX001576"/>
    <s v="AC00379"/>
    <n v="732.53"/>
    <d v="2023-05-22T16:54:00"/>
    <s v="Credit"/>
    <x v="24"/>
    <s v="D000677"/>
    <s v="220.179.173.114"/>
    <s v="M066"/>
    <s v="ATM"/>
    <n v="26"/>
    <s v="Student"/>
    <n v="116"/>
    <n v="1"/>
    <n v="441.54"/>
    <d v="2024-11-04T08:12:14"/>
    <n v="16"/>
    <s v="Monday"/>
    <n v="1.4897818759189501"/>
    <b v="0"/>
    <b v="0"/>
    <b v="1"/>
    <n v="0"/>
    <m/>
    <n v="0"/>
    <m/>
  </r>
  <r>
    <s v="TX001577"/>
    <s v="AC00059"/>
    <n v="65.11"/>
    <d v="2023-09-07T16:47:49"/>
    <s v="Debit"/>
    <x v="9"/>
    <s v="D000204"/>
    <s v="223.32.70.156"/>
    <s v="M026"/>
    <s v="ATM"/>
    <n v="34"/>
    <s v="Engineer"/>
    <n v="150"/>
    <n v="1"/>
    <n v="8485.14"/>
    <d v="2024-11-04T08:08:55"/>
    <n v="16"/>
    <s v="Thursday"/>
    <n v="-0.79632392310563005"/>
    <b v="0"/>
    <b v="0"/>
    <b v="1"/>
    <n v="0"/>
    <m/>
    <n v="0"/>
    <m/>
  </r>
  <r>
    <s v="TX001578"/>
    <s v="AC00233"/>
    <n v="67.069999999999993"/>
    <d v="2023-06-05T16:24:41"/>
    <s v="Credit"/>
    <x v="16"/>
    <s v="D000038"/>
    <s v="89.237.88.251"/>
    <s v="M048"/>
    <s v="ATM"/>
    <n v="24"/>
    <s v="Student"/>
    <n v="56"/>
    <n v="1"/>
    <n v="999.62"/>
    <d v="2024-11-04T08:10:33"/>
    <n v="16"/>
    <s v="Monday"/>
    <n v="-0.789610358384633"/>
    <b v="0"/>
    <b v="0"/>
    <b v="1"/>
    <n v="0"/>
    <m/>
    <n v="0"/>
    <m/>
  </r>
  <r>
    <s v="TX001579"/>
    <s v="AC00007"/>
    <n v="137.47999999999999"/>
    <d v="2023-11-27T17:34:33"/>
    <s v="Debit"/>
    <x v="6"/>
    <s v="D000206"/>
    <s v="66.255.7.16"/>
    <s v="M058"/>
    <s v="Branch"/>
    <n v="55"/>
    <s v="Doctor"/>
    <n v="47"/>
    <n v="1"/>
    <n v="14273.42"/>
    <d v="2024-11-04T08:08:46"/>
    <n v="17"/>
    <s v="Monday"/>
    <n v="-0.54843582164716398"/>
    <b v="0"/>
    <b v="0"/>
    <b v="1"/>
    <n v="0"/>
    <m/>
    <n v="0"/>
    <m/>
  </r>
  <r>
    <s v="TX001580"/>
    <s v="AC00028"/>
    <n v="398.36"/>
    <d v="2023-06-27T16:52:00"/>
    <s v="Debit"/>
    <x v="15"/>
    <s v="D000022"/>
    <s v="80.58.55.129"/>
    <s v="M006"/>
    <s v="ATM"/>
    <n v="22"/>
    <s v="Student"/>
    <n v="56"/>
    <n v="1"/>
    <n v="1863.7"/>
    <d v="2024-11-04T08:09:08"/>
    <n v="16"/>
    <s v="Tuesday"/>
    <n v="0.34515334387010199"/>
    <b v="0"/>
    <b v="0"/>
    <b v="1"/>
    <n v="0"/>
    <m/>
    <n v="0"/>
    <m/>
  </r>
  <r>
    <s v="TX001581"/>
    <s v="AC00428"/>
    <n v="469.46"/>
    <d v="2023-11-08T18:24:56"/>
    <s v="Debit"/>
    <x v="22"/>
    <s v="D000465"/>
    <s v="137.33.78.168"/>
    <s v="M068"/>
    <s v="ATM"/>
    <n v="20"/>
    <s v="Student"/>
    <n v="149"/>
    <n v="1"/>
    <n v="8640.56"/>
    <d v="2024-11-04T08:09:58"/>
    <n v="18"/>
    <s v="Wednesday"/>
    <n v="0.58869132941241098"/>
    <b v="0"/>
    <b v="0"/>
    <b v="1"/>
    <n v="0"/>
    <m/>
    <n v="0"/>
    <m/>
  </r>
  <r>
    <s v="TX001582"/>
    <s v="AC00242"/>
    <n v="37.58"/>
    <d v="2023-04-17T18:22:37"/>
    <s v="Debit"/>
    <x v="7"/>
    <s v="D000047"/>
    <s v="5.252.94.135"/>
    <s v="M051"/>
    <s v="ATM"/>
    <n v="57"/>
    <s v="Doctor"/>
    <n v="182"/>
    <n v="1"/>
    <n v="259.44"/>
    <d v="2024-11-04T08:12:14"/>
    <n v="18"/>
    <s v="Monday"/>
    <n v="-0.89062210513066298"/>
    <b v="0"/>
    <b v="0"/>
    <b v="1"/>
    <n v="0"/>
    <m/>
    <n v="0"/>
    <m/>
  </r>
  <r>
    <s v="TX001583"/>
    <s v="AC00447"/>
    <n v="160.24"/>
    <d v="2023-08-08T17:06:41"/>
    <s v="Debit"/>
    <x v="38"/>
    <s v="D000378"/>
    <s v="98.39.212.221"/>
    <s v="M019"/>
    <s v="ATM"/>
    <n v="31"/>
    <s v="Engineer"/>
    <n v="15"/>
    <n v="1"/>
    <n v="5526.97"/>
    <d v="2024-11-04T08:09:07"/>
    <n v="17"/>
    <s v="Tuesday"/>
    <n v="-0.47047626396864201"/>
    <b v="0"/>
    <b v="0"/>
    <b v="1"/>
    <n v="0"/>
    <m/>
    <n v="0"/>
    <m/>
  </r>
  <r>
    <s v="TX001584"/>
    <s v="AC00081"/>
    <n v="315.39"/>
    <d v="2023-05-26T16:52:33"/>
    <s v="Credit"/>
    <x v="22"/>
    <s v="D000066"/>
    <s v="60.89.202.192"/>
    <s v="M008"/>
    <s v="Branch"/>
    <n v="23"/>
    <s v="Student"/>
    <n v="93"/>
    <n v="1"/>
    <n v="929.6"/>
    <d v="2024-11-04T08:08:08"/>
    <n v="16"/>
    <s v="Friday"/>
    <n v="6.0957188308282097E-2"/>
    <b v="0"/>
    <b v="0"/>
    <b v="1"/>
    <n v="0"/>
    <m/>
    <n v="0"/>
    <m/>
  </r>
  <r>
    <s v="TX001585"/>
    <s v="AC00358"/>
    <n v="434.17"/>
    <d v="2023-01-05T16:40:09"/>
    <s v="Debit"/>
    <x v="4"/>
    <s v="D000238"/>
    <s v="161.161.26.115"/>
    <s v="M010"/>
    <s v="ATM"/>
    <n v="21"/>
    <s v="Student"/>
    <n v="148"/>
    <n v="5"/>
    <n v="5335.44"/>
    <d v="2024-11-04T08:09:50"/>
    <n v="16"/>
    <s v="Thursday"/>
    <n v="0.46781291155322602"/>
    <b v="0"/>
    <b v="1"/>
    <b v="1"/>
    <n v="1"/>
    <m/>
    <n v="0"/>
    <m/>
  </r>
  <r>
    <s v="TX001586"/>
    <s v="AC00254"/>
    <n v="165.91"/>
    <d v="2023-03-15T17:40:16"/>
    <s v="Debit"/>
    <x v="36"/>
    <s v="D000574"/>
    <s v="1.198.76.182"/>
    <s v="M084"/>
    <s v="ATM"/>
    <n v="26"/>
    <s v="Student"/>
    <n v="84"/>
    <n v="1"/>
    <n v="587.12"/>
    <d v="2024-11-04T08:09:22"/>
    <n v="17"/>
    <s v="Wednesday"/>
    <n v="-0.45105488031147001"/>
    <b v="0"/>
    <b v="0"/>
    <b v="1"/>
    <n v="0"/>
    <m/>
    <n v="0"/>
    <m/>
  </r>
  <r>
    <s v="TX001587"/>
    <s v="AC00241"/>
    <n v="211.36"/>
    <d v="2023-09-14T17:08:40"/>
    <s v="Debit"/>
    <x v="23"/>
    <s v="D000039"/>
    <s v="223.189.165.37"/>
    <s v="M020"/>
    <s v="Branch"/>
    <n v="47"/>
    <s v="Engineer"/>
    <n v="194"/>
    <n v="1"/>
    <n v="4760.34"/>
    <d v="2024-11-04T08:11:24"/>
    <n v="17"/>
    <s v="Thursday"/>
    <n v="-0.295375535123032"/>
    <b v="0"/>
    <b v="0"/>
    <b v="1"/>
    <n v="0"/>
    <m/>
    <n v="0"/>
    <m/>
  </r>
  <r>
    <s v="TX001588"/>
    <s v="AC00140"/>
    <n v="241.45"/>
    <d v="2023-07-24T16:02:33"/>
    <s v="Debit"/>
    <x v="42"/>
    <s v="D000435"/>
    <s v="133.63.96.21"/>
    <s v="M026"/>
    <s v="Online"/>
    <n v="26"/>
    <s v="Student"/>
    <n v="158"/>
    <n v="1"/>
    <n v="1594.04"/>
    <d v="2024-11-04T08:08:42"/>
    <n v="16"/>
    <s v="Monday"/>
    <n v="-0.192308615503227"/>
    <b v="0"/>
    <b v="0"/>
    <b v="1"/>
    <n v="0"/>
    <m/>
    <n v="0"/>
    <m/>
  </r>
  <r>
    <s v="TX001589"/>
    <s v="AC00132"/>
    <n v="23.24"/>
    <d v="2023-04-13T16:41:41"/>
    <s v="Debit"/>
    <x v="7"/>
    <s v="D000569"/>
    <s v="184.185.209.72"/>
    <s v="M054"/>
    <s v="Branch"/>
    <n v="68"/>
    <s v="Doctor"/>
    <n v="129"/>
    <n v="1"/>
    <n v="13777.79"/>
    <d v="2024-11-04T08:10:55"/>
    <n v="16"/>
    <s v="Thursday"/>
    <n v="-0.93974073681387904"/>
    <b v="0"/>
    <b v="0"/>
    <b v="1"/>
    <n v="0"/>
    <m/>
    <n v="0"/>
    <m/>
  </r>
  <r>
    <s v="TX001590"/>
    <s v="AC00035"/>
    <n v="70.88"/>
    <d v="2023-12-04T16:18:39"/>
    <s v="Credit"/>
    <x v="32"/>
    <s v="D000315"/>
    <s v="169.67.220.37"/>
    <s v="M087"/>
    <s v="Branch"/>
    <n v="74"/>
    <s v="Retired"/>
    <n v="176"/>
    <n v="1"/>
    <n v="1794.65"/>
    <d v="2024-11-04T08:06:26"/>
    <n v="16"/>
    <s v="Monday"/>
    <n v="-0.77656001063616298"/>
    <b v="0"/>
    <b v="0"/>
    <b v="1"/>
    <n v="0"/>
    <m/>
    <n v="0"/>
    <m/>
  </r>
  <r>
    <s v="TX001591"/>
    <s v="AC00172"/>
    <n v="1143.67"/>
    <d v="2023-10-30T16:18:48"/>
    <s v="Debit"/>
    <x v="4"/>
    <s v="D000056"/>
    <s v="184.4.253.143"/>
    <s v="M048"/>
    <s v="Online"/>
    <n v="66"/>
    <s v="Retired"/>
    <n v="111"/>
    <n v="1"/>
    <n v="7677.76"/>
    <d v="2024-11-04T08:10:41"/>
    <n v="16"/>
    <s v="Monday"/>
    <n v="2.8980548347918802"/>
    <b v="1"/>
    <b v="0"/>
    <b v="1"/>
    <n v="1"/>
    <m/>
    <n v="1"/>
    <m/>
  </r>
  <r>
    <s v="TX001592"/>
    <s v="AC00016"/>
    <n v="314.52"/>
    <d v="2023-03-20T17:21:43"/>
    <s v="Debit"/>
    <x v="11"/>
    <s v="D000361"/>
    <s v="146.69.70.214"/>
    <s v="M057"/>
    <s v="ATM"/>
    <n v="80"/>
    <s v="Retired"/>
    <n v="229"/>
    <n v="1"/>
    <n v="7071.32"/>
    <d v="2024-11-04T08:06:44"/>
    <n v="17"/>
    <s v="Monday"/>
    <n v="5.79771876413087E-2"/>
    <b v="0"/>
    <b v="0"/>
    <b v="1"/>
    <n v="0"/>
    <m/>
    <n v="0"/>
    <m/>
  </r>
  <r>
    <s v="TX001593"/>
    <s v="AC00382"/>
    <n v="181.81"/>
    <d v="2023-05-29T16:09:59"/>
    <s v="Credit"/>
    <x v="14"/>
    <s v="D000409"/>
    <s v="148.181.195.227"/>
    <s v="M026"/>
    <s v="Online"/>
    <n v="78"/>
    <s v="Retired"/>
    <n v="122"/>
    <n v="1"/>
    <n v="7525.73"/>
    <d v="2024-11-04T08:09:04"/>
    <n v="16"/>
    <s v="Monday"/>
    <n v="-0.39659279915643902"/>
    <b v="0"/>
    <b v="0"/>
    <b v="1"/>
    <n v="0"/>
    <m/>
    <n v="0"/>
    <m/>
  </r>
  <r>
    <s v="TX001594"/>
    <s v="AC00413"/>
    <n v="854.64"/>
    <d v="2023-11-07T18:57:13"/>
    <s v="Debit"/>
    <x v="18"/>
    <s v="D000445"/>
    <s v="174.61.77.54"/>
    <s v="M038"/>
    <s v="Branch"/>
    <n v="56"/>
    <s v="Retired"/>
    <n v="118"/>
    <n v="1"/>
    <n v="2989.25"/>
    <d v="2024-11-04T08:08:54"/>
    <n v="18"/>
    <s v="Tuesday"/>
    <n v="1.90804380861335"/>
    <b v="0"/>
    <b v="0"/>
    <b v="1"/>
    <n v="0"/>
    <m/>
    <n v="0"/>
    <m/>
  </r>
  <r>
    <s v="TX001595"/>
    <s v="AC00297"/>
    <n v="261.19"/>
    <d v="2023-01-12T17:12:22"/>
    <s v="Debit"/>
    <x v="5"/>
    <s v="D000608"/>
    <s v="88.55.149.101"/>
    <s v="M078"/>
    <s v="ATM"/>
    <n v="64"/>
    <s v="Retired"/>
    <n v="52"/>
    <n v="1"/>
    <n v="7620.6"/>
    <d v="2024-11-04T08:09:48"/>
    <n v="17"/>
    <s v="Thursday"/>
    <n v="-0.12469342795603799"/>
    <b v="0"/>
    <b v="0"/>
    <b v="1"/>
    <n v="0"/>
    <m/>
    <n v="0"/>
    <m/>
  </r>
  <r>
    <s v="TX001596"/>
    <s v="AC00207"/>
    <n v="220.68"/>
    <d v="2023-10-09T18:23:25"/>
    <s v="Credit"/>
    <x v="3"/>
    <s v="D000311"/>
    <s v="194.29.57.163"/>
    <s v="M050"/>
    <s v="Online"/>
    <n v="71"/>
    <s v="Retired"/>
    <n v="217"/>
    <n v="1"/>
    <n v="5549.2"/>
    <d v="2024-11-04T08:07:05"/>
    <n v="18"/>
    <s v="Monday"/>
    <n v="-0.26345184981706399"/>
    <b v="0"/>
    <b v="0"/>
    <b v="1"/>
    <n v="0"/>
    <m/>
    <n v="0"/>
    <m/>
  </r>
  <r>
    <s v="TX001597"/>
    <s v="AC00411"/>
    <n v="11.86"/>
    <d v="2023-09-05T16:43:36"/>
    <s v="Debit"/>
    <x v="30"/>
    <s v="D000165"/>
    <s v="148.112.151.27"/>
    <s v="M054"/>
    <s v="Branch"/>
    <n v="31"/>
    <s v="Engineer"/>
    <n v="129"/>
    <n v="1"/>
    <n v="6782.61"/>
    <d v="2024-11-04T08:08:52"/>
    <n v="16"/>
    <s v="Tuesday"/>
    <n v="-0.978720515653141"/>
    <b v="0"/>
    <b v="0"/>
    <b v="1"/>
    <n v="0"/>
    <m/>
    <n v="0"/>
    <m/>
  </r>
  <r>
    <s v="TX001598"/>
    <s v="AC00105"/>
    <n v="122.65"/>
    <d v="2023-08-17T16:26:57"/>
    <s v="Debit"/>
    <x v="15"/>
    <s v="D000253"/>
    <s v="119.199.76.61"/>
    <s v="M039"/>
    <s v="Online"/>
    <n v="28"/>
    <s v="Student"/>
    <n v="41"/>
    <n v="1"/>
    <n v="1968.51"/>
    <d v="2024-11-04T08:06:57"/>
    <n v="16"/>
    <s v="Thursday"/>
    <n v="-0.59923284451063097"/>
    <b v="0"/>
    <b v="0"/>
    <b v="1"/>
    <n v="0"/>
    <m/>
    <n v="0"/>
    <m/>
  </r>
  <r>
    <s v="TX001599"/>
    <s v="AC00002"/>
    <n v="395.16"/>
    <d v="2023-07-24T16:14:05"/>
    <s v="Debit"/>
    <x v="20"/>
    <s v="D000269"/>
    <s v="165.38.56.205"/>
    <s v="M059"/>
    <s v="Online"/>
    <n v="56"/>
    <s v="Retired"/>
    <n v="17"/>
    <n v="1"/>
    <n v="5340.73"/>
    <d v="2024-11-04T08:11:15"/>
    <n v="16"/>
    <s v="Monday"/>
    <n v="0.334192421876637"/>
    <b v="0"/>
    <b v="0"/>
    <b v="1"/>
    <n v="0"/>
    <m/>
    <n v="0"/>
    <m/>
  </r>
  <r>
    <s v="TX001600"/>
    <s v="AC00410"/>
    <n v="704.69"/>
    <d v="2023-07-18T17:22:49"/>
    <s v="Debit"/>
    <x v="17"/>
    <s v="D000451"/>
    <s v="50.202.8.53"/>
    <s v="M089"/>
    <s v="Online"/>
    <n v="51"/>
    <s v="Retired"/>
    <n v="150"/>
    <n v="1"/>
    <n v="3267.84"/>
    <d v="2024-11-04T08:10:51"/>
    <n v="17"/>
    <s v="Tuesday"/>
    <n v="1.3944218545758"/>
    <b v="0"/>
    <b v="0"/>
    <b v="1"/>
    <n v="0"/>
    <m/>
    <n v="0"/>
    <m/>
  </r>
  <r>
    <s v="TX001601"/>
    <s v="AC00492"/>
    <n v="369.89"/>
    <d v="2023-10-18T16:44:36"/>
    <s v="Debit"/>
    <x v="25"/>
    <s v="D000042"/>
    <s v="186.54.68.246"/>
    <s v="M083"/>
    <s v="ATM"/>
    <n v="69"/>
    <s v="Retired"/>
    <n v="69"/>
    <n v="1"/>
    <n v="6941.47"/>
    <d v="2024-11-04T08:11:27"/>
    <n v="16"/>
    <s v="Wednesday"/>
    <n v="0.247635391009489"/>
    <b v="0"/>
    <b v="0"/>
    <b v="1"/>
    <n v="0"/>
    <m/>
    <n v="0"/>
    <m/>
  </r>
  <r>
    <s v="TX001602"/>
    <s v="AC00095"/>
    <n v="10.92"/>
    <d v="2023-10-20T17:48:44"/>
    <s v="Debit"/>
    <x v="36"/>
    <s v="D000383"/>
    <s v="88.55.149.101"/>
    <s v="M090"/>
    <s v="ATM"/>
    <n v="67"/>
    <s v="Retired"/>
    <n v="268"/>
    <n v="1"/>
    <n v="7567.2"/>
    <d v="2024-11-04T08:08:28"/>
    <n v="17"/>
    <s v="Friday"/>
    <n v="-0.981940286488721"/>
    <b v="0"/>
    <b v="0"/>
    <b v="1"/>
    <n v="0"/>
    <m/>
    <n v="0"/>
    <m/>
  </r>
  <r>
    <s v="TX001603"/>
    <s v="AC00058"/>
    <n v="199.14"/>
    <d v="2023-08-02T17:32:29"/>
    <s v="Debit"/>
    <x v="6"/>
    <s v="D000073"/>
    <s v="187.199.178.27"/>
    <s v="M005"/>
    <s v="Branch"/>
    <n v="31"/>
    <s v="Engineer"/>
    <n v="36"/>
    <n v="1"/>
    <n v="7001.25"/>
    <d v="2024-11-04T08:10:52"/>
    <n v="17"/>
    <s v="Wednesday"/>
    <n v="-0.337232555985578"/>
    <b v="0"/>
    <b v="0"/>
    <b v="1"/>
    <n v="0"/>
    <m/>
    <n v="0"/>
    <m/>
  </r>
  <r>
    <s v="TX001604"/>
    <s v="AC00405"/>
    <n v="109.43"/>
    <d v="2023-01-11T18:07:25"/>
    <s v="Debit"/>
    <x v="13"/>
    <s v="D000670"/>
    <s v="33.212.169.157"/>
    <s v="M054"/>
    <s v="ATM"/>
    <n v="70"/>
    <s v="Retired"/>
    <n v="140"/>
    <n v="1"/>
    <n v="1983.65"/>
    <d v="2024-11-04T08:09:49"/>
    <n v="18"/>
    <s v="Wednesday"/>
    <n v="-0.64451515349613497"/>
    <b v="0"/>
    <b v="0"/>
    <b v="1"/>
    <n v="0"/>
    <m/>
    <n v="0"/>
    <m/>
  </r>
  <r>
    <s v="TX001605"/>
    <s v="AC00258"/>
    <n v="304.14999999999998"/>
    <d v="2023-11-28T16:09:34"/>
    <s v="Debit"/>
    <x v="4"/>
    <s v="D000012"/>
    <s v="214.67.148.245"/>
    <s v="M010"/>
    <s v="Branch"/>
    <n v="20"/>
    <s v="Student"/>
    <n v="40"/>
    <n v="1"/>
    <n v="686.91"/>
    <d v="2024-11-04T08:10:17"/>
    <n v="16"/>
    <s v="Tuesday"/>
    <n v="2.2456949806234801E-2"/>
    <b v="0"/>
    <b v="0"/>
    <b v="1"/>
    <n v="0"/>
    <m/>
    <n v="0"/>
    <m/>
  </r>
  <r>
    <s v="TX001606"/>
    <s v="AC00257"/>
    <n v="620.54"/>
    <d v="2023-03-27T16:26:46"/>
    <s v="Credit"/>
    <x v="32"/>
    <s v="D000078"/>
    <s v="161.168.126.136"/>
    <s v="M009"/>
    <s v="Branch"/>
    <n v="28"/>
    <s v="Student"/>
    <n v="98"/>
    <n v="1"/>
    <n v="213.36"/>
    <d v="2024-11-04T08:07:26"/>
    <n v="16"/>
    <s v="Monday"/>
    <n v="1.1061838590288899"/>
    <b v="0"/>
    <b v="0"/>
    <b v="1"/>
    <n v="0"/>
    <m/>
    <n v="0"/>
    <m/>
  </r>
  <r>
    <s v="TX001607"/>
    <s v="AC00317"/>
    <n v="757.79"/>
    <d v="2023-01-02T16:30:09"/>
    <s v="Debit"/>
    <x v="27"/>
    <s v="D000032"/>
    <s v="49.174.157.140"/>
    <s v="M034"/>
    <s v="Online"/>
    <n v="22"/>
    <s v="Student"/>
    <n v="117"/>
    <n v="1"/>
    <n v="1443.02"/>
    <d v="2024-11-04T08:08:27"/>
    <n v="16"/>
    <s v="Monday"/>
    <n v="1.57630465390487"/>
    <b v="0"/>
    <b v="0"/>
    <b v="1"/>
    <n v="0"/>
    <m/>
    <n v="0"/>
    <m/>
  </r>
  <r>
    <s v="TX001608"/>
    <s v="AC00409"/>
    <n v="122.81"/>
    <d v="2023-10-24T16:12:19"/>
    <s v="Debit"/>
    <x v="24"/>
    <s v="D000419"/>
    <s v="136.162.111.135"/>
    <s v="M010"/>
    <s v="Branch"/>
    <n v="52"/>
    <s v="Doctor"/>
    <n v="12"/>
    <n v="1"/>
    <n v="8450.84"/>
    <d v="2024-11-04T08:09:37"/>
    <n v="16"/>
    <s v="Tuesday"/>
    <n v="-0.59868479841095701"/>
    <b v="0"/>
    <b v="0"/>
    <b v="1"/>
    <n v="0"/>
    <m/>
    <n v="0"/>
    <m/>
  </r>
  <r>
    <s v="TX001609"/>
    <s v="AC00337"/>
    <n v="96.25"/>
    <d v="2023-07-27T16:01:41"/>
    <s v="Debit"/>
    <x v="1"/>
    <s v="D000359"/>
    <s v="27.215.118.94"/>
    <s v="M040"/>
    <s v="Online"/>
    <n v="61"/>
    <s v="Retired"/>
    <n v="171"/>
    <n v="1"/>
    <n v="7996.7"/>
    <d v="2024-11-04T08:06:36"/>
    <n v="16"/>
    <s v="Thursday"/>
    <n v="-0.68966045095672002"/>
    <b v="0"/>
    <b v="0"/>
    <b v="1"/>
    <n v="0"/>
    <m/>
    <n v="0"/>
    <m/>
  </r>
  <r>
    <s v="TX001610"/>
    <s v="AC00273"/>
    <n v="1431.33"/>
    <d v="2023-01-17T17:50:51"/>
    <s v="Debit"/>
    <x v="27"/>
    <s v="D000434"/>
    <s v="13.88.251.53"/>
    <s v="M075"/>
    <s v="ATM"/>
    <n v="30"/>
    <s v="Doctor"/>
    <n v="49"/>
    <n v="1"/>
    <n v="5567.98"/>
    <d v="2024-11-04T08:09:18"/>
    <n v="17"/>
    <s v="Tuesday"/>
    <n v="3.8833732162419601"/>
    <b v="1"/>
    <b v="0"/>
    <b v="1"/>
    <n v="1"/>
    <m/>
    <n v="1"/>
    <m/>
  </r>
  <r>
    <s v="TX001611"/>
    <s v="AC00056"/>
    <n v="142.55000000000001"/>
    <d v="2023-05-16T16:45:46"/>
    <s v="Debit"/>
    <x v="31"/>
    <s v="D000091"/>
    <s v="112.56.160.202"/>
    <s v="M071"/>
    <s v="Online"/>
    <n v="67"/>
    <s v="Doctor"/>
    <n v="97"/>
    <n v="1"/>
    <n v="1262.68"/>
    <d v="2024-11-04T08:07:26"/>
    <n v="16"/>
    <s v="Tuesday"/>
    <n v="-0.53106961086376703"/>
    <b v="0"/>
    <b v="0"/>
    <b v="1"/>
    <n v="0"/>
    <m/>
    <n v="0"/>
    <m/>
  </r>
  <r>
    <s v="TX001612"/>
    <s v="AC00259"/>
    <n v="35.94"/>
    <d v="2023-05-08T16:22:52"/>
    <s v="Credit"/>
    <x v="41"/>
    <s v="D000187"/>
    <s v="149.84.108.18"/>
    <s v="M050"/>
    <s v="Branch"/>
    <n v="23"/>
    <s v="Student"/>
    <n v="141"/>
    <n v="1"/>
    <n v="1697.28"/>
    <d v="2024-11-04T08:09:24"/>
    <n v="16"/>
    <s v="Monday"/>
    <n v="-0.89623957765231299"/>
    <b v="0"/>
    <b v="0"/>
    <b v="1"/>
    <n v="0"/>
    <m/>
    <n v="0"/>
    <m/>
  </r>
  <r>
    <s v="TX001613"/>
    <s v="AC00102"/>
    <n v="24.86"/>
    <d v="2023-02-13T16:53:36"/>
    <s v="Debit"/>
    <x v="36"/>
    <s v="D000340"/>
    <s v="52.50.209.49"/>
    <s v="M007"/>
    <s v="Branch"/>
    <n v="58"/>
    <s v="Engineer"/>
    <n v="292"/>
    <n v="1"/>
    <n v="2591.65"/>
    <d v="2024-11-04T08:12:04"/>
    <n v="16"/>
    <s v="Monday"/>
    <n v="-0.93419177005468701"/>
    <b v="0"/>
    <b v="0"/>
    <b v="1"/>
    <n v="0"/>
    <m/>
    <n v="0"/>
    <m/>
  </r>
  <r>
    <s v="TX001614"/>
    <s v="AC00165"/>
    <n v="103.08"/>
    <d v="2023-11-14T16:09:22"/>
    <s v="Debit"/>
    <x v="23"/>
    <s v="D000687"/>
    <s v="147.114.91.132"/>
    <s v="M009"/>
    <s v="Online"/>
    <n v="60"/>
    <s v="Doctor"/>
    <n v="109"/>
    <n v="1"/>
    <n v="12002.16"/>
    <d v="2024-11-04T08:10:18"/>
    <n v="16"/>
    <s v="Tuesday"/>
    <n v="-0.66626573307691705"/>
    <b v="0"/>
    <b v="0"/>
    <b v="1"/>
    <n v="0"/>
    <m/>
    <n v="0"/>
    <m/>
  </r>
  <r>
    <s v="TX001615"/>
    <s v="AC00455"/>
    <n v="116.27"/>
    <d v="2023-11-28T18:04:26"/>
    <s v="Debit"/>
    <x v="42"/>
    <s v="D000351"/>
    <s v="200.164.13.160"/>
    <s v="M011"/>
    <s v="Online"/>
    <n v="57"/>
    <s v="Engineer"/>
    <n v="94"/>
    <n v="1"/>
    <n v="8726.92"/>
    <d v="2024-11-04T08:11:49"/>
    <n v="18"/>
    <s v="Tuesday"/>
    <n v="-0.62108618273510197"/>
    <b v="0"/>
    <b v="0"/>
    <b v="1"/>
    <n v="0"/>
    <m/>
    <n v="0"/>
    <m/>
  </r>
  <r>
    <s v="TX001616"/>
    <s v="AC00030"/>
    <n v="363.84"/>
    <d v="2023-10-19T17:41:40"/>
    <s v="Debit"/>
    <x v="15"/>
    <s v="D000069"/>
    <s v="26.240.219.199"/>
    <s v="M048"/>
    <s v="Online"/>
    <n v="73"/>
    <s v="Retired"/>
    <n v="118"/>
    <n v="3"/>
    <n v="5415.64"/>
    <d v="2024-11-04T08:09:37"/>
    <n v="17"/>
    <s v="Thursday"/>
    <n v="0.226912397865594"/>
    <b v="0"/>
    <b v="1"/>
    <b v="1"/>
    <n v="1"/>
    <m/>
    <n v="0"/>
    <m/>
  </r>
  <r>
    <s v="TX001617"/>
    <s v="AC00114"/>
    <n v="34.74"/>
    <d v="2023-04-28T16:03:41"/>
    <s v="Credit"/>
    <x v="42"/>
    <s v="D000142"/>
    <s v="161.71.2.223"/>
    <s v="M075"/>
    <s v="Online"/>
    <n v="59"/>
    <s v="Retired"/>
    <n v="72"/>
    <n v="1"/>
    <n v="3736.57"/>
    <d v="2024-11-04T08:12:14"/>
    <n v="16"/>
    <s v="Friday"/>
    <n v="-0.90034992339986297"/>
    <b v="0"/>
    <b v="0"/>
    <b v="1"/>
    <n v="0"/>
    <m/>
    <n v="0"/>
    <m/>
  </r>
  <r>
    <s v="TX001618"/>
    <s v="AC00331"/>
    <n v="64.010000000000005"/>
    <d v="2023-10-30T18:14:15"/>
    <s v="Credit"/>
    <x v="26"/>
    <s v="D000051"/>
    <s v="150.83.4.238"/>
    <s v="M061"/>
    <s v="Branch"/>
    <n v="19"/>
    <s v="Student"/>
    <n v="240"/>
    <n v="1"/>
    <n v="1225.69"/>
    <d v="2024-11-04T08:08:26"/>
    <n v="18"/>
    <s v="Monday"/>
    <n v="-0.80009174004088401"/>
    <b v="0"/>
    <b v="0"/>
    <b v="1"/>
    <n v="0"/>
    <m/>
    <n v="0"/>
    <m/>
  </r>
  <r>
    <s v="TX001619"/>
    <s v="AC00305"/>
    <n v="108.75"/>
    <d v="2023-10-17T16:09:20"/>
    <s v="Debit"/>
    <x v="1"/>
    <s v="D000081"/>
    <s v="119.163.214.161"/>
    <s v="M097"/>
    <s v="ATM"/>
    <n v="50"/>
    <s v="Doctor"/>
    <n v="23"/>
    <n v="4"/>
    <n v="14829.85"/>
    <d v="2024-11-04T08:10:18"/>
    <n v="16"/>
    <s v="Tuesday"/>
    <n v="-0.646844349419746"/>
    <b v="0"/>
    <b v="1"/>
    <b v="1"/>
    <n v="1"/>
    <m/>
    <n v="0"/>
    <m/>
  </r>
  <r>
    <s v="TX001620"/>
    <s v="AC00015"/>
    <n v="50.9"/>
    <d v="2023-04-24T16:14:34"/>
    <s v="Credit"/>
    <x v="36"/>
    <s v="D000549"/>
    <s v="131.41.45.13"/>
    <s v="M089"/>
    <s v="Online"/>
    <n v="28"/>
    <s v="Student"/>
    <n v="150"/>
    <n v="1"/>
    <n v="1277.7"/>
    <d v="2024-11-04T08:06:36"/>
    <n v="16"/>
    <s v="Monday"/>
    <n v="-0.84499726733286296"/>
    <b v="0"/>
    <b v="0"/>
    <b v="1"/>
    <n v="0"/>
    <m/>
    <n v="0"/>
    <m/>
  </r>
  <r>
    <s v="TX001621"/>
    <s v="AC00270"/>
    <n v="206.84"/>
    <d v="2023-09-13T18:47:47"/>
    <s v="Debit"/>
    <x v="26"/>
    <s v="D000129"/>
    <s v="79.227.202.117"/>
    <s v="M010"/>
    <s v="Branch"/>
    <n v="20"/>
    <s v="Student"/>
    <n v="154"/>
    <n v="1"/>
    <n v="454.66"/>
    <d v="2024-11-04T08:10:50"/>
    <n v="18"/>
    <s v="Wednesday"/>
    <n v="-0.31085783743880202"/>
    <b v="0"/>
    <b v="0"/>
    <b v="1"/>
    <n v="0"/>
    <m/>
    <n v="0"/>
    <m/>
  </r>
  <r>
    <s v="TX001622"/>
    <s v="AC00063"/>
    <n v="37.4"/>
    <d v="2023-08-01T17:54:56"/>
    <s v="Debit"/>
    <x v="3"/>
    <s v="D000348"/>
    <s v="195.226.203.234"/>
    <s v="M012"/>
    <s v="ATM"/>
    <n v="20"/>
    <s v="Student"/>
    <n v="84"/>
    <n v="1"/>
    <n v="1519.51"/>
    <d v="2024-11-04T08:12:08"/>
    <n v="17"/>
    <s v="Tuesday"/>
    <n v="-0.89123865699279503"/>
    <b v="0"/>
    <b v="0"/>
    <b v="1"/>
    <n v="0"/>
    <m/>
    <n v="0"/>
    <m/>
  </r>
  <r>
    <s v="TX001623"/>
    <s v="AC00087"/>
    <n v="154.21"/>
    <d v="2023-01-02T16:01:26"/>
    <s v="Debit"/>
    <x v="19"/>
    <s v="D000549"/>
    <s v="190.251.45.32"/>
    <s v="M083"/>
    <s v="Online"/>
    <n v="46"/>
    <s v="Engineer"/>
    <n v="75"/>
    <n v="1"/>
    <n v="8045.77"/>
    <d v="2024-11-04T08:10:33"/>
    <n v="16"/>
    <s v="Monday"/>
    <n v="-0.491130751350078"/>
    <b v="0"/>
    <b v="0"/>
    <b v="1"/>
    <n v="0"/>
    <m/>
    <n v="0"/>
    <m/>
  </r>
  <r>
    <s v="TX001624"/>
    <s v="AC00130"/>
    <n v="199.37"/>
    <d v="2023-06-29T17:39:21"/>
    <s v="Debit"/>
    <x v="29"/>
    <s v="D000413"/>
    <s v="198.24.183.157"/>
    <s v="M083"/>
    <s v="Online"/>
    <n v="24"/>
    <s v="Student"/>
    <n v="79"/>
    <n v="1"/>
    <n v="1331.3"/>
    <d v="2024-11-04T08:08:44"/>
    <n v="17"/>
    <s v="Thursday"/>
    <n v="-0.33644473971729699"/>
    <b v="0"/>
    <b v="0"/>
    <b v="1"/>
    <n v="0"/>
    <m/>
    <n v="0"/>
    <m/>
  </r>
  <r>
    <s v="TX001625"/>
    <s v="AC00324"/>
    <n v="410.49"/>
    <d v="2023-07-25T16:47:16"/>
    <s v="Credit"/>
    <x v="4"/>
    <s v="D000364"/>
    <s v="70.130.169.235"/>
    <s v="M071"/>
    <s v="Branch"/>
    <n v="25"/>
    <s v="Student"/>
    <n v="134"/>
    <n v="1"/>
    <n v="1843.57"/>
    <d v="2024-11-04T08:10:38"/>
    <n v="16"/>
    <s v="Tuesday"/>
    <n v="0.38670208880158202"/>
    <b v="0"/>
    <b v="0"/>
    <b v="1"/>
    <n v="0"/>
    <m/>
    <n v="0"/>
    <m/>
  </r>
  <r>
    <s v="TX001626"/>
    <s v="AC00220"/>
    <n v="1360.01"/>
    <d v="2023-09-25T16:51:23"/>
    <s v="Credit"/>
    <x v="37"/>
    <s v="D000582"/>
    <s v="5.252.94.135"/>
    <s v="M096"/>
    <s v="Branch"/>
    <n v="67"/>
    <s v="Retired"/>
    <n v="218"/>
    <n v="1"/>
    <n v="6601.5"/>
    <d v="2024-11-04T08:11:58"/>
    <n v="16"/>
    <s v="Monday"/>
    <n v="3.6390816673125999"/>
    <b v="1"/>
    <b v="0"/>
    <b v="1"/>
    <n v="1"/>
    <m/>
    <n v="1"/>
    <m/>
  </r>
  <r>
    <s v="TX001627"/>
    <s v="AC00257"/>
    <n v="18.23"/>
    <d v="2023-03-22T17:31:23"/>
    <s v="Debit"/>
    <x v="9"/>
    <s v="D000187"/>
    <s v="193.217.248.188"/>
    <s v="M064"/>
    <s v="ATM"/>
    <n v="56"/>
    <s v="Engineer"/>
    <n v="28"/>
    <n v="1"/>
    <n v="8422.2000000000007"/>
    <d v="2024-11-04T08:11:20"/>
    <n v="17"/>
    <s v="Wednesday"/>
    <n v="-0.95690143030989805"/>
    <b v="0"/>
    <b v="0"/>
    <b v="1"/>
    <n v="0"/>
    <m/>
    <n v="0"/>
    <m/>
  </r>
  <r>
    <s v="TX001628"/>
    <s v="AC00141"/>
    <n v="398.7"/>
    <d v="2023-08-28T16:02:11"/>
    <s v="Debit"/>
    <x v="10"/>
    <s v="D000426"/>
    <s v="198.39.35.23"/>
    <s v="M006"/>
    <s v="ATM"/>
    <n v="47"/>
    <s v="Doctor"/>
    <n v="276"/>
    <n v="1"/>
    <n v="7987.74"/>
    <d v="2024-11-04T08:09:04"/>
    <n v="16"/>
    <s v="Monday"/>
    <n v="0.346317941831908"/>
    <b v="0"/>
    <b v="0"/>
    <b v="1"/>
    <n v="0"/>
    <m/>
    <n v="0"/>
    <m/>
  </r>
  <r>
    <s v="TX001629"/>
    <s v="AC00422"/>
    <n v="122.14"/>
    <d v="2023-02-20T16:20:28"/>
    <s v="Debit"/>
    <x v="32"/>
    <s v="D000381"/>
    <s v="57.141.198.111"/>
    <s v="M071"/>
    <s v="Online"/>
    <n v="22"/>
    <s v="Student"/>
    <n v="155"/>
    <n v="1"/>
    <n v="327.68"/>
    <d v="2024-11-04T08:08:04"/>
    <n v="16"/>
    <s v="Monday"/>
    <n v="-0.60097974145333899"/>
    <b v="0"/>
    <b v="0"/>
    <b v="1"/>
    <n v="0"/>
    <m/>
    <n v="0"/>
    <m/>
  </r>
  <r>
    <s v="TX001630"/>
    <s v="AC00334"/>
    <n v="378.2"/>
    <d v="2023-01-09T17:12:40"/>
    <s v="Debit"/>
    <x v="2"/>
    <s v="D000588"/>
    <s v="21.122.39.207"/>
    <s v="M008"/>
    <s v="Branch"/>
    <n v="40"/>
    <s v="Engineer"/>
    <n v="167"/>
    <n v="1"/>
    <n v="7372.81"/>
    <d v="2024-11-04T08:11:02"/>
    <n v="17"/>
    <s v="Monday"/>
    <n v="0.27609953531127002"/>
    <b v="0"/>
    <b v="0"/>
    <b v="1"/>
    <n v="0"/>
    <m/>
    <n v="0"/>
    <m/>
  </r>
  <r>
    <s v="TX001631"/>
    <s v="AC00175"/>
    <n v="124.74"/>
    <d v="2023-11-27T16:33:20"/>
    <s v="Debit"/>
    <x v="16"/>
    <s v="D000302"/>
    <s v="39.163.103.27"/>
    <s v="M038"/>
    <s v="ATM"/>
    <n v="49"/>
    <s v="Engineer"/>
    <n v="33"/>
    <n v="1"/>
    <n v="2987.97"/>
    <d v="2024-11-04T08:08:17"/>
    <n v="16"/>
    <s v="Monday"/>
    <n v="-0.59207399233364799"/>
    <b v="0"/>
    <b v="0"/>
    <b v="1"/>
    <n v="0"/>
    <m/>
    <n v="0"/>
    <m/>
  </r>
  <r>
    <s v="TX001632"/>
    <s v="AC00380"/>
    <n v="17.100000000000001"/>
    <d v="2023-12-25T16:56:06"/>
    <s v="Debit"/>
    <x v="10"/>
    <s v="D000415"/>
    <s v="209.214.250.164"/>
    <s v="M019"/>
    <s v="ATM"/>
    <n v="53"/>
    <s v="Retired"/>
    <n v="101"/>
    <n v="1"/>
    <n v="1619.54"/>
    <d v="2024-11-04T08:11:05"/>
    <n v="16"/>
    <s v="Monday"/>
    <n v="-0.96077200588884104"/>
    <b v="0"/>
    <b v="0"/>
    <b v="1"/>
    <n v="0"/>
    <m/>
    <n v="0"/>
    <m/>
  </r>
  <r>
    <s v="TX001633"/>
    <s v="AC00118"/>
    <n v="287.05"/>
    <d v="2023-04-14T16:00:51"/>
    <s v="Debit"/>
    <x v="20"/>
    <s v="D000356"/>
    <s v="141.169.67.34"/>
    <s v="M058"/>
    <s v="ATM"/>
    <n v="22"/>
    <s v="Student"/>
    <n v="212"/>
    <n v="1"/>
    <n v="1204.6500000000001"/>
    <d v="2024-11-04T08:10:59"/>
    <n v="16"/>
    <s v="Friday"/>
    <n v="-3.6115477096345702E-2"/>
    <b v="0"/>
    <b v="0"/>
    <b v="1"/>
    <n v="0"/>
    <m/>
    <n v="0"/>
    <m/>
  </r>
  <r>
    <s v="TX001634"/>
    <s v="AC00196"/>
    <n v="874.72"/>
    <d v="2023-03-03T16:21:27"/>
    <s v="Debit"/>
    <x v="23"/>
    <s v="D000101"/>
    <s v="200.164.13.160"/>
    <s v="M085"/>
    <s v="Online"/>
    <n v="28"/>
    <s v="Engineer"/>
    <n v="173"/>
    <n v="1"/>
    <n v="4630.58"/>
    <d v="2024-11-04T08:08:17"/>
    <n v="16"/>
    <s v="Friday"/>
    <n v="1.97682359412234"/>
    <b v="0"/>
    <b v="0"/>
    <b v="1"/>
    <n v="0"/>
    <m/>
    <n v="0"/>
    <m/>
  </r>
  <r>
    <s v="TX001635"/>
    <s v="AC00358"/>
    <n v="1762.28"/>
    <d v="2023-10-06T16:05:34"/>
    <s v="Debit"/>
    <x v="11"/>
    <s v="D000008"/>
    <s v="26.105.49.129"/>
    <s v="M066"/>
    <s v="ATM"/>
    <n v="24"/>
    <s v="Student"/>
    <n v="150"/>
    <n v="1"/>
    <n v="1380.34"/>
    <d v="2024-11-04T08:10:42"/>
    <n v="16"/>
    <s v="Friday"/>
    <n v="5.0169723205348902"/>
    <b v="1"/>
    <b v="0"/>
    <b v="1"/>
    <n v="1"/>
    <m/>
    <n v="1"/>
    <m/>
  </r>
  <r>
    <s v="TX001636"/>
    <s v="AC00465"/>
    <n v="40.119999999999997"/>
    <d v="2023-04-19T17:03:11"/>
    <s v="Credit"/>
    <x v="34"/>
    <s v="D000203"/>
    <s v="44.73.3.217"/>
    <s v="M016"/>
    <s v="ATM"/>
    <n v="36"/>
    <s v="Doctor"/>
    <n v="269"/>
    <n v="1"/>
    <n v="14304.38"/>
    <d v="2024-11-04T08:10:40"/>
    <n v="17"/>
    <s v="Wednesday"/>
    <n v="-0.88192187329834903"/>
    <b v="0"/>
    <b v="0"/>
    <b v="1"/>
    <n v="0"/>
    <m/>
    <n v="0"/>
    <m/>
  </r>
  <r>
    <s v="TX001637"/>
    <s v="AC00126"/>
    <n v="125"/>
    <d v="2023-06-05T16:19:55"/>
    <s v="Credit"/>
    <x v="7"/>
    <s v="D000617"/>
    <s v="98.39.212.221"/>
    <s v="M046"/>
    <s v="Online"/>
    <n v="49"/>
    <s v="Engineer"/>
    <n v="177"/>
    <n v="1"/>
    <n v="3215.76"/>
    <d v="2024-11-04T08:11:36"/>
    <n v="16"/>
    <s v="Monday"/>
    <n v="-0.59118341742167901"/>
    <b v="0"/>
    <b v="0"/>
    <b v="1"/>
    <n v="0"/>
    <m/>
    <n v="0"/>
    <m/>
  </r>
  <r>
    <s v="TX001638"/>
    <s v="AC00041"/>
    <n v="348.44"/>
    <d v="2023-11-06T17:58:34"/>
    <s v="Debit"/>
    <x v="21"/>
    <s v="D000668"/>
    <s v="175.166.115.182"/>
    <s v="M034"/>
    <s v="Online"/>
    <n v="24"/>
    <s v="Student"/>
    <n v="147"/>
    <n v="1"/>
    <n v="1022.94"/>
    <d v="2024-11-04T08:09:55"/>
    <n v="17"/>
    <s v="Monday"/>
    <n v="0.17416296077204199"/>
    <b v="0"/>
    <b v="0"/>
    <b v="1"/>
    <n v="0"/>
    <m/>
    <n v="0"/>
    <m/>
  </r>
  <r>
    <s v="TX001639"/>
    <s v="AC00403"/>
    <n v="128.4"/>
    <d v="2023-03-20T17:17:27"/>
    <s v="Debit"/>
    <x v="28"/>
    <s v="D000514"/>
    <s v="48.31.196.24"/>
    <s v="M065"/>
    <s v="ATM"/>
    <n v="69"/>
    <s v="Retired"/>
    <n v="31"/>
    <n v="1"/>
    <n v="2610.64"/>
    <d v="2024-11-04T08:11:44"/>
    <n v="17"/>
    <s v="Monday"/>
    <n v="-0.57953743780362199"/>
    <b v="0"/>
    <b v="0"/>
    <b v="1"/>
    <n v="0"/>
    <m/>
    <n v="0"/>
    <m/>
  </r>
  <r>
    <s v="TX001640"/>
    <s v="AC00155"/>
    <n v="320.93"/>
    <d v="2023-06-22T16:05:35"/>
    <s v="Debit"/>
    <x v="4"/>
    <s v="D000268"/>
    <s v="115.241.186.164"/>
    <s v="M026"/>
    <s v="Online"/>
    <n v="55"/>
    <s v="Engineer"/>
    <n v="178"/>
    <n v="1"/>
    <n v="9451.66"/>
    <d v="2024-11-04T08:10:27"/>
    <n v="16"/>
    <s v="Thursday"/>
    <n v="7.9933284509469196E-2"/>
    <b v="0"/>
    <b v="0"/>
    <b v="1"/>
    <n v="0"/>
    <m/>
    <n v="0"/>
    <m/>
  </r>
  <r>
    <s v="TX001641"/>
    <s v="AC00261"/>
    <n v="1.41"/>
    <d v="2023-06-07T17:02:33"/>
    <s v="Debit"/>
    <x v="30"/>
    <s v="D000344"/>
    <s v="170.225.23.251"/>
    <s v="M084"/>
    <s v="ATM"/>
    <n v="53"/>
    <s v="Retired"/>
    <n v="278"/>
    <n v="1"/>
    <n v="1244.17"/>
    <d v="2024-11-04T08:12:04"/>
    <n v="17"/>
    <s v="Wednesday"/>
    <n v="-1.01451477653805"/>
    <b v="0"/>
    <b v="0"/>
    <b v="1"/>
    <n v="0"/>
    <m/>
    <n v="0"/>
    <m/>
  </r>
  <r>
    <s v="TX001642"/>
    <s v="AC00480"/>
    <n v="50.52"/>
    <d v="2023-04-06T16:03:23"/>
    <s v="Debit"/>
    <x v="16"/>
    <s v="D000619"/>
    <s v="161.177.41.214"/>
    <s v="M065"/>
    <s v="Branch"/>
    <n v="54"/>
    <s v="Doctor"/>
    <n v="293"/>
    <n v="1"/>
    <n v="12815.24"/>
    <d v="2024-11-04T08:06:58"/>
    <n v="16"/>
    <s v="Thursday"/>
    <n v="-0.84629887681958704"/>
    <b v="0"/>
    <b v="0"/>
    <b v="1"/>
    <n v="0"/>
    <m/>
    <n v="0"/>
    <m/>
  </r>
  <r>
    <s v="TX001643"/>
    <s v="AC00291"/>
    <n v="383.95"/>
    <d v="2023-09-20T17:57:15"/>
    <s v="Credit"/>
    <x v="0"/>
    <s v="D000504"/>
    <s v="39.129.125.110"/>
    <s v="M068"/>
    <s v="Online"/>
    <n v="31"/>
    <s v="Engineer"/>
    <n v="143"/>
    <n v="1"/>
    <n v="9933.56"/>
    <d v="2024-11-04T08:07:55"/>
    <n v="17"/>
    <s v="Wednesday"/>
    <n v="0.295794942018278"/>
    <b v="0"/>
    <b v="0"/>
    <b v="1"/>
    <n v="0"/>
    <m/>
    <n v="0"/>
    <m/>
  </r>
  <r>
    <s v="TX001644"/>
    <s v="AC00154"/>
    <n v="12.94"/>
    <d v="2023-08-28T17:08:41"/>
    <s v="Debit"/>
    <x v="41"/>
    <s v="D000364"/>
    <s v="114.115.12.20"/>
    <s v="M098"/>
    <s v="Branch"/>
    <n v="23"/>
    <s v="Student"/>
    <n v="158"/>
    <n v="1"/>
    <n v="921.23"/>
    <d v="2024-11-04T08:10:32"/>
    <n v="17"/>
    <s v="Monday"/>
    <n v="-0.97502120448034602"/>
    <b v="0"/>
    <b v="0"/>
    <b v="1"/>
    <n v="0"/>
    <m/>
    <n v="0"/>
    <m/>
  </r>
  <r>
    <s v="TX001645"/>
    <s v="AC00106"/>
    <n v="329.75"/>
    <d v="2023-12-25T17:31:53"/>
    <s v="Debit"/>
    <x v="30"/>
    <s v="D000369"/>
    <s v="160.160.113.117"/>
    <s v="M064"/>
    <s v="Online"/>
    <n v="56"/>
    <s v="Retired"/>
    <n v="211"/>
    <n v="1"/>
    <n v="6009.43"/>
    <d v="2024-11-04T08:09:57"/>
    <n v="17"/>
    <s v="Monday"/>
    <n v="0.11014432575395799"/>
    <b v="0"/>
    <b v="0"/>
    <b v="1"/>
    <n v="0"/>
    <m/>
    <n v="0"/>
    <m/>
  </r>
  <r>
    <s v="TX001646"/>
    <s v="AC00378"/>
    <n v="981.76"/>
    <d v="2023-09-25T16:23:57"/>
    <s v="Debit"/>
    <x v="20"/>
    <s v="D000625"/>
    <s v="146.53.16.47"/>
    <s v="M040"/>
    <s v="Online"/>
    <n v="45"/>
    <s v="Doctor"/>
    <n v="234"/>
    <n v="1"/>
    <n v="602.36"/>
    <d v="2024-11-04T08:06:45"/>
    <n v="16"/>
    <s v="Monday"/>
    <n v="2.3434664348037599"/>
    <b v="1"/>
    <b v="0"/>
    <b v="1"/>
    <n v="1"/>
    <m/>
    <n v="1"/>
    <m/>
  </r>
  <r>
    <s v="TX001647"/>
    <s v="AC00303"/>
    <n v="40.79"/>
    <d v="2023-11-17T16:40:09"/>
    <s v="Debit"/>
    <x v="20"/>
    <s v="D000405"/>
    <s v="177.116.108.246"/>
    <s v="M061"/>
    <s v="ATM"/>
    <n v="18"/>
    <s v="Student"/>
    <n v="80"/>
    <n v="1"/>
    <n v="1769.33"/>
    <d v="2024-11-04T08:11:29"/>
    <n v="16"/>
    <s v="Friday"/>
    <n v="-0.87962693025596705"/>
    <b v="0"/>
    <b v="0"/>
    <b v="1"/>
    <n v="0"/>
    <m/>
    <n v="0"/>
    <m/>
  </r>
  <r>
    <s v="TX001648"/>
    <s v="AC00004"/>
    <n v="99.25"/>
    <d v="2023-06-26T16:53:58"/>
    <s v="Credit"/>
    <x v="37"/>
    <s v="D000524"/>
    <s v="17.87.7.140"/>
    <s v="M048"/>
    <s v="Online"/>
    <n v="63"/>
    <s v="Retired"/>
    <n v="93"/>
    <n v="1"/>
    <n v="2570.34"/>
    <d v="2024-11-04T08:07:33"/>
    <n v="16"/>
    <s v="Monday"/>
    <n v="-0.67938458658784595"/>
    <b v="0"/>
    <b v="0"/>
    <b v="1"/>
    <n v="0"/>
    <m/>
    <n v="0"/>
    <m/>
  </r>
  <r>
    <s v="TX001649"/>
    <s v="AC00157"/>
    <n v="150.6"/>
    <d v="2023-04-17T17:43:23"/>
    <s v="Debit"/>
    <x v="19"/>
    <s v="D000339"/>
    <s v="7.146.35.122"/>
    <s v="M080"/>
    <s v="ATM"/>
    <n v="69"/>
    <s v="Retired"/>
    <n v="59"/>
    <n v="1"/>
    <n v="3240.14"/>
    <d v="2024-11-04T08:07:30"/>
    <n v="17"/>
    <s v="Monday"/>
    <n v="-0.50349604147395599"/>
    <b v="0"/>
    <b v="0"/>
    <b v="1"/>
    <n v="0"/>
    <m/>
    <n v="0"/>
    <m/>
  </r>
  <r>
    <s v="TX001650"/>
    <s v="AC00434"/>
    <n v="29.5"/>
    <d v="2023-07-20T18:26:11"/>
    <s v="Debit"/>
    <x v="25"/>
    <s v="D000451"/>
    <s v="218.54.207.160"/>
    <s v="M008"/>
    <s v="Online"/>
    <n v="73"/>
    <s v="Retired"/>
    <n v="129"/>
    <n v="1"/>
    <n v="1229.32"/>
    <d v="2024-11-04T08:09:30"/>
    <n v="18"/>
    <s v="Thursday"/>
    <n v="-0.91829843316416304"/>
    <b v="0"/>
    <b v="0"/>
    <b v="1"/>
    <n v="0"/>
    <m/>
    <n v="0"/>
    <m/>
  </r>
  <r>
    <s v="TX001651"/>
    <s v="AC00438"/>
    <n v="54.34"/>
    <d v="2023-12-25T18:03:33"/>
    <s v="Debit"/>
    <x v="10"/>
    <s v="D000582"/>
    <s v="5.74.9.122"/>
    <s v="M035"/>
    <s v="ATM"/>
    <n v="65"/>
    <s v="Doctor"/>
    <n v="46"/>
    <n v="1"/>
    <n v="8019.89"/>
    <d v="2024-11-04T08:11:47"/>
    <n v="18"/>
    <s v="Monday"/>
    <n v="-0.83321427618988697"/>
    <b v="0"/>
    <b v="0"/>
    <b v="1"/>
    <n v="0"/>
    <m/>
    <n v="0"/>
    <m/>
  </r>
  <r>
    <s v="TX001652"/>
    <s v="AC00279"/>
    <n v="18.25"/>
    <d v="2023-08-16T16:41:21"/>
    <s v="Debit"/>
    <x v="31"/>
    <s v="D000179"/>
    <s v="39.129.125.110"/>
    <s v="M076"/>
    <s v="ATM"/>
    <n v="53"/>
    <s v="Doctor"/>
    <n v="18"/>
    <n v="1"/>
    <n v="14328.29"/>
    <d v="2024-11-04T08:08:43"/>
    <n v="16"/>
    <s v="Wednesday"/>
    <n v="-0.95683292454743896"/>
    <b v="0"/>
    <b v="0"/>
    <b v="1"/>
    <n v="0"/>
    <m/>
    <n v="0"/>
    <m/>
  </r>
  <r>
    <s v="TX001653"/>
    <s v="AC00458"/>
    <n v="633.87"/>
    <d v="2023-12-08T16:06:14"/>
    <s v="Debit"/>
    <x v="31"/>
    <s v="D000594"/>
    <s v="159.37.30.154"/>
    <s v="M067"/>
    <s v="Online"/>
    <n v="27"/>
    <s v="Student"/>
    <n v="175"/>
    <n v="1"/>
    <n v="330.16"/>
    <d v="2024-11-04T08:09:58"/>
    <n v="16"/>
    <s v="Friday"/>
    <n v="1.1518429497079199"/>
    <b v="0"/>
    <b v="0"/>
    <b v="1"/>
    <n v="0"/>
    <m/>
    <n v="0"/>
    <m/>
  </r>
  <r>
    <s v="TX001654"/>
    <s v="AC00166"/>
    <n v="81.150000000000006"/>
    <d v="2023-02-17T16:28:12"/>
    <s v="Debit"/>
    <x v="19"/>
    <s v="D000311"/>
    <s v="156.173.170.140"/>
    <s v="M059"/>
    <s v="ATM"/>
    <n v="19"/>
    <s v="Student"/>
    <n v="114"/>
    <n v="1"/>
    <n v="1595.26"/>
    <d v="2024-11-04T08:09:07"/>
    <n v="16"/>
    <s v="Friday"/>
    <n v="-0.74138230161338503"/>
    <b v="0"/>
    <b v="0"/>
    <b v="1"/>
    <n v="0"/>
    <m/>
    <n v="0"/>
    <m/>
  </r>
  <r>
    <s v="TX001655"/>
    <s v="AC00129"/>
    <n v="83.95"/>
    <d v="2023-06-14T16:16:25"/>
    <s v="Debit"/>
    <x v="22"/>
    <s v="D000288"/>
    <s v="60.89.202.192"/>
    <s v="M015"/>
    <s v="Online"/>
    <n v="75"/>
    <s v="Retired"/>
    <n v="170"/>
    <n v="1"/>
    <n v="7413.18"/>
    <d v="2024-11-04T08:06:37"/>
    <n v="16"/>
    <s v="Wednesday"/>
    <n v="-0.731791494869103"/>
    <b v="0"/>
    <b v="0"/>
    <b v="1"/>
    <n v="0"/>
    <m/>
    <n v="0"/>
    <m/>
  </r>
  <r>
    <s v="TX001656"/>
    <s v="AC00292"/>
    <n v="410.4"/>
    <d v="2023-05-19T16:00:10"/>
    <s v="Credit"/>
    <x v="33"/>
    <s v="D000534"/>
    <s v="181.223.246.123"/>
    <s v="M021"/>
    <s v="ATM"/>
    <n v="61"/>
    <s v="Retired"/>
    <n v="78"/>
    <n v="1"/>
    <n v="2563.91"/>
    <d v="2024-11-04T08:09:34"/>
    <n v="16"/>
    <s v="Friday"/>
    <n v="0.386393812870515"/>
    <b v="0"/>
    <b v="0"/>
    <b v="1"/>
    <n v="0"/>
    <m/>
    <n v="0"/>
    <m/>
  </r>
  <r>
    <s v="TX001657"/>
    <s v="AC00185"/>
    <n v="172.68"/>
    <d v="2023-02-20T16:07:41"/>
    <s v="Debit"/>
    <x v="21"/>
    <s v="D000371"/>
    <s v="81.67.222.238"/>
    <s v="M031"/>
    <s v="ATM"/>
    <n v="33"/>
    <s v="Doctor"/>
    <n v="17"/>
    <n v="1"/>
    <n v="10724.95"/>
    <d v="2024-11-04T08:07:49"/>
    <n v="16"/>
    <s v="Monday"/>
    <n v="-0.42786567971904499"/>
    <b v="0"/>
    <b v="0"/>
    <b v="1"/>
    <n v="0"/>
    <m/>
    <n v="0"/>
    <m/>
  </r>
  <r>
    <s v="TX001658"/>
    <s v="AC00498"/>
    <n v="139.88"/>
    <d v="2023-01-23T16:05:26"/>
    <s v="Debit"/>
    <x v="40"/>
    <s v="D000535"/>
    <s v="89.18.54.235"/>
    <s v="M024"/>
    <s v="ATM"/>
    <n v="34"/>
    <s v="Engineer"/>
    <n v="162"/>
    <n v="1"/>
    <n v="2969.71"/>
    <d v="2024-11-04T08:07:25"/>
    <n v="16"/>
    <s v="Monday"/>
    <n v="-0.54021513015206502"/>
    <b v="0"/>
    <b v="0"/>
    <b v="1"/>
    <n v="0"/>
    <m/>
    <n v="0"/>
    <m/>
  </r>
  <r>
    <s v="TX001659"/>
    <s v="AC00171"/>
    <n v="165.55"/>
    <d v="2023-10-02T18:21:39"/>
    <s v="Debit"/>
    <x v="34"/>
    <s v="D000639"/>
    <s v="116.44.12.250"/>
    <s v="M061"/>
    <s v="Branch"/>
    <n v="28"/>
    <s v="Student"/>
    <n v="115"/>
    <n v="1"/>
    <n v="761.78"/>
    <d v="2024-11-04T08:08:55"/>
    <n v="18"/>
    <s v="Monday"/>
    <n v="-0.452287984035735"/>
    <b v="0"/>
    <b v="0"/>
    <b v="1"/>
    <n v="0"/>
    <m/>
    <n v="0"/>
    <m/>
  </r>
  <r>
    <s v="TX001660"/>
    <s v="AC00456"/>
    <n v="53.79"/>
    <d v="2023-12-05T16:01:44"/>
    <s v="Credit"/>
    <x v="26"/>
    <s v="D000199"/>
    <s v="101.223.82.253"/>
    <s v="M072"/>
    <s v="ATM"/>
    <n v="54"/>
    <s v="Engineer"/>
    <n v="137"/>
    <n v="3"/>
    <n v="6229.36"/>
    <d v="2024-11-04T08:07:47"/>
    <n v="16"/>
    <s v="Tuesday"/>
    <n v="-0.83509818465751395"/>
    <b v="0"/>
    <b v="1"/>
    <b v="1"/>
    <n v="1"/>
    <m/>
    <n v="0"/>
    <m/>
  </r>
  <r>
    <s v="TX001661"/>
    <s v="AC00459"/>
    <n v="285.69"/>
    <d v="2023-12-06T18:15:42"/>
    <s v="Debit"/>
    <x v="19"/>
    <s v="D000132"/>
    <s v="141.169.67.34"/>
    <s v="M064"/>
    <s v="ATM"/>
    <n v="63"/>
    <s v="Retired"/>
    <n v="35"/>
    <n v="1"/>
    <n v="2552.54"/>
    <d v="2024-11-04T08:07:59"/>
    <n v="18"/>
    <s v="Wednesday"/>
    <n v="-4.0773868943568499E-2"/>
    <b v="0"/>
    <b v="0"/>
    <b v="1"/>
    <n v="0"/>
    <m/>
    <n v="0"/>
    <m/>
  </r>
  <r>
    <s v="TX001662"/>
    <s v="AC00090"/>
    <n v="532.4"/>
    <d v="2023-08-24T16:46:58"/>
    <s v="Debit"/>
    <x v="36"/>
    <s v="D000096"/>
    <s v="141.121.30.32"/>
    <s v="M027"/>
    <s v="ATM"/>
    <n v="22"/>
    <s v="Student"/>
    <n v="149"/>
    <n v="1"/>
    <n v="1033.73"/>
    <d v="2024-11-04T08:09:47"/>
    <n v="16"/>
    <s v="Thursday"/>
    <n v="0.80427896387138398"/>
    <b v="0"/>
    <b v="0"/>
    <b v="1"/>
    <n v="0"/>
    <m/>
    <n v="0"/>
    <m/>
  </r>
  <r>
    <s v="TX001663"/>
    <s v="AC00289"/>
    <n v="293.85000000000002"/>
    <d v="2023-08-10T16:23:08"/>
    <s v="Debit"/>
    <x v="27"/>
    <s v="D000460"/>
    <s v="206.168.209.111"/>
    <s v="M011"/>
    <s v="Online"/>
    <n v="25"/>
    <s v="Student"/>
    <n v="144"/>
    <n v="1"/>
    <n v="1919.97"/>
    <d v="2024-11-04T08:09:31"/>
    <n v="16"/>
    <s v="Thursday"/>
    <n v="-1.28235178602317E-2"/>
    <b v="0"/>
    <b v="0"/>
    <b v="1"/>
    <n v="0"/>
    <m/>
    <n v="0"/>
    <m/>
  </r>
  <r>
    <s v="TX001664"/>
    <s v="AC00063"/>
    <n v="27.94"/>
    <d v="2023-11-03T18:44:38"/>
    <s v="Debit"/>
    <x v="4"/>
    <s v="D000003"/>
    <s v="141.201.46.191"/>
    <s v="M093"/>
    <s v="Branch"/>
    <n v="79"/>
    <s v="Retired"/>
    <n v="120"/>
    <n v="1"/>
    <n v="1893.44"/>
    <d v="2024-11-04T08:08:30"/>
    <n v="18"/>
    <s v="Friday"/>
    <n v="-0.92364188263597702"/>
    <b v="0"/>
    <b v="0"/>
    <b v="1"/>
    <n v="0"/>
    <m/>
    <n v="0"/>
    <m/>
  </r>
  <r>
    <s v="TX001665"/>
    <s v="AC00394"/>
    <n v="270.36"/>
    <d v="2023-03-03T16:57:11"/>
    <s v="Debit"/>
    <x v="5"/>
    <s v="D000037"/>
    <s v="89.6.100.149"/>
    <s v="M044"/>
    <s v="ATM"/>
    <n v="25"/>
    <s v="Student"/>
    <n v="37"/>
    <n v="1"/>
    <n v="1783.04"/>
    <d v="2024-11-04T08:07:51"/>
    <n v="16"/>
    <s v="Friday"/>
    <n v="-9.3283535868513706E-2"/>
    <b v="0"/>
    <b v="0"/>
    <b v="1"/>
    <n v="0"/>
    <m/>
    <n v="0"/>
    <m/>
  </r>
  <r>
    <s v="TX001666"/>
    <s v="AC00241"/>
    <n v="112.66"/>
    <d v="2023-09-18T16:28:56"/>
    <s v="Debit"/>
    <x v="26"/>
    <s v="D000602"/>
    <s v="53.218.177.171"/>
    <s v="M049"/>
    <s v="Online"/>
    <n v="29"/>
    <s v="Engineer"/>
    <n v="176"/>
    <n v="3"/>
    <n v="852.98"/>
    <d v="2024-11-04T08:07:58"/>
    <n v="16"/>
    <s v="Monday"/>
    <n v="-0.63345147285897996"/>
    <b v="0"/>
    <b v="1"/>
    <b v="1"/>
    <n v="1"/>
    <m/>
    <n v="0"/>
    <m/>
  </r>
  <r>
    <s v="TX001667"/>
    <s v="AC00296"/>
    <n v="506.03"/>
    <d v="2023-07-12T16:14:08"/>
    <s v="Debit"/>
    <x v="8"/>
    <s v="D000669"/>
    <s v="115.30.82.168"/>
    <s v="M100"/>
    <s v="Branch"/>
    <n v="21"/>
    <s v="Student"/>
    <n v="21"/>
    <n v="1"/>
    <n v="1123.8900000000001"/>
    <d v="2024-11-04T08:09:26"/>
    <n v="16"/>
    <s v="Wednesday"/>
    <n v="0.71395411606898296"/>
    <b v="0"/>
    <b v="0"/>
    <b v="1"/>
    <n v="0"/>
    <m/>
    <n v="0"/>
    <m/>
  </r>
  <r>
    <s v="TX001668"/>
    <s v="AC00495"/>
    <n v="206.95"/>
    <d v="2023-08-03T16:19:27"/>
    <s v="Debit"/>
    <x v="6"/>
    <s v="D000603"/>
    <s v="142.160.124.244"/>
    <s v="M084"/>
    <s v="Branch"/>
    <n v="22"/>
    <s v="Student"/>
    <n v="31"/>
    <n v="1"/>
    <n v="1817.65"/>
    <d v="2024-11-04T08:07:36"/>
    <n v="16"/>
    <s v="Thursday"/>
    <n v="-0.31048105574527601"/>
    <b v="0"/>
    <b v="0"/>
    <b v="1"/>
    <n v="0"/>
    <m/>
    <n v="0"/>
    <m/>
  </r>
  <r>
    <s v="TX001669"/>
    <s v="AC00368"/>
    <n v="350.96"/>
    <d v="2023-06-08T16:26:48"/>
    <s v="Debit"/>
    <x v="28"/>
    <s v="D000458"/>
    <s v="97.106.5.76"/>
    <s v="M046"/>
    <s v="ATM"/>
    <n v="63"/>
    <s v="Retired"/>
    <n v="167"/>
    <n v="1"/>
    <n v="5463.94"/>
    <d v="2024-11-04T08:08:03"/>
    <n v="16"/>
    <s v="Thursday"/>
    <n v="0.18279468684189601"/>
    <b v="0"/>
    <b v="0"/>
    <b v="1"/>
    <n v="0"/>
    <m/>
    <n v="0"/>
    <m/>
  </r>
  <r>
    <s v="TX001670"/>
    <s v="AC00017"/>
    <n v="261.63"/>
    <d v="2023-05-29T18:27:43"/>
    <s v="Debit"/>
    <x v="29"/>
    <s v="D000622"/>
    <s v="77.7.223.184"/>
    <s v="M018"/>
    <s v="Branch"/>
    <n v="20"/>
    <s v="Student"/>
    <n v="150"/>
    <n v="1"/>
    <n v="477.03"/>
    <d v="2024-11-04T08:09:33"/>
    <n v="18"/>
    <s v="Monday"/>
    <n v="-0.12318630118193601"/>
    <b v="0"/>
    <b v="0"/>
    <b v="1"/>
    <n v="0"/>
    <m/>
    <n v="0"/>
    <m/>
  </r>
  <r>
    <s v="TX001671"/>
    <s v="AC00458"/>
    <n v="46.12"/>
    <d v="2023-06-05T17:28:06"/>
    <s v="Debit"/>
    <x v="41"/>
    <s v="D000527"/>
    <s v="152.234.65.155"/>
    <s v="M088"/>
    <s v="Branch"/>
    <n v="59"/>
    <s v="Doctor"/>
    <n v="30"/>
    <n v="1"/>
    <n v="8874.01"/>
    <d v="2024-11-04T08:08:32"/>
    <n v="17"/>
    <s v="Monday"/>
    <n v="-0.86137014456060201"/>
    <b v="0"/>
    <b v="0"/>
    <b v="1"/>
    <n v="0"/>
    <m/>
    <n v="0"/>
    <m/>
  </r>
  <r>
    <s v="TX001672"/>
    <s v="AC00335"/>
    <n v="27.25"/>
    <d v="2023-03-20T16:02:51"/>
    <s v="Credit"/>
    <x v="31"/>
    <s v="D000335"/>
    <s v="200.136.146.93"/>
    <s v="M082"/>
    <s v="Branch"/>
    <n v="63"/>
    <s v="Retired"/>
    <n v="92"/>
    <n v="1"/>
    <n v="5365.2"/>
    <d v="2024-11-04T08:09:28"/>
    <n v="16"/>
    <s v="Monday"/>
    <n v="-0.92600533144081798"/>
    <b v="0"/>
    <b v="0"/>
    <b v="1"/>
    <n v="0"/>
    <m/>
    <n v="0"/>
    <m/>
  </r>
  <r>
    <s v="TX001673"/>
    <s v="AC00344"/>
    <n v="1353.93"/>
    <d v="2023-11-15T17:32:11"/>
    <s v="Debit"/>
    <x v="39"/>
    <s v="D000681"/>
    <s v="80.75.92.66"/>
    <s v="M073"/>
    <s v="Branch"/>
    <n v="26"/>
    <s v="Engineer"/>
    <n v="171"/>
    <n v="1"/>
    <n v="7858.41"/>
    <d v="2024-11-04T08:08:50"/>
    <n v="17"/>
    <s v="Wednesday"/>
    <n v="3.6182559155250198"/>
    <b v="1"/>
    <b v="0"/>
    <b v="1"/>
    <n v="1"/>
    <m/>
    <n v="1"/>
    <m/>
  </r>
  <r>
    <s v="TX001674"/>
    <s v="AC00002"/>
    <n v="331.66"/>
    <d v="2023-09-11T17:52:59"/>
    <s v="Debit"/>
    <x v="17"/>
    <s v="D000041"/>
    <s v="1.198.76.182"/>
    <s v="M040"/>
    <s v="ATM"/>
    <n v="76"/>
    <s v="Retired"/>
    <n v="145"/>
    <n v="1"/>
    <n v="7216.3"/>
    <d v="2024-11-04T08:08:23"/>
    <n v="17"/>
    <s v="Monday"/>
    <n v="0.116686626068807"/>
    <b v="0"/>
    <b v="0"/>
    <b v="1"/>
    <n v="0"/>
    <m/>
    <n v="0"/>
    <m/>
  </r>
  <r>
    <s v="TX001675"/>
    <s v="AC00285"/>
    <n v="667.95"/>
    <d v="2023-07-27T17:51:27"/>
    <s v="Credit"/>
    <x v="5"/>
    <s v="D000250"/>
    <s v="221.23.158.87"/>
    <s v="M027"/>
    <s v="ATM"/>
    <n v="62"/>
    <s v="Doctor"/>
    <n v="253"/>
    <n v="1"/>
    <n v="13558.56"/>
    <d v="2024-11-04T08:08:19"/>
    <n v="17"/>
    <s v="Thursday"/>
    <n v="1.26857676893833"/>
    <b v="0"/>
    <b v="0"/>
    <b v="1"/>
    <n v="0"/>
    <m/>
    <n v="0"/>
    <m/>
  </r>
  <r>
    <s v="TX001676"/>
    <s v="AC00091"/>
    <n v="49.84"/>
    <d v="2023-10-13T16:05:10"/>
    <s v="Debit"/>
    <x v="29"/>
    <s v="D000290"/>
    <s v="212.220.106.248"/>
    <s v="M095"/>
    <s v="ATM"/>
    <n v="49"/>
    <s v="Doctor"/>
    <n v="146"/>
    <n v="1"/>
    <n v="7872.04"/>
    <d v="2024-11-04T08:07:16"/>
    <n v="16"/>
    <s v="Friday"/>
    <n v="-0.84862807274319796"/>
    <b v="0"/>
    <b v="0"/>
    <b v="1"/>
    <n v="0"/>
    <m/>
    <n v="0"/>
    <m/>
  </r>
  <r>
    <s v="TX001677"/>
    <s v="AC00399"/>
    <n v="556.04"/>
    <d v="2023-07-10T16:41:50"/>
    <s v="Debit"/>
    <x v="13"/>
    <s v="D000190"/>
    <s v="43.98.242.106"/>
    <s v="M022"/>
    <s v="ATM"/>
    <n v="72"/>
    <s v="Retired"/>
    <n v="27"/>
    <n v="1"/>
    <n v="5200.04"/>
    <d v="2024-11-04T08:07:38"/>
    <n v="16"/>
    <s v="Monday"/>
    <n v="0.88525277509810996"/>
    <b v="0"/>
    <b v="0"/>
    <b v="1"/>
    <n v="0"/>
    <m/>
    <n v="0"/>
    <m/>
  </r>
  <r>
    <s v="TX001678"/>
    <s v="AC00133"/>
    <n v="88.06"/>
    <d v="2023-10-27T17:53:06"/>
    <s v="Credit"/>
    <x v="3"/>
    <s v="D000515"/>
    <s v="35.220.238.127"/>
    <s v="M016"/>
    <s v="Online"/>
    <n v="18"/>
    <s v="Student"/>
    <n v="288"/>
    <n v="1"/>
    <n v="1779.85"/>
    <d v="2024-11-04T08:09:03"/>
    <n v="17"/>
    <s v="Friday"/>
    <n v="-0.71771356068374603"/>
    <b v="0"/>
    <b v="0"/>
    <b v="1"/>
    <n v="0"/>
    <m/>
    <n v="0"/>
    <m/>
  </r>
  <r>
    <s v="TX001679"/>
    <s v="AC00322"/>
    <n v="745.95"/>
    <d v="2023-12-15T16:38:43"/>
    <s v="Debit"/>
    <x v="11"/>
    <s v="D000688"/>
    <s v="68.254.244.208"/>
    <s v="M028"/>
    <s v="ATM"/>
    <n v="58"/>
    <s v="Doctor"/>
    <n v="127"/>
    <n v="1"/>
    <n v="13264.14"/>
    <d v="2024-11-04T08:11:10"/>
    <n v="16"/>
    <s v="Friday"/>
    <n v="1.53574924252905"/>
    <b v="0"/>
    <b v="0"/>
    <b v="1"/>
    <n v="0"/>
    <m/>
    <n v="0"/>
    <m/>
  </r>
  <r>
    <s v="TX001680"/>
    <s v="AC00247"/>
    <n v="67.25"/>
    <d v="2023-07-03T16:38:45"/>
    <s v="Debit"/>
    <x v="19"/>
    <s v="D000413"/>
    <s v="42.3.3.101"/>
    <s v="M013"/>
    <s v="Online"/>
    <n v="19"/>
    <s v="Student"/>
    <n v="157"/>
    <n v="1"/>
    <n v="467.4"/>
    <d v="2024-11-04T08:11:37"/>
    <n v="16"/>
    <s v="Monday"/>
    <n v="-0.78899380652249995"/>
    <b v="0"/>
    <b v="0"/>
    <b v="1"/>
    <n v="0"/>
    <m/>
    <n v="0"/>
    <m/>
  </r>
  <r>
    <s v="TX001681"/>
    <s v="AC00332"/>
    <n v="93.63"/>
    <d v="2023-08-21T18:11:41"/>
    <s v="Debit"/>
    <x v="22"/>
    <s v="D000532"/>
    <s v="166.41.54.117"/>
    <s v="M096"/>
    <s v="ATM"/>
    <n v="29"/>
    <s v="Engineer"/>
    <n v="141"/>
    <n v="1"/>
    <n v="9873.6200000000008"/>
    <d v="2024-11-04T08:09:57"/>
    <n v="18"/>
    <s v="Monday"/>
    <n v="-0.69863470583887"/>
    <b v="0"/>
    <b v="0"/>
    <b v="1"/>
    <n v="0"/>
    <m/>
    <n v="0"/>
    <m/>
  </r>
  <r>
    <s v="TX001682"/>
    <s v="AC00230"/>
    <n v="74.11"/>
    <d v="2023-07-18T16:05:40"/>
    <s v="Debit"/>
    <x v="24"/>
    <s v="D000547"/>
    <s v="203.174.215.229"/>
    <s v="M011"/>
    <s v="Branch"/>
    <n v="22"/>
    <s v="Student"/>
    <n v="49"/>
    <n v="1"/>
    <n v="1257.9000000000001"/>
    <d v="2024-11-04T08:09:02"/>
    <n v="16"/>
    <s v="Tuesday"/>
    <n v="-0.76549632999900896"/>
    <b v="0"/>
    <b v="0"/>
    <b v="1"/>
    <n v="0"/>
    <m/>
    <n v="0"/>
    <m/>
  </r>
  <r>
    <s v="TX001683"/>
    <s v="AC00019"/>
    <n v="41.13"/>
    <d v="2023-03-27T17:53:15"/>
    <s v="Credit"/>
    <x v="26"/>
    <s v="D000655"/>
    <s v="109.42.41.157"/>
    <s v="M030"/>
    <s v="Branch"/>
    <n v="77"/>
    <s v="Retired"/>
    <n v="58"/>
    <n v="1"/>
    <n v="6067.54"/>
    <d v="2024-11-04T08:10:03"/>
    <n v="17"/>
    <s v="Monday"/>
    <n v="-0.87846233229416204"/>
    <b v="0"/>
    <b v="0"/>
    <b v="1"/>
    <n v="0"/>
    <m/>
    <n v="0"/>
    <m/>
  </r>
  <r>
    <s v="TX001684"/>
    <s v="AC00446"/>
    <n v="192.02"/>
    <d v="2023-12-19T16:11:38"/>
    <s v="Credit"/>
    <x v="7"/>
    <s v="D000413"/>
    <s v="83.80.89.29"/>
    <s v="M025"/>
    <s v="Online"/>
    <n v="79"/>
    <s v="Retired"/>
    <n v="154"/>
    <n v="1"/>
    <n v="5169.07"/>
    <d v="2024-11-04T08:09:02"/>
    <n v="16"/>
    <s v="Tuesday"/>
    <n v="-0.36162060742103802"/>
    <b v="0"/>
    <b v="0"/>
    <b v="1"/>
    <n v="0"/>
    <m/>
    <n v="0"/>
    <m/>
  </r>
  <r>
    <s v="TX001685"/>
    <s v="AC00219"/>
    <n v="291.27"/>
    <d v="2023-06-19T17:58:54"/>
    <s v="Debit"/>
    <x v="8"/>
    <s v="D000119"/>
    <s v="184.59.28.72"/>
    <s v="M097"/>
    <s v="Branch"/>
    <n v="77"/>
    <s v="Retired"/>
    <n v="121"/>
    <n v="1"/>
    <n v="6878.86"/>
    <d v="2024-11-04T08:10:16"/>
    <n v="17"/>
    <s v="Monday"/>
    <n v="-2.1660761217463301E-2"/>
    <b v="0"/>
    <b v="0"/>
    <b v="1"/>
    <n v="0"/>
    <m/>
    <n v="0"/>
    <m/>
  </r>
  <r>
    <s v="TX001686"/>
    <s v="AC00050"/>
    <n v="296.45999999999998"/>
    <d v="2023-11-09T16:11:59"/>
    <s v="Debit"/>
    <x v="34"/>
    <s v="D000287"/>
    <s v="54.252.249.33"/>
    <s v="M046"/>
    <s v="Branch"/>
    <n v="23"/>
    <s v="Student"/>
    <n v="136"/>
    <n v="1"/>
    <n v="558.99"/>
    <d v="2024-11-04T08:08:19"/>
    <n v="16"/>
    <s v="Thursday"/>
    <n v="-3.8835158593116502E-3"/>
    <b v="0"/>
    <b v="0"/>
    <b v="1"/>
    <n v="0"/>
    <m/>
    <n v="0"/>
    <m/>
  </r>
  <r>
    <s v="TX001687"/>
    <s v="AC00449"/>
    <n v="341.84"/>
    <d v="2023-06-23T16:10:12"/>
    <s v="Credit"/>
    <x v="39"/>
    <s v="D000547"/>
    <s v="23.255.214.209"/>
    <s v="M026"/>
    <s v="Branch"/>
    <n v="27"/>
    <s v="Student"/>
    <n v="89"/>
    <n v="1"/>
    <n v="1400.04"/>
    <d v="2024-11-04T08:07:42"/>
    <n v="16"/>
    <s v="Friday"/>
    <n v="0.15155605916051901"/>
    <b v="0"/>
    <b v="0"/>
    <b v="1"/>
    <n v="0"/>
    <m/>
    <n v="0"/>
    <m/>
  </r>
  <r>
    <s v="TX001688"/>
    <s v="AC00426"/>
    <n v="98.41"/>
    <d v="2023-06-12T17:09:42"/>
    <s v="Debit"/>
    <x v="30"/>
    <s v="D000187"/>
    <s v="181.223.246.123"/>
    <s v="M052"/>
    <s v="Online"/>
    <n v="27"/>
    <s v="Student"/>
    <n v="48"/>
    <n v="1"/>
    <n v="912.71"/>
    <d v="2024-11-04T08:08:45"/>
    <n v="17"/>
    <s v="Monday"/>
    <n v="-0.68226182861113105"/>
    <b v="0"/>
    <b v="0"/>
    <b v="1"/>
    <n v="0"/>
    <m/>
    <n v="0"/>
    <m/>
  </r>
  <r>
    <s v="TX001689"/>
    <s v="AC00354"/>
    <n v="109.28"/>
    <d v="2023-06-09T16:20:12"/>
    <s v="Debit"/>
    <x v="0"/>
    <s v="D000047"/>
    <s v="159.37.30.154"/>
    <s v="M082"/>
    <s v="Online"/>
    <n v="36"/>
    <s v="Engineer"/>
    <n v="112"/>
    <n v="4"/>
    <n v="6338.35"/>
    <d v="2024-11-04T08:07:21"/>
    <n v="16"/>
    <s v="Friday"/>
    <n v="-0.645028946714578"/>
    <b v="0"/>
    <b v="1"/>
    <b v="1"/>
    <n v="1"/>
    <m/>
    <n v="0"/>
    <m/>
  </r>
  <r>
    <s v="TX001690"/>
    <s v="AC00313"/>
    <n v="27.51"/>
    <d v="2023-09-20T18:16:03"/>
    <s v="Credit"/>
    <x v="15"/>
    <s v="D000250"/>
    <s v="47.82.77.181"/>
    <s v="M057"/>
    <s v="Online"/>
    <n v="40"/>
    <s v="Doctor"/>
    <n v="103"/>
    <n v="1"/>
    <n v="13645.63"/>
    <d v="2024-11-04T08:06:27"/>
    <n v="18"/>
    <s v="Wednesday"/>
    <n v="-0.925114756528849"/>
    <b v="0"/>
    <b v="0"/>
    <b v="1"/>
    <n v="0"/>
    <m/>
    <n v="0"/>
    <m/>
  </r>
  <r>
    <s v="TX001691"/>
    <s v="AC00442"/>
    <n v="12.18"/>
    <d v="2023-04-20T18:50:39"/>
    <s v="Debit"/>
    <x v="22"/>
    <s v="D000326"/>
    <s v="190.152.148.249"/>
    <s v="M088"/>
    <s v="Branch"/>
    <n v="76"/>
    <s v="Retired"/>
    <n v="77"/>
    <n v="1"/>
    <n v="4909.24"/>
    <d v="2024-11-04T08:07:37"/>
    <n v="18"/>
    <s v="Thursday"/>
    <n v="-0.97762442345379397"/>
    <b v="0"/>
    <b v="0"/>
    <b v="1"/>
    <n v="0"/>
    <m/>
    <n v="0"/>
    <m/>
  </r>
  <r>
    <s v="TX001692"/>
    <s v="AC00318"/>
    <n v="207.71"/>
    <d v="2023-11-16T17:48:55"/>
    <s v="Credit"/>
    <x v="31"/>
    <s v="D000377"/>
    <s v="79.227.202.117"/>
    <s v="M066"/>
    <s v="Online"/>
    <n v="25"/>
    <s v="Student"/>
    <n v="63"/>
    <n v="1"/>
    <n v="570.1"/>
    <d v="2024-11-04T08:10:55"/>
    <n v="17"/>
    <s v="Thursday"/>
    <n v="-0.30787783677182801"/>
    <b v="0"/>
    <b v="0"/>
    <b v="1"/>
    <n v="0"/>
    <m/>
    <n v="0"/>
    <m/>
  </r>
  <r>
    <s v="TX001693"/>
    <s v="AC00232"/>
    <n v="25.77"/>
    <d v="2023-07-17T17:15:21"/>
    <s v="Credit"/>
    <x v="0"/>
    <s v="D000026"/>
    <s v="120.16.186.17"/>
    <s v="M078"/>
    <s v="Online"/>
    <n v="45"/>
    <s v="Doctor"/>
    <n v="277"/>
    <n v="1"/>
    <n v="11749.77"/>
    <d v="2024-11-04T08:10:33"/>
    <n v="17"/>
    <s v="Monday"/>
    <n v="-0.93107475786279603"/>
    <b v="0"/>
    <b v="0"/>
    <b v="1"/>
    <n v="0"/>
    <m/>
    <n v="0"/>
    <m/>
  </r>
  <r>
    <s v="TX001694"/>
    <s v="AC00424"/>
    <n v="127.57"/>
    <d v="2023-02-27T17:17:05"/>
    <s v="Debit"/>
    <x v="9"/>
    <s v="D000406"/>
    <s v="158.135.64.240"/>
    <s v="M049"/>
    <s v="ATM"/>
    <n v="52"/>
    <s v="Retired"/>
    <n v="75"/>
    <n v="1"/>
    <n v="6118.2"/>
    <d v="2024-11-04T08:10:45"/>
    <n v="17"/>
    <s v="Monday"/>
    <n v="-0.58238042694567704"/>
    <b v="0"/>
    <b v="0"/>
    <b v="1"/>
    <n v="0"/>
    <m/>
    <n v="0"/>
    <m/>
  </r>
  <r>
    <s v="TX001695"/>
    <s v="AC00393"/>
    <n v="392.05"/>
    <d v="2023-06-19T16:32:01"/>
    <s v="Debit"/>
    <x v="13"/>
    <s v="D000411"/>
    <s v="32.169.88.41"/>
    <s v="M099"/>
    <s v="ATM"/>
    <n v="60"/>
    <s v="Engineer"/>
    <n v="172"/>
    <n v="1"/>
    <n v="4383.6899999999996"/>
    <d v="2024-11-04T08:06:25"/>
    <n v="16"/>
    <s v="Monday"/>
    <n v="0.32353977581423699"/>
    <b v="0"/>
    <b v="0"/>
    <b v="1"/>
    <n v="0"/>
    <m/>
    <n v="0"/>
    <m/>
  </r>
  <r>
    <s v="TX001696"/>
    <s v="AC00175"/>
    <n v="521.01"/>
    <d v="2023-10-13T17:54:57"/>
    <s v="Credit"/>
    <x v="6"/>
    <s v="D000205"/>
    <s v="36.13.239.172"/>
    <s v="M041"/>
    <s v="Branch"/>
    <n v="41"/>
    <s v="Engineer"/>
    <n v="73"/>
    <n v="1"/>
    <n v="4004.55"/>
    <d v="2024-11-04T08:07:07"/>
    <n v="17"/>
    <s v="Friday"/>
    <n v="0.76526493215089297"/>
    <b v="0"/>
    <b v="0"/>
    <b v="1"/>
    <n v="0"/>
    <m/>
    <n v="0"/>
    <m/>
  </r>
  <r>
    <s v="TX001697"/>
    <s v="AC00108"/>
    <n v="849.76"/>
    <d v="2023-08-16T16:28:30"/>
    <s v="Debit"/>
    <x v="6"/>
    <s v="D000690"/>
    <s v="64.89.183.39"/>
    <s v="M023"/>
    <s v="ATM"/>
    <n v="25"/>
    <s v="Student"/>
    <n v="269"/>
    <n v="1"/>
    <n v="373.88"/>
    <d v="2024-11-04T08:07:50"/>
    <n v="16"/>
    <s v="Wednesday"/>
    <n v="1.8913284025733099"/>
    <b v="0"/>
    <b v="0"/>
    <b v="1"/>
    <n v="0"/>
    <m/>
    <n v="0"/>
    <m/>
  </r>
  <r>
    <s v="TX001698"/>
    <s v="AC00067"/>
    <n v="172.5"/>
    <d v="2023-11-14T16:23:09"/>
    <s v="Debit"/>
    <x v="15"/>
    <s v="D000635"/>
    <s v="203.99.96.114"/>
    <s v="M065"/>
    <s v="Online"/>
    <n v="68"/>
    <s v="Doctor"/>
    <n v="31"/>
    <n v="1"/>
    <n v="6851.16"/>
    <d v="2024-11-04T08:11:14"/>
    <n v="16"/>
    <s v="Tuesday"/>
    <n v="-0.42848223158117699"/>
    <b v="0"/>
    <b v="0"/>
    <b v="1"/>
    <n v="0"/>
    <m/>
    <n v="0"/>
    <m/>
  </r>
  <r>
    <s v="TX001699"/>
    <s v="AC00356"/>
    <n v="265.44"/>
    <d v="2023-01-17T16:41:18"/>
    <s v="Debit"/>
    <x v="25"/>
    <s v="D000341"/>
    <s v="10.223.224.50"/>
    <s v="M090"/>
    <s v="ATM"/>
    <n v="30"/>
    <s v="Engineer"/>
    <n v="169"/>
    <n v="1"/>
    <n v="9700.77"/>
    <d v="2024-11-04T08:09:38"/>
    <n v="16"/>
    <s v="Tuesday"/>
    <n v="-0.11013595343346599"/>
    <b v="0"/>
    <b v="0"/>
    <b v="1"/>
    <n v="0"/>
    <m/>
    <n v="0"/>
    <m/>
  </r>
  <r>
    <s v="TX001700"/>
    <s v="AC00244"/>
    <n v="152.34"/>
    <d v="2023-10-12T17:10:20"/>
    <s v="Debit"/>
    <x v="32"/>
    <s v="D000128"/>
    <s v="110.64.1.201"/>
    <s v="M044"/>
    <s v="Branch"/>
    <n v="55"/>
    <s v="Doctor"/>
    <n v="115"/>
    <n v="1"/>
    <n v="6853.51"/>
    <d v="2024-11-04T08:08:11"/>
    <n v="17"/>
    <s v="Thursday"/>
    <n v="-0.49753604014000902"/>
    <b v="0"/>
    <b v="0"/>
    <b v="1"/>
    <n v="0"/>
    <m/>
    <n v="0"/>
    <m/>
  </r>
  <r>
    <s v="TX001701"/>
    <s v="AC00244"/>
    <n v="21.13"/>
    <d v="2023-04-25T16:11:22"/>
    <s v="Debit"/>
    <x v="34"/>
    <s v="D000549"/>
    <s v="68.254.244.208"/>
    <s v="M090"/>
    <s v="Branch"/>
    <n v="28"/>
    <s v="Student"/>
    <n v="153"/>
    <n v="1"/>
    <n v="948.7"/>
    <d v="2024-11-04T08:10:17"/>
    <n v="16"/>
    <s v="Tuesday"/>
    <n v="-0.946968094753321"/>
    <b v="0"/>
    <b v="0"/>
    <b v="1"/>
    <n v="0"/>
    <m/>
    <n v="0"/>
    <m/>
  </r>
  <r>
    <s v="TX001702"/>
    <s v="AC00411"/>
    <n v="111.55"/>
    <d v="2023-12-28T16:27:12"/>
    <s v="Debit"/>
    <x v="13"/>
    <s v="D000632"/>
    <s v="81.156.221.124"/>
    <s v="M039"/>
    <s v="ATM"/>
    <n v="46"/>
    <s v="Doctor"/>
    <n v="101"/>
    <n v="1"/>
    <n v="12221.17"/>
    <d v="2024-11-04T08:08:09"/>
    <n v="16"/>
    <s v="Thursday"/>
    <n v="-0.63725354267546397"/>
    <b v="0"/>
    <b v="0"/>
    <b v="1"/>
    <n v="0"/>
    <m/>
    <n v="0"/>
    <m/>
  </r>
  <r>
    <s v="TX001703"/>
    <s v="AC00294"/>
    <n v="321.82"/>
    <d v="2023-07-14T16:20:55"/>
    <s v="Credit"/>
    <x v="3"/>
    <s v="D000518"/>
    <s v="100.137.90.188"/>
    <s v="M049"/>
    <s v="Branch"/>
    <n v="32"/>
    <s v="Engineer"/>
    <n v="43"/>
    <n v="1"/>
    <n v="6500.5"/>
    <d v="2024-11-04T08:08:22"/>
    <n v="16"/>
    <s v="Friday"/>
    <n v="8.2981790938901706E-2"/>
    <b v="0"/>
    <b v="0"/>
    <b v="1"/>
    <n v="0"/>
    <m/>
    <n v="0"/>
    <m/>
  </r>
  <r>
    <s v="TX001704"/>
    <s v="AC00205"/>
    <n v="1294.81"/>
    <d v="2023-12-11T16:53:08"/>
    <s v="Credit"/>
    <x v="38"/>
    <s v="D000489"/>
    <s v="76.0.164.168"/>
    <s v="M026"/>
    <s v="Branch"/>
    <n v="45"/>
    <s v="Engineer"/>
    <n v="279"/>
    <n v="1"/>
    <n v="9927.75"/>
    <d v="2024-11-04T08:11:44"/>
    <n v="16"/>
    <s v="Monday"/>
    <n v="3.4157528816957399"/>
    <b v="1"/>
    <b v="0"/>
    <b v="1"/>
    <n v="1"/>
    <m/>
    <n v="1"/>
    <m/>
  </r>
  <r>
    <s v="TX001705"/>
    <s v="AC00155"/>
    <n v="148.77000000000001"/>
    <d v="2023-03-30T18:20:58"/>
    <s v="Debit"/>
    <x v="24"/>
    <s v="D000179"/>
    <s v="140.94.123.72"/>
    <s v="M083"/>
    <s v="Branch"/>
    <n v="67"/>
    <s v="Retired"/>
    <n v="175"/>
    <n v="1"/>
    <n v="2138.42"/>
    <d v="2024-11-04T08:11:51"/>
    <n v="18"/>
    <s v="Thursday"/>
    <n v="-0.50976431873896899"/>
    <b v="0"/>
    <b v="0"/>
    <b v="1"/>
    <n v="0"/>
    <m/>
    <n v="0"/>
    <m/>
  </r>
  <r>
    <s v="TX001706"/>
    <s v="AC00305"/>
    <n v="14.08"/>
    <d v="2023-02-06T18:18:26"/>
    <s v="Debit"/>
    <x v="34"/>
    <s v="D000447"/>
    <s v="101.90.40.193"/>
    <s v="M059"/>
    <s v="Branch"/>
    <n v="57"/>
    <s v="Retired"/>
    <n v="154"/>
    <n v="1"/>
    <n v="3908.65"/>
    <d v="2024-11-04T08:08:27"/>
    <n v="18"/>
    <s v="Monday"/>
    <n v="-0.97111637602017398"/>
    <b v="0"/>
    <b v="0"/>
    <b v="1"/>
    <n v="0"/>
    <m/>
    <n v="0"/>
    <m/>
  </r>
  <r>
    <s v="TX001707"/>
    <s v="AC00048"/>
    <n v="1283.97"/>
    <d v="2023-08-09T17:32:04"/>
    <s v="Debit"/>
    <x v="40"/>
    <s v="D000340"/>
    <s v="4.134.78.167"/>
    <s v="M030"/>
    <s v="ATM"/>
    <n v="42"/>
    <s v="Doctor"/>
    <n v="121"/>
    <n v="1"/>
    <n v="11041.9"/>
    <d v="2024-11-04T08:07:52"/>
    <n v="17"/>
    <s v="Wednesday"/>
    <n v="3.3786227584428801"/>
    <b v="1"/>
    <b v="0"/>
    <b v="1"/>
    <n v="1"/>
    <m/>
    <n v="1"/>
    <m/>
  </r>
  <r>
    <s v="TX001708"/>
    <s v="AC00366"/>
    <n v="566.33000000000004"/>
    <d v="2023-08-07T16:39:52"/>
    <s v="Credit"/>
    <x v="27"/>
    <s v="D000603"/>
    <s v="26.105.49.129"/>
    <s v="M065"/>
    <s v="ATM"/>
    <n v="24"/>
    <s v="Student"/>
    <n v="66"/>
    <n v="1"/>
    <n v="379.82"/>
    <d v="2024-11-04T08:07:18"/>
    <n v="16"/>
    <s v="Monday"/>
    <n v="0.920498989883347"/>
    <b v="0"/>
    <b v="0"/>
    <b v="1"/>
    <n v="0"/>
    <m/>
    <n v="0"/>
    <m/>
  </r>
  <r>
    <s v="TX001709"/>
    <s v="AC00185"/>
    <n v="206.51"/>
    <d v="2023-12-18T17:09:29"/>
    <s v="Debit"/>
    <x v="7"/>
    <s v="D000354"/>
    <s v="101.90.40.193"/>
    <s v="M046"/>
    <s v="ATM"/>
    <n v="51"/>
    <s v="Retired"/>
    <n v="275"/>
    <n v="1"/>
    <n v="3921.74"/>
    <d v="2024-11-04T08:07:22"/>
    <n v="17"/>
    <s v="Monday"/>
    <n v="-0.31198818251937799"/>
    <b v="0"/>
    <b v="0"/>
    <b v="1"/>
    <n v="0"/>
    <m/>
    <n v="0"/>
    <m/>
  </r>
  <r>
    <s v="TX001710"/>
    <s v="AC00215"/>
    <n v="180.94"/>
    <d v="2023-07-24T16:41:18"/>
    <s v="Debit"/>
    <x v="3"/>
    <s v="D000456"/>
    <s v="45.124.239.44"/>
    <s v="M028"/>
    <s v="Branch"/>
    <n v="75"/>
    <s v="Retired"/>
    <n v="57"/>
    <n v="1"/>
    <n v="7659.99"/>
    <d v="2024-11-04T08:10:34"/>
    <n v="16"/>
    <s v="Monday"/>
    <n v="-0.39957279982341198"/>
    <b v="0"/>
    <b v="0"/>
    <b v="1"/>
    <n v="0"/>
    <m/>
    <n v="0"/>
    <m/>
  </r>
  <r>
    <s v="TX001711"/>
    <s v="AC00283"/>
    <n v="77.900000000000006"/>
    <d v="2023-12-25T17:42:00"/>
    <s v="Debit"/>
    <x v="38"/>
    <s v="D000616"/>
    <s v="15.176.70.194"/>
    <s v="M071"/>
    <s v="Branch"/>
    <n v="21"/>
    <s v="Student"/>
    <n v="128"/>
    <n v="1"/>
    <n v="664.72"/>
    <d v="2024-11-04T08:08:41"/>
    <n v="17"/>
    <s v="Monday"/>
    <n v="-0.75251448801299803"/>
    <b v="0"/>
    <b v="0"/>
    <b v="1"/>
    <n v="0"/>
    <m/>
    <n v="0"/>
    <m/>
  </r>
  <r>
    <s v="TX001712"/>
    <s v="AC00197"/>
    <n v="318.92"/>
    <d v="2023-05-19T18:54:32"/>
    <s v="Credit"/>
    <x v="38"/>
    <s v="D000264"/>
    <s v="155.140.33.42"/>
    <s v="M037"/>
    <s v="Branch"/>
    <n v="21"/>
    <s v="Student"/>
    <n v="60"/>
    <n v="1"/>
    <n v="1167.25"/>
    <d v="2024-11-04T08:09:03"/>
    <n v="18"/>
    <s v="Friday"/>
    <n v="7.3048455382323699E-2"/>
    <b v="0"/>
    <b v="0"/>
    <b v="1"/>
    <n v="0"/>
    <m/>
    <n v="0"/>
    <m/>
  </r>
  <r>
    <s v="TX001713"/>
    <s v="AC00390"/>
    <n v="583.29999999999995"/>
    <d v="2023-02-03T16:30:45"/>
    <s v="Credit"/>
    <x v="9"/>
    <s v="D000330"/>
    <s v="4.101.189.38"/>
    <s v="M094"/>
    <s v="Online"/>
    <n v="59"/>
    <s v="Engineer"/>
    <n v="142"/>
    <n v="1"/>
    <n v="5896.01"/>
    <d v="2024-11-04T08:11:17"/>
    <n v="16"/>
    <s v="Friday"/>
    <n v="0.97862612932994297"/>
    <b v="0"/>
    <b v="0"/>
    <b v="1"/>
    <n v="0"/>
    <m/>
    <n v="0"/>
    <m/>
  </r>
  <r>
    <s v="TX001714"/>
    <s v="AC00320"/>
    <n v="100.68"/>
    <d v="2023-01-12T16:44:29"/>
    <s v="Debit"/>
    <x v="11"/>
    <s v="D000484"/>
    <s v="60.153.124.80"/>
    <s v="M022"/>
    <s v="Online"/>
    <n v="63"/>
    <s v="Retired"/>
    <n v="139"/>
    <n v="1"/>
    <n v="1123.75"/>
    <d v="2024-11-04T08:12:10"/>
    <n v="16"/>
    <s v="Thursday"/>
    <n v="-0.67448642457201602"/>
    <b v="0"/>
    <b v="0"/>
    <b v="1"/>
    <n v="0"/>
    <m/>
    <n v="0"/>
    <m/>
  </r>
  <r>
    <s v="TX001715"/>
    <s v="AC00020"/>
    <n v="589.64"/>
    <d v="2023-09-21T16:05:38"/>
    <s v="Debit"/>
    <x v="27"/>
    <s v="D000443"/>
    <s v="187.52.200.18"/>
    <s v="M050"/>
    <s v="Online"/>
    <n v="62"/>
    <s v="Retired"/>
    <n v="210"/>
    <n v="1"/>
    <n v="2039.4"/>
    <d v="2024-11-04T08:11:53"/>
    <n v="16"/>
    <s v="Thursday"/>
    <n v="1.00034245602949"/>
    <b v="0"/>
    <b v="0"/>
    <b v="1"/>
    <n v="0"/>
    <m/>
    <n v="0"/>
    <m/>
  </r>
  <r>
    <s v="TX001716"/>
    <s v="AC00500"/>
    <n v="225.93"/>
    <d v="2023-03-13T17:57:47"/>
    <s v="Credit"/>
    <x v="32"/>
    <s v="D000142"/>
    <s v="147.114.91.132"/>
    <s v="M097"/>
    <s v="Branch"/>
    <n v="25"/>
    <s v="Student"/>
    <n v="199"/>
    <n v="1"/>
    <n v="1864.27"/>
    <d v="2024-11-04T08:08:39"/>
    <n v="17"/>
    <s v="Monday"/>
    <n v="-0.24546908717153501"/>
    <b v="0"/>
    <b v="0"/>
    <b v="1"/>
    <n v="0"/>
    <m/>
    <n v="0"/>
    <m/>
  </r>
  <r>
    <s v="TX001717"/>
    <s v="AC00289"/>
    <n v="651.54999999999995"/>
    <d v="2023-03-10T17:34:34"/>
    <s v="Debit"/>
    <x v="37"/>
    <s v="D000344"/>
    <s v="110.64.1.201"/>
    <s v="M043"/>
    <s v="Online"/>
    <n v="72"/>
    <s v="Retired"/>
    <n v="82"/>
    <n v="1"/>
    <n v="2325.7800000000002"/>
    <d v="2024-11-04T08:09:47"/>
    <n v="17"/>
    <s v="Friday"/>
    <n v="1.2124020437218199"/>
    <b v="0"/>
    <b v="0"/>
    <b v="1"/>
    <n v="0"/>
    <m/>
    <n v="0"/>
    <m/>
  </r>
  <r>
    <s v="TX001718"/>
    <s v="AC00121"/>
    <n v="80.97"/>
    <d v="2023-01-09T17:27:58"/>
    <s v="Debit"/>
    <x v="6"/>
    <s v="D000255"/>
    <s v="146.69.70.214"/>
    <s v="M026"/>
    <s v="Online"/>
    <n v="38"/>
    <s v="Doctor"/>
    <n v="157"/>
    <n v="1"/>
    <n v="5926.31"/>
    <d v="2024-11-04T08:09:06"/>
    <n v="17"/>
    <s v="Monday"/>
    <n v="-0.74199885347551697"/>
    <b v="0"/>
    <b v="0"/>
    <b v="1"/>
    <n v="0"/>
    <m/>
    <n v="0"/>
    <m/>
  </r>
  <r>
    <s v="TX001719"/>
    <s v="AC00023"/>
    <n v="191.89"/>
    <d v="2023-06-27T16:37:04"/>
    <s v="Debit"/>
    <x v="25"/>
    <s v="D000004"/>
    <s v="42.3.3.101"/>
    <s v="M041"/>
    <s v="Branch"/>
    <n v="25"/>
    <s v="Student"/>
    <n v="14"/>
    <n v="1"/>
    <n v="399.57"/>
    <d v="2024-11-04T08:09:55"/>
    <n v="16"/>
    <s v="Tuesday"/>
    <n v="-0.36206589487702301"/>
    <b v="0"/>
    <b v="0"/>
    <b v="1"/>
    <n v="0"/>
    <m/>
    <n v="0"/>
    <m/>
  </r>
  <r>
    <s v="TX001720"/>
    <s v="AC00490"/>
    <n v="304.75"/>
    <d v="2023-02-27T16:07:57"/>
    <s v="Credit"/>
    <x v="14"/>
    <s v="D000499"/>
    <s v="200.13.225.150"/>
    <s v="M096"/>
    <s v="Branch"/>
    <n v="78"/>
    <s v="Retired"/>
    <n v="125"/>
    <n v="1"/>
    <n v="1916.34"/>
    <d v="2024-11-04T08:07:01"/>
    <n v="16"/>
    <s v="Monday"/>
    <n v="2.4512122680009699E-2"/>
    <b v="0"/>
    <b v="0"/>
    <b v="1"/>
    <n v="0"/>
    <m/>
    <n v="0"/>
    <m/>
  </r>
  <r>
    <s v="TX001721"/>
    <s v="AC00197"/>
    <n v="201.53"/>
    <d v="2023-11-06T16:31:43"/>
    <s v="Debit"/>
    <x v="28"/>
    <s v="D000645"/>
    <s v="156.187.182.236"/>
    <s v="M007"/>
    <s v="Online"/>
    <n v="68"/>
    <s v="Retired"/>
    <n v="287"/>
    <n v="1"/>
    <n v="2732.86"/>
    <d v="2024-11-04T08:12:21"/>
    <n v="16"/>
    <s v="Monday"/>
    <n v="-0.32904611737170802"/>
    <b v="0"/>
    <b v="0"/>
    <b v="1"/>
    <n v="0"/>
    <m/>
    <n v="0"/>
    <m/>
  </r>
  <r>
    <s v="TX001722"/>
    <s v="AC00494"/>
    <n v="8.4499999999999993"/>
    <d v="2023-02-10T17:45:34"/>
    <s v="Debit"/>
    <x v="26"/>
    <s v="D000194"/>
    <s v="152.140.239.181"/>
    <s v="M022"/>
    <s v="ATM"/>
    <n v="22"/>
    <s v="Student"/>
    <n v="141"/>
    <n v="1"/>
    <n v="1115.3"/>
    <d v="2024-11-04T08:07:47"/>
    <n v="17"/>
    <s v="Friday"/>
    <n v="-0.99040074815242696"/>
    <b v="0"/>
    <b v="0"/>
    <b v="1"/>
    <n v="0"/>
    <m/>
    <n v="0"/>
    <m/>
  </r>
  <r>
    <s v="TX001723"/>
    <s v="AC00193"/>
    <n v="435.98"/>
    <d v="2023-10-12T16:29:09"/>
    <s v="Debit"/>
    <x v="2"/>
    <s v="D000282"/>
    <s v="216.151.64.40"/>
    <s v="M099"/>
    <s v="Branch"/>
    <n v="30"/>
    <s v="Engineer"/>
    <n v="105"/>
    <n v="1"/>
    <n v="7334.08"/>
    <d v="2024-11-04T08:11:05"/>
    <n v="16"/>
    <s v="Thursday"/>
    <n v="0.47401268305577998"/>
    <b v="0"/>
    <b v="0"/>
    <b v="1"/>
    <n v="0"/>
    <m/>
    <n v="0"/>
    <m/>
  </r>
  <r>
    <s v="TX001724"/>
    <s v="AC00451"/>
    <n v="743.24"/>
    <d v="2023-07-07T17:31:07"/>
    <s v="Credit"/>
    <x v="7"/>
    <s v="D000256"/>
    <s v="72.192.101.196"/>
    <s v="M084"/>
    <s v="Online"/>
    <n v="19"/>
    <s v="Student"/>
    <n v="109"/>
    <n v="1"/>
    <n v="1024.19"/>
    <d v="2024-11-04T08:08:46"/>
    <n v="17"/>
    <s v="Friday"/>
    <n v="1.5264667117158299"/>
    <b v="0"/>
    <b v="0"/>
    <b v="1"/>
    <n v="0"/>
    <m/>
    <n v="0"/>
    <m/>
  </r>
  <r>
    <s v="TX001725"/>
    <s v="AC00261"/>
    <n v="16.27"/>
    <d v="2023-02-13T17:58:45"/>
    <s v="Debit"/>
    <x v="4"/>
    <s v="D000697"/>
    <s v="155.37.19.43"/>
    <s v="M038"/>
    <s v="ATM"/>
    <n v="57"/>
    <s v="Doctor"/>
    <n v="44"/>
    <n v="1"/>
    <n v="10971.32"/>
    <d v="2024-11-04T08:09:04"/>
    <n v="17"/>
    <s v="Monday"/>
    <n v="-0.96361499503089598"/>
    <b v="0"/>
    <b v="0"/>
    <b v="1"/>
    <n v="0"/>
    <m/>
    <n v="0"/>
    <m/>
  </r>
  <r>
    <s v="TX001726"/>
    <s v="AC00246"/>
    <n v="290.86"/>
    <d v="2023-06-05T17:45:07"/>
    <s v="Debit"/>
    <x v="12"/>
    <s v="D000621"/>
    <s v="173.232.121.213"/>
    <s v="M068"/>
    <s v="Online"/>
    <n v="45"/>
    <s v="Doctor"/>
    <n v="36"/>
    <n v="1"/>
    <n v="14631.88"/>
    <d v="2024-11-04T08:10:45"/>
    <n v="17"/>
    <s v="Monday"/>
    <n v="-2.3065129347875999E-2"/>
    <b v="0"/>
    <b v="0"/>
    <b v="1"/>
    <n v="0"/>
    <m/>
    <n v="0"/>
    <m/>
  </r>
  <r>
    <s v="TX001727"/>
    <s v="AC00120"/>
    <n v="85.73"/>
    <d v="2023-03-01T16:09:58"/>
    <s v="Debit"/>
    <x v="33"/>
    <s v="D000072"/>
    <s v="134.222.122.238"/>
    <s v="M100"/>
    <s v="ATM"/>
    <n v="41"/>
    <s v="Doctor"/>
    <n v="266"/>
    <n v="1"/>
    <n v="14928.35"/>
    <d v="2024-11-04T08:08:37"/>
    <n v="16"/>
    <s v="Wednesday"/>
    <n v="-0.72569448201023801"/>
    <b v="0"/>
    <b v="0"/>
    <b v="1"/>
    <n v="0"/>
    <m/>
    <n v="0"/>
    <m/>
  </r>
  <r>
    <s v="TX001728"/>
    <s v="AC00189"/>
    <n v="555.71"/>
    <d v="2023-01-23T17:35:42"/>
    <s v="Credit"/>
    <x v="35"/>
    <s v="D000343"/>
    <s v="139.23.212.102"/>
    <s v="M018"/>
    <s v="Branch"/>
    <n v="22"/>
    <s v="Student"/>
    <n v="73"/>
    <n v="1"/>
    <n v="830.37"/>
    <d v="2024-11-04T08:08:24"/>
    <n v="17"/>
    <s v="Monday"/>
    <n v="0.88412243001753399"/>
    <b v="0"/>
    <b v="0"/>
    <b v="1"/>
    <n v="0"/>
    <m/>
    <n v="0"/>
    <m/>
  </r>
  <r>
    <s v="TX001729"/>
    <s v="AC00499"/>
    <n v="40.03"/>
    <d v="2023-01-09T17:17:53"/>
    <s v="Debit"/>
    <x v="32"/>
    <s v="D000210"/>
    <s v="34.125.226.63"/>
    <s v="M086"/>
    <s v="Branch"/>
    <n v="23"/>
    <s v="Student"/>
    <n v="200"/>
    <n v="1"/>
    <n v="6408.8"/>
    <d v="2024-11-04T08:12:08"/>
    <n v="17"/>
    <s v="Monday"/>
    <n v="-0.88223014922941501"/>
    <b v="0"/>
    <b v="0"/>
    <b v="1"/>
    <n v="0"/>
    <m/>
    <n v="0"/>
    <m/>
  </r>
  <r>
    <s v="TX001730"/>
    <s v="AC00287"/>
    <n v="73.010000000000005"/>
    <d v="2023-10-18T18:26:25"/>
    <s v="Credit"/>
    <x v="20"/>
    <s v="D000670"/>
    <s v="182.84.41.229"/>
    <s v="M028"/>
    <s v="Online"/>
    <n v="25"/>
    <s v="Student"/>
    <n v="62"/>
    <n v="1"/>
    <n v="1997.33"/>
    <d v="2024-11-04T08:10:12"/>
    <n v="18"/>
    <s v="Wednesday"/>
    <n v="-0.76926414693426304"/>
    <b v="0"/>
    <b v="0"/>
    <b v="1"/>
    <n v="0"/>
    <m/>
    <n v="0"/>
    <m/>
  </r>
  <r>
    <s v="TX001731"/>
    <s v="AC00087"/>
    <n v="346.12"/>
    <d v="2023-12-29T17:55:30"/>
    <s v="Debit"/>
    <x v="23"/>
    <s v="D000150"/>
    <s v="92.180.81.50"/>
    <s v="M067"/>
    <s v="Branch"/>
    <n v="44"/>
    <s v="Doctor"/>
    <n v="12"/>
    <n v="1"/>
    <n v="13084.27"/>
    <d v="2024-11-04T08:11:00"/>
    <n v="17"/>
    <s v="Friday"/>
    <n v="0.16621629232677901"/>
    <b v="0"/>
    <b v="0"/>
    <b v="1"/>
    <n v="0"/>
    <m/>
    <n v="0"/>
    <m/>
  </r>
  <r>
    <s v="TX001732"/>
    <s v="AC00333"/>
    <n v="1.93"/>
    <d v="2023-10-19T18:06:08"/>
    <s v="Debit"/>
    <x v="29"/>
    <s v="D000297"/>
    <s v="162.58.247.55"/>
    <s v="M030"/>
    <s v="Branch"/>
    <n v="47"/>
    <s v="Doctor"/>
    <n v="175"/>
    <n v="5"/>
    <n v="5684.09"/>
    <d v="2024-11-04T08:08:33"/>
    <n v="18"/>
    <s v="Thursday"/>
    <n v="-1.01273362671411"/>
    <b v="0"/>
    <b v="1"/>
    <b v="1"/>
    <n v="1"/>
    <m/>
    <n v="0"/>
    <m/>
  </r>
  <r>
    <s v="TX001733"/>
    <s v="AC00423"/>
    <n v="252.93"/>
    <d v="2023-02-06T16:05:08"/>
    <s v="Debit"/>
    <x v="42"/>
    <s v="D000616"/>
    <s v="130.29.230.16"/>
    <s v="M001"/>
    <s v="ATM"/>
    <n v="75"/>
    <s v="Retired"/>
    <n v="222"/>
    <n v="1"/>
    <n v="2760.37"/>
    <d v="2024-11-04T08:07:53"/>
    <n v="16"/>
    <s v="Monday"/>
    <n v="-0.15298630785167"/>
    <b v="0"/>
    <b v="0"/>
    <b v="1"/>
    <n v="0"/>
    <m/>
    <n v="0"/>
    <m/>
  </r>
  <r>
    <s v="TX001734"/>
    <s v="AC00108"/>
    <n v="238.54"/>
    <d v="2023-04-07T16:04:01"/>
    <s v="Debit"/>
    <x v="7"/>
    <s v="D000428"/>
    <s v="83.182.211.68"/>
    <s v="M006"/>
    <s v="ATM"/>
    <n v="19"/>
    <s v="Student"/>
    <n v="12"/>
    <n v="4"/>
    <n v="868.91"/>
    <d v="2024-11-04T08:07:18"/>
    <n v="16"/>
    <s v="Friday"/>
    <n v="-0.20227620394103499"/>
    <b v="0"/>
    <b v="1"/>
    <b v="1"/>
    <n v="1"/>
    <m/>
    <n v="0"/>
    <m/>
  </r>
  <r>
    <s v="TX001735"/>
    <s v="AC00099"/>
    <n v="1011.22"/>
    <d v="2023-08-21T18:51:11"/>
    <s v="Debit"/>
    <x v="28"/>
    <s v="D000037"/>
    <s v="45.64.74.86"/>
    <s v="M074"/>
    <s v="Branch"/>
    <n v="61"/>
    <s v="Retired"/>
    <n v="129"/>
    <n v="1"/>
    <n v="5838.91"/>
    <d v="2024-11-04T08:09:59"/>
    <n v="18"/>
    <s v="Monday"/>
    <n v="2.4443754229060999"/>
    <b v="1"/>
    <b v="0"/>
    <b v="1"/>
    <n v="1"/>
    <m/>
    <n v="1"/>
    <m/>
  </r>
  <r>
    <s v="TX001736"/>
    <s v="AC00387"/>
    <n v="58.7"/>
    <d v="2023-03-03T16:00:01"/>
    <s v="Debit"/>
    <x v="22"/>
    <s v="D000633"/>
    <s v="124.6.134.78"/>
    <s v="M041"/>
    <s v="Branch"/>
    <n v="67"/>
    <s v="Doctor"/>
    <n v="141"/>
    <n v="1"/>
    <n v="8937.35"/>
    <d v="2024-11-04T08:07:12"/>
    <n v="16"/>
    <s v="Friday"/>
    <n v="-0.81828001997379096"/>
    <b v="0"/>
    <b v="0"/>
    <b v="1"/>
    <n v="0"/>
    <m/>
    <n v="0"/>
    <m/>
  </r>
  <r>
    <s v="TX001737"/>
    <s v="AC00010"/>
    <n v="7.56"/>
    <d v="2023-02-06T16:38:45"/>
    <s v="Debit"/>
    <x v="20"/>
    <s v="D000358"/>
    <s v="205.45.234.42"/>
    <s v="M070"/>
    <s v="ATM"/>
    <n v="40"/>
    <s v="Doctor"/>
    <n v="145"/>
    <n v="1"/>
    <n v="8528.7199999999993"/>
    <d v="2024-11-04T08:07:19"/>
    <n v="16"/>
    <s v="Monday"/>
    <n v="-0.99344925458185995"/>
    <b v="0"/>
    <b v="0"/>
    <b v="1"/>
    <n v="0"/>
    <m/>
    <n v="0"/>
    <m/>
  </r>
  <r>
    <s v="TX001738"/>
    <s v="AC00087"/>
    <n v="540.4"/>
    <d v="2023-02-22T16:42:17"/>
    <s v="Debit"/>
    <x v="1"/>
    <s v="D000414"/>
    <s v="166.79.195.157"/>
    <s v="M061"/>
    <s v="Branch"/>
    <n v="45"/>
    <s v="Doctor"/>
    <n v="272"/>
    <n v="1"/>
    <n v="425.77"/>
    <d v="2024-11-04T08:06:52"/>
    <n v="16"/>
    <s v="Wednesday"/>
    <n v="0.83168126885504801"/>
    <b v="0"/>
    <b v="0"/>
    <b v="1"/>
    <n v="0"/>
    <m/>
    <n v="0"/>
    <m/>
  </r>
  <r>
    <s v="TX001739"/>
    <s v="AC00294"/>
    <n v="264.14"/>
    <d v="2023-07-28T17:36:30"/>
    <s v="Debit"/>
    <x v="21"/>
    <s v="D000050"/>
    <s v="195.237.152.198"/>
    <s v="M066"/>
    <s v="ATM"/>
    <n v="64"/>
    <s v="Doctor"/>
    <n v="125"/>
    <n v="1"/>
    <n v="8459.26"/>
    <d v="2024-11-04T08:07:21"/>
    <n v="17"/>
    <s v="Friday"/>
    <n v="-0.11458882799331201"/>
    <b v="0"/>
    <b v="0"/>
    <b v="1"/>
    <n v="0"/>
    <m/>
    <n v="0"/>
    <m/>
  </r>
  <r>
    <s v="TX001740"/>
    <s v="AC00408"/>
    <n v="248.15"/>
    <d v="2023-06-15T16:41:00"/>
    <s v="Debit"/>
    <x v="20"/>
    <s v="D000043"/>
    <s v="201.113.165.203"/>
    <s v="M018"/>
    <s v="ATM"/>
    <n v="75"/>
    <s v="Retired"/>
    <n v="202"/>
    <n v="1"/>
    <n v="2649.23"/>
    <d v="2024-11-04T08:08:53"/>
    <n v="16"/>
    <s v="Thursday"/>
    <n v="-0.169359185079409"/>
    <b v="0"/>
    <b v="0"/>
    <b v="1"/>
    <n v="0"/>
    <m/>
    <n v="0"/>
    <m/>
  </r>
  <r>
    <s v="TX001741"/>
    <s v="AC00495"/>
    <n v="24.34"/>
    <d v="2023-11-29T17:15:02"/>
    <s v="Debit"/>
    <x v="3"/>
    <s v="D000108"/>
    <s v="16.250.113.156"/>
    <s v="M051"/>
    <s v="Branch"/>
    <n v="54"/>
    <s v="Engineer"/>
    <n v="110"/>
    <n v="1"/>
    <n v="6659.12"/>
    <d v="2024-11-04T08:09:23"/>
    <n v="17"/>
    <s v="Wednesday"/>
    <n v="-0.93597291987862596"/>
    <b v="0"/>
    <b v="0"/>
    <b v="1"/>
    <n v="0"/>
    <m/>
    <n v="0"/>
    <m/>
  </r>
  <r>
    <s v="TX001742"/>
    <s v="AC00304"/>
    <n v="428.61"/>
    <d v="2023-01-09T16:12:00"/>
    <s v="Debit"/>
    <x v="18"/>
    <s v="D000560"/>
    <s v="39.163.103.27"/>
    <s v="M052"/>
    <s v="ATM"/>
    <n v="66"/>
    <s v="Doctor"/>
    <n v="62"/>
    <n v="1"/>
    <n v="11937.04"/>
    <d v="2024-11-04T08:09:42"/>
    <n v="16"/>
    <s v="Monday"/>
    <n v="0.44876830958957997"/>
    <b v="0"/>
    <b v="0"/>
    <b v="1"/>
    <n v="0"/>
    <m/>
    <n v="0"/>
    <m/>
  </r>
  <r>
    <s v="TX001743"/>
    <s v="AC00053"/>
    <n v="117.66"/>
    <d v="2023-08-03T18:19:53"/>
    <s v="Credit"/>
    <x v="11"/>
    <s v="D000047"/>
    <s v="34.125.226.63"/>
    <s v="M014"/>
    <s v="Branch"/>
    <n v="39"/>
    <s v="Doctor"/>
    <n v="126"/>
    <n v="1"/>
    <n v="6794.17"/>
    <d v="2024-11-04T08:07:55"/>
    <n v="18"/>
    <s v="Thursday"/>
    <n v="-0.616325032244191"/>
    <b v="0"/>
    <b v="0"/>
    <b v="1"/>
    <n v="0"/>
    <m/>
    <n v="0"/>
    <m/>
  </r>
  <r>
    <s v="TX001744"/>
    <s v="AC00432"/>
    <n v="165.8"/>
    <d v="2023-05-04T17:46:15"/>
    <s v="Debit"/>
    <x v="9"/>
    <s v="D000409"/>
    <s v="218.54.207.160"/>
    <s v="M063"/>
    <s v="Online"/>
    <n v="60"/>
    <s v="Engineer"/>
    <n v="287"/>
    <n v="1"/>
    <n v="2064.7600000000002"/>
    <d v="2024-11-04T08:07:57"/>
    <n v="17"/>
    <s v="Thursday"/>
    <n v="-0.45143166200499502"/>
    <b v="0"/>
    <b v="0"/>
    <b v="1"/>
    <n v="0"/>
    <m/>
    <n v="0"/>
    <m/>
  </r>
  <r>
    <s v="TX001745"/>
    <s v="AC00200"/>
    <n v="289.18"/>
    <d v="2023-08-29T16:17:55"/>
    <s v="Debit"/>
    <x v="21"/>
    <s v="D000110"/>
    <s v="190.164.160.79"/>
    <s v="M067"/>
    <s v="ATM"/>
    <n v="65"/>
    <s v="Retired"/>
    <n v="64"/>
    <n v="1"/>
    <n v="3139.75"/>
    <d v="2024-11-04T08:11:11"/>
    <n v="16"/>
    <s v="Tuesday"/>
    <n v="-2.88196133944453E-2"/>
    <b v="0"/>
    <b v="0"/>
    <b v="1"/>
    <n v="0"/>
    <m/>
    <n v="0"/>
    <m/>
  </r>
  <r>
    <s v="TX001746"/>
    <s v="AC00438"/>
    <n v="125.39"/>
    <d v="2023-07-31T16:52:24"/>
    <s v="Debit"/>
    <x v="16"/>
    <s v="D000149"/>
    <s v="205.45.234.42"/>
    <s v="M036"/>
    <s v="ATM"/>
    <n v="21"/>
    <s v="Student"/>
    <n v="140"/>
    <n v="1"/>
    <n v="202.69"/>
    <d v="2024-11-04T08:06:49"/>
    <n v="16"/>
    <s v="Monday"/>
    <n v="-0.58984755505372599"/>
    <b v="0"/>
    <b v="0"/>
    <b v="1"/>
    <n v="0"/>
    <m/>
    <n v="0"/>
    <m/>
  </r>
  <r>
    <s v="TX001747"/>
    <s v="AC00151"/>
    <n v="305.18"/>
    <d v="2023-06-05T17:48:33"/>
    <s v="Debit"/>
    <x v="29"/>
    <s v="D000699"/>
    <s v="93.146.251.20"/>
    <s v="M065"/>
    <s v="Online"/>
    <n v="58"/>
    <s v="Retired"/>
    <n v="216"/>
    <n v="1"/>
    <n v="4474.2"/>
    <d v="2024-11-04T08:08:22"/>
    <n v="17"/>
    <s v="Monday"/>
    <n v="2.59849965728816E-2"/>
    <b v="0"/>
    <b v="0"/>
    <b v="1"/>
    <n v="0"/>
    <m/>
    <n v="0"/>
    <m/>
  </r>
  <r>
    <s v="TX001748"/>
    <s v="AC00305"/>
    <n v="506.9"/>
    <d v="2023-11-01T17:44:46"/>
    <s v="Credit"/>
    <x v="1"/>
    <s v="D000337"/>
    <s v="138.210.196.19"/>
    <s v="M038"/>
    <s v="Branch"/>
    <n v="64"/>
    <s v="Doctor"/>
    <n v="56"/>
    <n v="1"/>
    <n v="11471.87"/>
    <d v="2024-11-04T08:10:09"/>
    <n v="17"/>
    <s v="Wednesday"/>
    <n v="0.71693411673595697"/>
    <b v="0"/>
    <b v="0"/>
    <b v="1"/>
    <n v="0"/>
    <m/>
    <n v="0"/>
    <m/>
  </r>
  <r>
    <s v="TX001749"/>
    <s v="AC00142"/>
    <n v="504.12"/>
    <d v="2023-04-14T17:35:50"/>
    <s v="Credit"/>
    <x v="21"/>
    <s v="D000248"/>
    <s v="104.80.232.55"/>
    <s v="M008"/>
    <s v="Branch"/>
    <n v="25"/>
    <s v="Student"/>
    <n v="101"/>
    <n v="1"/>
    <n v="1107.28"/>
    <d v="2024-11-04T08:10:41"/>
    <n v="17"/>
    <s v="Friday"/>
    <n v="0.70741181575413403"/>
    <b v="0"/>
    <b v="0"/>
    <b v="1"/>
    <n v="0"/>
    <m/>
    <n v="0"/>
    <m/>
  </r>
  <r>
    <s v="TX001750"/>
    <s v="AC00356"/>
    <n v="42.09"/>
    <d v="2023-01-20T18:31:25"/>
    <s v="Debit"/>
    <x v="13"/>
    <s v="D000332"/>
    <s v="41.110.46.150"/>
    <s v="M046"/>
    <s v="Branch"/>
    <n v="29"/>
    <s v="Engineer"/>
    <n v="118"/>
    <n v="1"/>
    <n v="5526.28"/>
    <d v="2024-11-04T08:06:50"/>
    <n v="18"/>
    <s v="Friday"/>
    <n v="-0.87517405569612206"/>
    <b v="0"/>
    <b v="0"/>
    <b v="1"/>
    <n v="0"/>
    <m/>
    <n v="0"/>
    <m/>
  </r>
  <r>
    <s v="TX001751"/>
    <s v="AC00155"/>
    <n v="607.28"/>
    <d v="2023-01-23T16:47:11"/>
    <s v="Debit"/>
    <x v="21"/>
    <s v="D000376"/>
    <s v="131.41.45.13"/>
    <s v="M098"/>
    <s v="ATM"/>
    <n v="32"/>
    <s v="Doctor"/>
    <n v="84"/>
    <n v="1"/>
    <n v="9679.68"/>
    <d v="2024-11-04T08:10:16"/>
    <n v="16"/>
    <s v="Monday"/>
    <n v="1.0607645385184701"/>
    <b v="0"/>
    <b v="0"/>
    <b v="1"/>
    <n v="0"/>
    <m/>
    <n v="0"/>
    <m/>
  </r>
  <r>
    <s v="TX001752"/>
    <s v="AC00265"/>
    <n v="91.9"/>
    <d v="2023-05-15T16:19:03"/>
    <s v="Debit"/>
    <x v="29"/>
    <s v="D000245"/>
    <s v="111.78.64.133"/>
    <s v="M036"/>
    <s v="Online"/>
    <n v="77"/>
    <s v="Retired"/>
    <n v="125"/>
    <n v="1"/>
    <n v="1033.94"/>
    <d v="2024-11-04T08:10:48"/>
    <n v="16"/>
    <s v="Monday"/>
    <n v="-0.70456045429158698"/>
    <b v="0"/>
    <b v="0"/>
    <b v="1"/>
    <n v="0"/>
    <m/>
    <n v="0"/>
    <m/>
  </r>
  <r>
    <s v="TX001753"/>
    <s v="AC00122"/>
    <n v="303.43"/>
    <d v="2023-06-06T17:32:57"/>
    <s v="Debit"/>
    <x v="33"/>
    <s v="D000166"/>
    <s v="200.136.146.93"/>
    <s v="M029"/>
    <s v="Branch"/>
    <n v="22"/>
    <s v="Student"/>
    <n v="30"/>
    <n v="1"/>
    <n v="1833.24"/>
    <d v="2024-11-04T08:08:11"/>
    <n v="17"/>
    <s v="Tuesday"/>
    <n v="1.9990742357705201E-2"/>
    <b v="0"/>
    <b v="0"/>
    <b v="1"/>
    <n v="0"/>
    <m/>
    <n v="0"/>
    <m/>
  </r>
  <r>
    <s v="TX001754"/>
    <s v="AC00426"/>
    <n v="668.78"/>
    <d v="2023-10-23T17:25:04"/>
    <s v="Debit"/>
    <x v="2"/>
    <s v="D000217"/>
    <s v="11.188.75.155"/>
    <s v="M094"/>
    <s v="ATM"/>
    <n v="20"/>
    <s v="Student"/>
    <n v="141"/>
    <n v="1"/>
    <n v="983.68"/>
    <d v="2024-11-04T08:09:12"/>
    <n v="17"/>
    <s v="Monday"/>
    <n v="1.2714197580803801"/>
    <b v="0"/>
    <b v="0"/>
    <b v="1"/>
    <n v="0"/>
    <m/>
    <n v="0"/>
    <m/>
  </r>
  <r>
    <s v="TX001755"/>
    <s v="AC00111"/>
    <n v="270.54000000000002"/>
    <d v="2023-04-03T18:22:02"/>
    <s v="Credit"/>
    <x v="30"/>
    <s v="D000479"/>
    <s v="26.113.209.69"/>
    <s v="M077"/>
    <s v="ATM"/>
    <n v="20"/>
    <s v="Student"/>
    <n v="139"/>
    <n v="1"/>
    <n v="269.77999999999997"/>
    <d v="2024-11-04T08:09:42"/>
    <n v="18"/>
    <s v="Monday"/>
    <n v="-9.2666984006381195E-2"/>
    <b v="0"/>
    <b v="0"/>
    <b v="1"/>
    <n v="0"/>
    <m/>
    <n v="0"/>
    <m/>
  </r>
  <r>
    <s v="TX001756"/>
    <s v="AC00405"/>
    <n v="247.93"/>
    <d v="2023-08-14T18:08:27"/>
    <s v="Debit"/>
    <x v="7"/>
    <s v="D000082"/>
    <s v="3.102.127.165"/>
    <s v="M100"/>
    <s v="Branch"/>
    <n v="37"/>
    <s v="Engineer"/>
    <n v="79"/>
    <n v="1"/>
    <n v="9801.48"/>
    <d v="2024-11-04T08:09:24"/>
    <n v="18"/>
    <s v="Monday"/>
    <n v="-0.17011274846645999"/>
    <b v="0"/>
    <b v="0"/>
    <b v="1"/>
    <n v="0"/>
    <m/>
    <n v="0"/>
    <m/>
  </r>
  <r>
    <s v="TX001757"/>
    <s v="AC00128"/>
    <n v="34.67"/>
    <d v="2023-04-25T16:34:55"/>
    <s v="Debit"/>
    <x v="29"/>
    <s v="D000321"/>
    <s v="78.100.105.143"/>
    <s v="M077"/>
    <s v="Online"/>
    <n v="19"/>
    <s v="Student"/>
    <n v="71"/>
    <n v="1"/>
    <n v="888.6"/>
    <d v="2024-11-04T08:11:38"/>
    <n v="16"/>
    <s v="Tuesday"/>
    <n v="-0.90058969356846996"/>
    <b v="0"/>
    <b v="0"/>
    <b v="1"/>
    <n v="0"/>
    <m/>
    <n v="0"/>
    <m/>
  </r>
  <r>
    <s v="TX001758"/>
    <s v="AC00050"/>
    <n v="326.02999999999997"/>
    <d v="2023-05-09T16:54:49"/>
    <s v="Credit"/>
    <x v="22"/>
    <s v="D000145"/>
    <s v="129.108.48.116"/>
    <s v="M038"/>
    <s v="Online"/>
    <n v="18"/>
    <s v="Student"/>
    <n v="137"/>
    <n v="1"/>
    <n v="290.24"/>
    <d v="2024-11-04T08:11:46"/>
    <n v="16"/>
    <s v="Tuesday"/>
    <n v="9.7402253936554495E-2"/>
    <b v="0"/>
    <b v="0"/>
    <b v="1"/>
    <n v="0"/>
    <m/>
    <n v="0"/>
    <m/>
  </r>
  <r>
    <s v="TX001759"/>
    <s v="AC00141"/>
    <n v="148.26"/>
    <d v="2023-05-08T17:33:08"/>
    <s v="Debit"/>
    <x v="32"/>
    <s v="D000389"/>
    <s v="4.105.134.118"/>
    <s v="M021"/>
    <s v="ATM"/>
    <n v="25"/>
    <s v="Student"/>
    <n v="57"/>
    <n v="1"/>
    <n v="958.7"/>
    <d v="2024-11-04T08:12:13"/>
    <n v="17"/>
    <s v="Monday"/>
    <n v="-0.51151121568167801"/>
    <b v="0"/>
    <b v="0"/>
    <b v="1"/>
    <n v="0"/>
    <m/>
    <n v="0"/>
    <m/>
  </r>
  <r>
    <s v="TX001760"/>
    <s v="AC00010"/>
    <n v="1086.5999999999999"/>
    <d v="2023-05-22T17:40:46"/>
    <s v="Debit"/>
    <x v="0"/>
    <s v="D000428"/>
    <s v="74.58.165.67"/>
    <s v="M016"/>
    <s v="Online"/>
    <n v="19"/>
    <s v="Student"/>
    <n v="38"/>
    <n v="1"/>
    <n v="1605.67"/>
    <d v="2024-11-04T08:10:48"/>
    <n v="17"/>
    <s v="Monday"/>
    <n v="2.70257364161467"/>
    <b v="1"/>
    <b v="0"/>
    <b v="1"/>
    <n v="1"/>
    <m/>
    <n v="1"/>
    <m/>
  </r>
  <r>
    <s v="TX001761"/>
    <s v="AC00259"/>
    <n v="373.99"/>
    <d v="2023-10-23T16:27:20"/>
    <s v="Debit"/>
    <x v="30"/>
    <s v="D000617"/>
    <s v="11.3.59.231"/>
    <s v="M097"/>
    <s v="ATM"/>
    <n v="60"/>
    <s v="Doctor"/>
    <n v="140"/>
    <n v="1"/>
    <n v="8590.5"/>
    <d v="2024-11-04T08:07:10"/>
    <n v="16"/>
    <s v="Monday"/>
    <n v="0.26167907231361698"/>
    <b v="0"/>
    <b v="0"/>
    <b v="1"/>
    <n v="0"/>
    <m/>
    <n v="0"/>
    <m/>
  </r>
  <r>
    <s v="TX001762"/>
    <s v="AC00302"/>
    <n v="254.34"/>
    <d v="2023-09-14T17:04:03"/>
    <s v="Debit"/>
    <x v="39"/>
    <s v="D000412"/>
    <s v="214.125.131.88"/>
    <s v="M084"/>
    <s v="Online"/>
    <n v="49"/>
    <s v="Engineer"/>
    <n v="79"/>
    <n v="1"/>
    <n v="5461.08"/>
    <d v="2024-11-04T08:11:06"/>
    <n v="17"/>
    <s v="Thursday"/>
    <n v="-0.14815665159829899"/>
    <b v="0"/>
    <b v="0"/>
    <b v="1"/>
    <n v="0"/>
    <m/>
    <n v="0"/>
    <m/>
  </r>
  <r>
    <s v="TX001763"/>
    <s v="AC00124"/>
    <n v="819.48"/>
    <d v="2023-10-05T16:27:27"/>
    <s v="Debit"/>
    <x v="33"/>
    <s v="D000395"/>
    <s v="154.138.163.229"/>
    <s v="M038"/>
    <s v="ATM"/>
    <n v="25"/>
    <s v="Student"/>
    <n v="26"/>
    <n v="1"/>
    <n v="1804.5"/>
    <d v="2024-11-04T08:08:37"/>
    <n v="16"/>
    <s v="Thursday"/>
    <n v="1.78761067821014"/>
    <b v="0"/>
    <b v="0"/>
    <b v="1"/>
    <n v="0"/>
    <m/>
    <n v="0"/>
    <m/>
  </r>
  <r>
    <s v="TX001764"/>
    <s v="AC00464"/>
    <n v="14"/>
    <d v="2023-09-06T16:24:45"/>
    <s v="Debit"/>
    <x v="25"/>
    <s v="D000357"/>
    <s v="106.140.105.35"/>
    <s v="M063"/>
    <s v="ATM"/>
    <n v="49"/>
    <s v="Engineer"/>
    <n v="173"/>
    <n v="1"/>
    <n v="7975.18"/>
    <d v="2024-11-04T08:09:26"/>
    <n v="16"/>
    <s v="Wednesday"/>
    <n v="-0.97139039907001101"/>
    <b v="0"/>
    <b v="0"/>
    <b v="1"/>
    <n v="0"/>
    <m/>
    <n v="0"/>
    <m/>
  </r>
  <r>
    <s v="TX001765"/>
    <s v="AC00473"/>
    <n v="57.16"/>
    <d v="2023-06-15T18:45:38"/>
    <s v="Debit"/>
    <x v="15"/>
    <s v="D000110"/>
    <s v="136.104.90.223"/>
    <s v="M022"/>
    <s v="ATM"/>
    <n v="40"/>
    <s v="Engineer"/>
    <n v="74"/>
    <n v="1"/>
    <n v="222.22"/>
    <d v="2024-11-04T08:08:46"/>
    <n v="18"/>
    <s v="Thursday"/>
    <n v="-0.82355496368314596"/>
    <b v="0"/>
    <b v="0"/>
    <b v="1"/>
    <n v="0"/>
    <m/>
    <n v="0"/>
    <m/>
  </r>
  <r>
    <s v="TX001766"/>
    <s v="AC00486"/>
    <n v="282.26"/>
    <d v="2023-06-26T16:55:17"/>
    <s v="Debit"/>
    <x v="11"/>
    <s v="D000048"/>
    <s v="210.136.14.108"/>
    <s v="M028"/>
    <s v="Online"/>
    <n v="37"/>
    <s v="Engineer"/>
    <n v="278"/>
    <n v="1"/>
    <n v="6857.2"/>
    <d v="2024-11-04T08:08:20"/>
    <n v="16"/>
    <s v="Monday"/>
    <n v="-5.2522607205314299E-2"/>
    <b v="0"/>
    <b v="0"/>
    <b v="1"/>
    <n v="0"/>
    <m/>
    <n v="0"/>
    <m/>
  </r>
  <r>
    <s v="TX001767"/>
    <s v="AC00348"/>
    <n v="46.96"/>
    <d v="2023-06-30T16:44:37"/>
    <s v="Debit"/>
    <x v="17"/>
    <s v="D000286"/>
    <s v="217.233.219.196"/>
    <s v="M070"/>
    <s v="Online"/>
    <n v="46"/>
    <s v="Engineer"/>
    <n v="12"/>
    <n v="1"/>
    <n v="2028.92"/>
    <d v="2024-11-04T08:11:10"/>
    <n v="16"/>
    <s v="Friday"/>
    <n v="-0.85849290253731703"/>
    <b v="0"/>
    <b v="0"/>
    <b v="1"/>
    <n v="0"/>
    <m/>
    <n v="0"/>
    <m/>
  </r>
  <r>
    <s v="TX001768"/>
    <s v="AC00398"/>
    <n v="473.2"/>
    <d v="2023-08-07T16:02:07"/>
    <s v="Debit"/>
    <x v="1"/>
    <s v="D000116"/>
    <s v="120.170.93.69"/>
    <s v="M054"/>
    <s v="Online"/>
    <n v="34"/>
    <s v="Doctor"/>
    <n v="173"/>
    <n v="1"/>
    <n v="248.52"/>
    <d v="2024-11-04T08:10:30"/>
    <n v="16"/>
    <s v="Monday"/>
    <n v="0.60150190699227402"/>
    <b v="0"/>
    <b v="0"/>
    <b v="1"/>
    <n v="0"/>
    <m/>
    <n v="0"/>
    <m/>
  </r>
  <r>
    <s v="TX001769"/>
    <s v="AC00267"/>
    <n v="192.97"/>
    <d v="2023-03-13T16:10:01"/>
    <s v="Debit"/>
    <x v="30"/>
    <s v="D000042"/>
    <s v="100.198.165.4"/>
    <s v="M098"/>
    <s v="ATM"/>
    <n v="59"/>
    <s v="Retired"/>
    <n v="140"/>
    <n v="1"/>
    <n v="3019.04"/>
    <d v="2024-11-04T08:06:34"/>
    <n v="16"/>
    <s v="Monday"/>
    <n v="-0.35836658370422803"/>
    <b v="0"/>
    <b v="0"/>
    <b v="1"/>
    <n v="0"/>
    <m/>
    <n v="0"/>
    <m/>
  </r>
  <r>
    <s v="TX001770"/>
    <s v="AC00076"/>
    <n v="168.99"/>
    <d v="2023-05-01T18:38:15"/>
    <s v="Debit"/>
    <x v="21"/>
    <s v="D000221"/>
    <s v="160.74.183.38"/>
    <s v="M078"/>
    <s v="ATM"/>
    <n v="18"/>
    <s v="Student"/>
    <n v="203"/>
    <n v="1"/>
    <n v="1523.57"/>
    <d v="2024-11-04T08:10:01"/>
    <n v="18"/>
    <s v="Monday"/>
    <n v="-0.44050499289276002"/>
    <b v="0"/>
    <b v="0"/>
    <b v="1"/>
    <n v="0"/>
    <m/>
    <n v="0"/>
    <m/>
  </r>
  <r>
    <s v="TX001771"/>
    <s v="AC00022"/>
    <n v="1.82"/>
    <d v="2023-04-13T17:35:38"/>
    <s v="Debit"/>
    <x v="23"/>
    <s v="D000652"/>
    <s v="146.250.144.172"/>
    <s v="M009"/>
    <s v="Online"/>
    <n v="80"/>
    <s v="Retired"/>
    <n v="60"/>
    <n v="1"/>
    <n v="5571.39"/>
    <d v="2024-11-04T08:09:18"/>
    <n v="17"/>
    <s v="Thursday"/>
    <n v="-1.0131104084076299"/>
    <b v="0"/>
    <b v="0"/>
    <b v="1"/>
    <n v="0"/>
    <m/>
    <n v="0"/>
    <m/>
  </r>
  <r>
    <s v="TX001772"/>
    <s v="AC00181"/>
    <n v="40.9"/>
    <d v="2023-06-01T18:27:12"/>
    <s v="Debit"/>
    <x v="27"/>
    <s v="D000536"/>
    <s v="5.74.9.122"/>
    <s v="M024"/>
    <s v="ATM"/>
    <n v="55"/>
    <s v="Doctor"/>
    <n v="37"/>
    <n v="1"/>
    <n v="1514.34"/>
    <d v="2024-11-04T08:11:02"/>
    <n v="18"/>
    <s v="Thursday"/>
    <n v="-0.87925014856244199"/>
    <b v="0"/>
    <b v="0"/>
    <b v="1"/>
    <n v="0"/>
    <m/>
    <n v="0"/>
    <m/>
  </r>
  <r>
    <s v="TX001773"/>
    <s v="AC00071"/>
    <n v="78.91"/>
    <d v="2023-03-01T17:07:06"/>
    <s v="Debit"/>
    <x v="30"/>
    <s v="D000619"/>
    <s v="141.241.241.128"/>
    <s v="M063"/>
    <s v="Online"/>
    <n v="61"/>
    <s v="Doctor"/>
    <n v="157"/>
    <n v="1"/>
    <n v="1817.43"/>
    <d v="2024-11-04T08:10:43"/>
    <n v="17"/>
    <s v="Wednesday"/>
    <n v="-0.74905494700881103"/>
    <b v="0"/>
    <b v="0"/>
    <b v="1"/>
    <n v="0"/>
    <m/>
    <n v="0"/>
    <m/>
  </r>
  <r>
    <s v="TX001774"/>
    <s v="AC00369"/>
    <n v="169.97"/>
    <d v="2023-12-07T17:33:16"/>
    <s v="Credit"/>
    <x v="0"/>
    <s v="D000183"/>
    <s v="144.228.168.6"/>
    <s v="M060"/>
    <s v="ATM"/>
    <n v="22"/>
    <s v="Student"/>
    <n v="12"/>
    <n v="1"/>
    <n v="6269.12"/>
    <d v="2024-11-04T08:09:12"/>
    <n v="17"/>
    <s v="Thursday"/>
    <n v="-0.43714821053226099"/>
    <b v="0"/>
    <b v="0"/>
    <b v="1"/>
    <n v="0"/>
    <m/>
    <n v="0"/>
    <m/>
  </r>
  <r>
    <s v="TX001775"/>
    <s v="AC00358"/>
    <n v="17.79"/>
    <d v="2023-02-22T17:01:35"/>
    <s v="Debit"/>
    <x v="36"/>
    <s v="D000409"/>
    <s v="203.245.215.62"/>
    <s v="M091"/>
    <s v="Branch"/>
    <n v="61"/>
    <s v="Retired"/>
    <n v="162"/>
    <n v="5"/>
    <n v="2281.9"/>
    <d v="2024-11-04T08:11:03"/>
    <n v="17"/>
    <s v="Wednesday"/>
    <n v="-0.95840855708399997"/>
    <b v="0"/>
    <b v="1"/>
    <b v="1"/>
    <n v="1"/>
    <m/>
    <n v="0"/>
    <m/>
  </r>
  <r>
    <s v="TX001776"/>
    <s v="AC00021"/>
    <n v="486.61"/>
    <d v="2023-11-28T16:17:29"/>
    <s v="Credit"/>
    <x v="30"/>
    <s v="D000334"/>
    <s v="152.140.239.181"/>
    <s v="M047"/>
    <s v="ATM"/>
    <n v="48"/>
    <s v="Engineer"/>
    <n v="130"/>
    <n v="1"/>
    <n v="2006.69"/>
    <d v="2024-11-04T08:06:34"/>
    <n v="16"/>
    <s v="Tuesday"/>
    <n v="0.64743502072114001"/>
    <b v="0"/>
    <b v="0"/>
    <b v="1"/>
    <n v="0"/>
    <m/>
    <n v="0"/>
    <m/>
  </r>
  <r>
    <s v="TX001777"/>
    <s v="AC00156"/>
    <n v="148.13"/>
    <d v="2023-03-17T16:34:52"/>
    <s v="Debit"/>
    <x v="37"/>
    <s v="D000280"/>
    <s v="160.160.113.117"/>
    <s v="M025"/>
    <s v="Branch"/>
    <n v="58"/>
    <s v="Retired"/>
    <n v="56"/>
    <n v="1"/>
    <n v="2189.38"/>
    <d v="2024-11-04T08:07:00"/>
    <n v="16"/>
    <s v="Friday"/>
    <n v="-0.51195650313766194"/>
    <b v="0"/>
    <b v="0"/>
    <b v="1"/>
    <n v="0"/>
    <m/>
    <n v="0"/>
    <m/>
  </r>
  <r>
    <s v="TX001778"/>
    <s v="AC00212"/>
    <n v="164.52"/>
    <d v="2023-12-25T16:11:46"/>
    <s v="Debit"/>
    <x v="34"/>
    <s v="D000677"/>
    <s v="197.187.216.106"/>
    <s v="M099"/>
    <s v="ATM"/>
    <n v="61"/>
    <s v="Doctor"/>
    <n v="162"/>
    <n v="1"/>
    <n v="11036.74"/>
    <d v="2024-11-04T08:11:17"/>
    <n v="16"/>
    <s v="Monday"/>
    <n v="-0.45581603080238198"/>
    <b v="0"/>
    <b v="0"/>
    <b v="1"/>
    <n v="0"/>
    <m/>
    <n v="0"/>
    <m/>
  </r>
  <r>
    <s v="TX001779"/>
    <s v="AC00327"/>
    <n v="720.89"/>
    <d v="2023-12-18T17:10:48"/>
    <s v="Debit"/>
    <x v="7"/>
    <s v="D000496"/>
    <s v="100.198.165.4"/>
    <s v="M008"/>
    <s v="ATM"/>
    <n v="27"/>
    <s v="Student"/>
    <n v="120"/>
    <n v="1"/>
    <n v="447.06"/>
    <d v="2024-11-04T08:10:01"/>
    <n v="17"/>
    <s v="Monday"/>
    <n v="1.4499115221677199"/>
    <b v="0"/>
    <b v="0"/>
    <b v="1"/>
    <n v="0"/>
    <m/>
    <n v="0"/>
    <m/>
  </r>
  <r>
    <s v="TX001780"/>
    <s v="AC00349"/>
    <n v="268.7"/>
    <d v="2023-10-03T16:16:01"/>
    <s v="Debit"/>
    <x v="20"/>
    <s v="D000243"/>
    <s v="98.39.212.221"/>
    <s v="M013"/>
    <s v="ATM"/>
    <n v="53"/>
    <s v="Retired"/>
    <n v="63"/>
    <n v="1"/>
    <n v="2104.7399999999998"/>
    <d v="2024-11-04T08:06:40"/>
    <n v="16"/>
    <s v="Tuesday"/>
    <n v="-9.8969514152624005E-2"/>
    <b v="0"/>
    <b v="0"/>
    <b v="1"/>
    <n v="0"/>
    <m/>
    <n v="0"/>
    <m/>
  </r>
  <r>
    <s v="TX001781"/>
    <s v="AC00183"/>
    <n v="637.34"/>
    <d v="2023-09-01T16:19:43"/>
    <s v="Debit"/>
    <x v="7"/>
    <s v="D000304"/>
    <s v="150.83.4.238"/>
    <s v="M018"/>
    <s v="ATM"/>
    <n v="51"/>
    <s v="Retired"/>
    <n v="278"/>
    <n v="1"/>
    <n v="5183.5"/>
    <d v="2024-11-04T08:09:55"/>
    <n v="16"/>
    <s v="Friday"/>
    <n v="1.1637286994945899"/>
    <b v="0"/>
    <b v="0"/>
    <b v="1"/>
    <n v="0"/>
    <m/>
    <n v="0"/>
    <m/>
  </r>
  <r>
    <s v="TX001782"/>
    <s v="AC00478"/>
    <n v="216.76"/>
    <d v="2023-11-09T17:26:27"/>
    <s v="Credit"/>
    <x v="32"/>
    <s v="D000097"/>
    <s v="205.69.66.135"/>
    <s v="M033"/>
    <s v="Online"/>
    <n v="47"/>
    <s v="Engineer"/>
    <n v="138"/>
    <n v="1"/>
    <n v="643.64"/>
    <d v="2024-11-04T08:09:35"/>
    <n v="17"/>
    <s v="Thursday"/>
    <n v="-0.27687897925905902"/>
    <b v="0"/>
    <b v="0"/>
    <b v="1"/>
    <n v="0"/>
    <m/>
    <n v="0"/>
    <m/>
  </r>
  <r>
    <s v="TX001783"/>
    <s v="AC00398"/>
    <n v="418.02"/>
    <d v="2023-06-06T17:56:44"/>
    <s v="Debit"/>
    <x v="16"/>
    <s v="D000170"/>
    <s v="57.141.198.111"/>
    <s v="M017"/>
    <s v="ATM"/>
    <n v="46"/>
    <s v="Doctor"/>
    <n v="110"/>
    <n v="1"/>
    <n v="11011.86"/>
    <d v="2024-11-04T08:06:33"/>
    <n v="17"/>
    <s v="Tuesday"/>
    <n v="0.41249450836745499"/>
    <b v="0"/>
    <b v="0"/>
    <b v="1"/>
    <n v="0"/>
    <m/>
    <n v="0"/>
    <m/>
  </r>
  <r>
    <s v="TX001784"/>
    <s v="AC00380"/>
    <n v="292.02999999999997"/>
    <d v="2023-09-04T16:20:20"/>
    <s v="Credit"/>
    <x v="11"/>
    <s v="D000659"/>
    <s v="167.104.180.235"/>
    <s v="M050"/>
    <s v="ATM"/>
    <n v="46"/>
    <s v="Engineer"/>
    <n v="154"/>
    <n v="1"/>
    <n v="951.33"/>
    <d v="2024-11-04T08:07:11"/>
    <n v="16"/>
    <s v="Monday"/>
    <n v="-1.9057542244015301E-2"/>
    <b v="0"/>
    <b v="0"/>
    <b v="1"/>
    <n v="0"/>
    <m/>
    <n v="0"/>
    <m/>
  </r>
  <r>
    <s v="TX001785"/>
    <s v="AC00030"/>
    <n v="251.4"/>
    <d v="2023-07-05T16:52:09"/>
    <s v="Debit"/>
    <x v="28"/>
    <s v="D000502"/>
    <s v="189.20.224.220"/>
    <s v="M023"/>
    <s v="ATM"/>
    <n v="57"/>
    <s v="Retired"/>
    <n v="178"/>
    <n v="1"/>
    <n v="2561.67"/>
    <d v="2024-11-04T08:11:03"/>
    <n v="16"/>
    <s v="Wednesday"/>
    <n v="-0.158226998679796"/>
    <b v="0"/>
    <b v="0"/>
    <b v="1"/>
    <n v="0"/>
    <m/>
    <n v="0"/>
    <m/>
  </r>
  <r>
    <s v="TX001786"/>
    <s v="AC00341"/>
    <n v="184.56"/>
    <d v="2023-11-30T16:07:36"/>
    <s v="Debit"/>
    <x v="33"/>
    <s v="D000434"/>
    <s v="182.84.41.229"/>
    <s v="M058"/>
    <s v="Online"/>
    <n v="21"/>
    <s v="Student"/>
    <n v="93"/>
    <n v="1"/>
    <n v="1549.27"/>
    <d v="2024-11-04T08:06:41"/>
    <n v="16"/>
    <s v="Thursday"/>
    <n v="-0.387173256818304"/>
    <b v="0"/>
    <b v="0"/>
    <b v="1"/>
    <n v="0"/>
    <m/>
    <n v="0"/>
    <m/>
  </r>
  <r>
    <s v="TX001787"/>
    <s v="AC00162"/>
    <n v="33.76"/>
    <d v="2023-01-16T17:39:25"/>
    <s v="Debit"/>
    <x v="6"/>
    <s v="D000311"/>
    <s v="122.94.26.104"/>
    <s v="M024"/>
    <s v="Online"/>
    <n v="26"/>
    <s v="Engineer"/>
    <n v="227"/>
    <n v="1"/>
    <n v="3253.51"/>
    <d v="2024-11-04T08:08:48"/>
    <n v="17"/>
    <s v="Monday"/>
    <n v="-0.90370670576036205"/>
    <b v="0"/>
    <b v="0"/>
    <b v="1"/>
    <n v="0"/>
    <m/>
    <n v="0"/>
    <m/>
  </r>
  <r>
    <s v="TX001788"/>
    <s v="AC00319"/>
    <n v="253.46"/>
    <d v="2023-05-22T16:27:35"/>
    <s v="Debit"/>
    <x v="11"/>
    <s v="D000057"/>
    <s v="8.243.4.138"/>
    <s v="M046"/>
    <s v="ATM"/>
    <n v="45"/>
    <s v="Engineer"/>
    <n v="60"/>
    <n v="1"/>
    <n v="1338.95"/>
    <d v="2024-11-04T08:07:11"/>
    <n v="16"/>
    <s v="Monday"/>
    <n v="-0.151170905146502"/>
    <b v="0"/>
    <b v="0"/>
    <b v="1"/>
    <n v="0"/>
    <m/>
    <n v="0"/>
    <m/>
  </r>
  <r>
    <s v="TX001789"/>
    <s v="AC00338"/>
    <n v="1612.37"/>
    <d v="2023-07-24T17:46:13"/>
    <s v="Debit"/>
    <x v="16"/>
    <s v="D000025"/>
    <s v="16.128.130.153"/>
    <s v="M078"/>
    <s v="ATM"/>
    <n v="65"/>
    <s v="Retired"/>
    <n v="173"/>
    <n v="1"/>
    <n v="3910.59"/>
    <d v="2024-11-04T08:08:21"/>
    <n v="17"/>
    <s v="Monday"/>
    <n v="4.5034873780222604"/>
    <b v="1"/>
    <b v="0"/>
    <b v="1"/>
    <n v="1"/>
    <m/>
    <n v="1"/>
    <m/>
  </r>
  <r>
    <s v="TX001790"/>
    <s v="AC00374"/>
    <n v="138.68"/>
    <d v="2023-06-14T16:06:24"/>
    <s v="Credit"/>
    <x v="40"/>
    <s v="D000261"/>
    <s v="49.29.37.185"/>
    <s v="M002"/>
    <s v="Branch"/>
    <n v="22"/>
    <s v="Student"/>
    <n v="44"/>
    <n v="1"/>
    <n v="206.2"/>
    <d v="2024-11-04T08:08:39"/>
    <n v="16"/>
    <s v="Wednesday"/>
    <n v="-0.544325475899615"/>
    <b v="0"/>
    <b v="0"/>
    <b v="1"/>
    <n v="0"/>
    <m/>
    <n v="0"/>
    <m/>
  </r>
  <r>
    <s v="TX001791"/>
    <s v="AC00451"/>
    <n v="42.56"/>
    <d v="2023-07-31T16:25:38"/>
    <s v="Debit"/>
    <x v="41"/>
    <s v="D000682"/>
    <s v="91.204.200.167"/>
    <s v="M001"/>
    <s v="Online"/>
    <n v="18"/>
    <s v="Student"/>
    <n v="146"/>
    <n v="1"/>
    <n v="4361.4399999999996"/>
    <d v="2024-11-04T08:07:12"/>
    <n v="16"/>
    <s v="Monday"/>
    <n v="-0.873564170278332"/>
    <b v="0"/>
    <b v="0"/>
    <b v="1"/>
    <n v="0"/>
    <m/>
    <n v="0"/>
    <m/>
  </r>
  <r>
    <s v="TX001792"/>
    <s v="AC00005"/>
    <n v="680.76"/>
    <d v="2023-02-27T16:38:41"/>
    <s v="Debit"/>
    <x v="31"/>
    <s v="D000035"/>
    <s v="60.89.202.192"/>
    <s v="M011"/>
    <s v="Branch"/>
    <n v="21"/>
    <s v="Student"/>
    <n v="165"/>
    <n v="1"/>
    <n v="572.97"/>
    <d v="2024-11-04T08:09:04"/>
    <n v="16"/>
    <s v="Monday"/>
    <n v="1.31245470979342"/>
    <b v="0"/>
    <b v="0"/>
    <b v="1"/>
    <n v="0"/>
    <m/>
    <n v="0"/>
    <m/>
  </r>
  <r>
    <s v="TX001793"/>
    <s v="AC00263"/>
    <n v="53.83"/>
    <d v="2023-05-31T17:21:07"/>
    <s v="Debit"/>
    <x v="21"/>
    <s v="D000471"/>
    <s v="4.134.78.167"/>
    <s v="M062"/>
    <s v="Branch"/>
    <n v="70"/>
    <s v="Retired"/>
    <n v="131"/>
    <n v="1"/>
    <n v="4580.59"/>
    <d v="2024-11-04T08:11:45"/>
    <n v="17"/>
    <s v="Wednesday"/>
    <n v="-0.83496117313259599"/>
    <b v="0"/>
    <b v="0"/>
    <b v="1"/>
    <n v="0"/>
    <m/>
    <n v="0"/>
    <m/>
  </r>
  <r>
    <s v="TX001794"/>
    <s v="AC00432"/>
    <n v="11.09"/>
    <d v="2023-10-31T16:54:40"/>
    <s v="Debit"/>
    <x v="27"/>
    <s v="D000137"/>
    <s v="41.110.46.150"/>
    <s v="M094"/>
    <s v="Branch"/>
    <n v="51"/>
    <s v="Engineer"/>
    <n v="95"/>
    <n v="1"/>
    <n v="2990.05"/>
    <d v="2024-11-04T08:10:21"/>
    <n v="16"/>
    <s v="Tuesday"/>
    <n v="-0.981357987507818"/>
    <b v="0"/>
    <b v="0"/>
    <b v="1"/>
    <n v="0"/>
    <m/>
    <n v="0"/>
    <m/>
  </r>
  <r>
    <s v="TX001795"/>
    <s v="AC00274"/>
    <n v="37.81"/>
    <d v="2023-07-24T16:44:34"/>
    <s v="Debit"/>
    <x v="40"/>
    <s v="D000070"/>
    <s v="53.218.177.171"/>
    <s v="M074"/>
    <s v="Branch"/>
    <n v="63"/>
    <s v="Retired"/>
    <n v="195"/>
    <n v="1"/>
    <n v="5208.9799999999996"/>
    <d v="2024-11-04T08:11:06"/>
    <n v="16"/>
    <s v="Monday"/>
    <n v="-0.88983428886238203"/>
    <b v="0"/>
    <b v="0"/>
    <b v="1"/>
    <n v="0"/>
    <m/>
    <n v="0"/>
    <m/>
  </r>
  <r>
    <s v="TX001796"/>
    <s v="AC00103"/>
    <n v="449.18"/>
    <d v="2023-12-25T17:01:44"/>
    <s v="Debit"/>
    <x v="13"/>
    <s v="D000578"/>
    <s v="195.164.171.146"/>
    <s v="M006"/>
    <s v="Online"/>
    <n v="67"/>
    <s v="Retired"/>
    <n v="50"/>
    <n v="1"/>
    <n v="1025.99"/>
    <d v="2024-11-04T08:09:23"/>
    <n v="17"/>
    <s v="Monday"/>
    <n v="0.51922648627882495"/>
    <b v="0"/>
    <b v="0"/>
    <b v="1"/>
    <n v="0"/>
    <m/>
    <n v="0"/>
    <m/>
  </r>
  <r>
    <s v="TX001797"/>
    <s v="AC00146"/>
    <n v="1135.8"/>
    <d v="2023-09-06T16:03:15"/>
    <s v="Debit"/>
    <x v="0"/>
    <s v="D000485"/>
    <s v="16.131.3.140"/>
    <s v="M004"/>
    <s v="ATM"/>
    <n v="30"/>
    <s v="Doctor"/>
    <n v="250"/>
    <n v="1"/>
    <n v="13534.3"/>
    <d v="2024-11-04T08:07:14"/>
    <n v="16"/>
    <s v="Wednesday"/>
    <n v="2.8710978172642001"/>
    <b v="1"/>
    <b v="0"/>
    <b v="1"/>
    <n v="1"/>
    <m/>
    <n v="1"/>
    <m/>
  </r>
  <r>
    <s v="TX001798"/>
    <s v="AC00359"/>
    <n v="297.60000000000002"/>
    <d v="2023-10-03T16:48:49"/>
    <s v="Debit"/>
    <x v="20"/>
    <s v="D000255"/>
    <s v="192.95.36.246"/>
    <s v="M099"/>
    <s v="Online"/>
    <n v="39"/>
    <s v="Doctor"/>
    <n v="162"/>
    <n v="1"/>
    <n v="1461.17"/>
    <d v="2024-11-04T08:09:49"/>
    <n v="16"/>
    <s v="Tuesday"/>
    <n v="2.1312600860542699E-5"/>
    <b v="0"/>
    <b v="0"/>
    <b v="1"/>
    <n v="0"/>
    <m/>
    <n v="0"/>
    <m/>
  </r>
  <r>
    <s v="TX001799"/>
    <s v="AC00164"/>
    <n v="683.75"/>
    <d v="2023-02-20T18:56:31"/>
    <s v="Debit"/>
    <x v="17"/>
    <s v="D000312"/>
    <s v="190.92.63.219"/>
    <s v="M073"/>
    <s v="Branch"/>
    <n v="32"/>
    <s v="Doctor"/>
    <n v="106"/>
    <n v="1"/>
    <n v="6333.72"/>
    <d v="2024-11-04T08:07:48"/>
    <n v="18"/>
    <s v="Monday"/>
    <n v="1.3226963212810601"/>
    <b v="0"/>
    <b v="0"/>
    <b v="1"/>
    <n v="0"/>
    <m/>
    <n v="0"/>
    <m/>
  </r>
  <r>
    <s v="TX001800"/>
    <s v="AC00079"/>
    <n v="21.4"/>
    <d v="2023-02-13T16:14:00"/>
    <s v="Credit"/>
    <x v="31"/>
    <s v="D000168"/>
    <s v="115.241.186.164"/>
    <s v="M009"/>
    <s v="Online"/>
    <n v="48"/>
    <s v="Engineer"/>
    <n v="129"/>
    <n v="1"/>
    <n v="8551.6"/>
    <d v="2024-11-04T08:12:21"/>
    <n v="16"/>
    <s v="Monday"/>
    <n v="-0.94604326696012198"/>
    <b v="0"/>
    <b v="0"/>
    <b v="1"/>
    <n v="0"/>
    <m/>
    <n v="0"/>
    <m/>
  </r>
  <r>
    <s v="TX001801"/>
    <s v="AC00209"/>
    <n v="315.94"/>
    <d v="2023-09-29T18:23:17"/>
    <s v="Debit"/>
    <x v="32"/>
    <s v="D000099"/>
    <s v="89.237.88.251"/>
    <s v="M092"/>
    <s v="ATM"/>
    <n v="78"/>
    <s v="Retired"/>
    <n v="93"/>
    <n v="1"/>
    <n v="4273.99"/>
    <d v="2024-11-04T08:06:28"/>
    <n v="18"/>
    <s v="Friday"/>
    <n v="6.2841096775909003E-2"/>
    <b v="0"/>
    <b v="0"/>
    <b v="1"/>
    <n v="0"/>
    <m/>
    <n v="0"/>
    <m/>
  </r>
  <r>
    <s v="TX001802"/>
    <s v="AC00018"/>
    <n v="331.32"/>
    <d v="2023-06-05T17:24:29"/>
    <s v="Debit"/>
    <x v="30"/>
    <s v="D000334"/>
    <s v="200.164.13.160"/>
    <s v="M078"/>
    <s v="Branch"/>
    <n v="61"/>
    <s v="Doctor"/>
    <n v="137"/>
    <n v="5"/>
    <n v="13054.54"/>
    <d v="2024-11-04T08:07:35"/>
    <n v="17"/>
    <s v="Monday"/>
    <n v="0.115522028107002"/>
    <b v="0"/>
    <b v="1"/>
    <b v="1"/>
    <n v="1"/>
    <m/>
    <n v="0"/>
    <m/>
  </r>
  <r>
    <s v="TX001803"/>
    <s v="AC00401"/>
    <n v="223.76"/>
    <d v="2023-08-11T16:02:33"/>
    <s v="Credit"/>
    <x v="35"/>
    <s v="D000441"/>
    <s v="1.98.25.114"/>
    <s v="M013"/>
    <s v="Branch"/>
    <n v="74"/>
    <s v="Retired"/>
    <n v="110"/>
    <n v="1"/>
    <n v="4102.2299999999996"/>
    <d v="2024-11-04T08:10:57"/>
    <n v="16"/>
    <s v="Friday"/>
    <n v="-0.252901962398353"/>
    <b v="0"/>
    <b v="0"/>
    <b v="1"/>
    <n v="0"/>
    <m/>
    <n v="0"/>
    <m/>
  </r>
  <r>
    <s v="TX001804"/>
    <s v="AC00179"/>
    <n v="216.03"/>
    <d v="2023-10-27T18:28:05"/>
    <s v="Debit"/>
    <x v="35"/>
    <s v="D000160"/>
    <s v="90.111.245.138"/>
    <s v="M042"/>
    <s v="ATM"/>
    <n v="42"/>
    <s v="Doctor"/>
    <n v="300"/>
    <n v="1"/>
    <n v="10462.77"/>
    <d v="2024-11-04T08:09:44"/>
    <n v="18"/>
    <s v="Friday"/>
    <n v="-0.279379439588818"/>
    <b v="0"/>
    <b v="0"/>
    <b v="1"/>
    <n v="0"/>
    <m/>
    <n v="0"/>
    <m/>
  </r>
  <r>
    <s v="TX001805"/>
    <s v="AC00274"/>
    <n v="17.420000000000002"/>
    <d v="2023-11-08T17:24:54"/>
    <s v="Debit"/>
    <x v="34"/>
    <s v="D000516"/>
    <s v="218.238.171.184"/>
    <s v="M006"/>
    <s v="ATM"/>
    <n v="74"/>
    <s v="Retired"/>
    <n v="150"/>
    <n v="1"/>
    <n v="6851.31"/>
    <d v="2024-11-04T08:12:14"/>
    <n v="17"/>
    <s v="Wednesday"/>
    <n v="-0.95967591368949401"/>
    <b v="0"/>
    <b v="0"/>
    <b v="1"/>
    <n v="0"/>
    <m/>
    <n v="0"/>
    <m/>
  </r>
  <r>
    <s v="TX001806"/>
    <s v="AC00354"/>
    <n v="491.91"/>
    <d v="2023-01-09T17:15:18"/>
    <s v="Debit"/>
    <x v="20"/>
    <s v="D000314"/>
    <s v="193.217.248.188"/>
    <s v="M036"/>
    <s v="Online"/>
    <n v="78"/>
    <s v="Retired"/>
    <n v="155"/>
    <n v="1"/>
    <n v="2421.94"/>
    <d v="2024-11-04T08:09:09"/>
    <n v="17"/>
    <s v="Monday"/>
    <n v="0.66558904777281702"/>
    <b v="0"/>
    <b v="0"/>
    <b v="1"/>
    <n v="0"/>
    <m/>
    <n v="0"/>
    <m/>
  </r>
  <r>
    <s v="TX001807"/>
    <s v="AC00025"/>
    <n v="350.11"/>
    <d v="2023-03-13T17:10:34"/>
    <s v="Credit"/>
    <x v="3"/>
    <s v="D000510"/>
    <s v="24.181.236.233"/>
    <s v="M050"/>
    <s v="Online"/>
    <n v="74"/>
    <s v="Retired"/>
    <n v="178"/>
    <n v="1"/>
    <n v="4639.04"/>
    <d v="2024-11-04T08:08:12"/>
    <n v="17"/>
    <s v="Monday"/>
    <n v="0.179883191937381"/>
    <b v="0"/>
    <b v="0"/>
    <b v="1"/>
    <n v="0"/>
    <m/>
    <n v="0"/>
    <m/>
  </r>
  <r>
    <s v="TX001808"/>
    <s v="AC00493"/>
    <n v="218.07"/>
    <d v="2023-11-06T18:42:53"/>
    <s v="Debit"/>
    <x v="14"/>
    <s v="D000002"/>
    <s v="9.230.41.239"/>
    <s v="M067"/>
    <s v="Branch"/>
    <n v="23"/>
    <s v="Student"/>
    <n v="243"/>
    <n v="1"/>
    <n v="443.62"/>
    <d v="2024-11-04T08:06:31"/>
    <n v="18"/>
    <s v="Monday"/>
    <n v="-0.27239185181798398"/>
    <b v="0"/>
    <b v="0"/>
    <b v="1"/>
    <n v="0"/>
    <m/>
    <n v="0"/>
    <m/>
  </r>
  <r>
    <s v="TX001809"/>
    <s v="AC00339"/>
    <n v="291.08999999999997"/>
    <d v="2023-11-20T18:53:47"/>
    <s v="Debit"/>
    <x v="39"/>
    <s v="D000588"/>
    <s v="49.31.186.82"/>
    <s v="M019"/>
    <s v="Branch"/>
    <n v="48"/>
    <s v="Engineer"/>
    <n v="73"/>
    <n v="1"/>
    <n v="6312.79"/>
    <d v="2024-11-04T08:08:42"/>
    <n v="18"/>
    <s v="Monday"/>
    <n v="-2.2277313079595799E-2"/>
    <b v="0"/>
    <b v="0"/>
    <b v="1"/>
    <n v="0"/>
    <m/>
    <n v="0"/>
    <m/>
  </r>
  <r>
    <s v="TX001810"/>
    <s v="AC00454"/>
    <n v="422.14"/>
    <d v="2023-11-17T17:31:06"/>
    <s v="Credit"/>
    <x v="10"/>
    <s v="D000579"/>
    <s v="104.155.121.252"/>
    <s v="M027"/>
    <s v="Branch"/>
    <n v="26"/>
    <s v="Student"/>
    <n v="109"/>
    <n v="1"/>
    <n v="1436.32"/>
    <d v="2024-11-04T08:07:24"/>
    <n v="17"/>
    <s v="Friday"/>
    <n v="0.426606695434042"/>
    <b v="0"/>
    <b v="0"/>
    <b v="1"/>
    <n v="0"/>
    <m/>
    <n v="0"/>
    <m/>
  </r>
  <r>
    <s v="TX001811"/>
    <s v="AC00152"/>
    <n v="613.21"/>
    <d v="2023-03-15T17:45:31"/>
    <s v="Debit"/>
    <x v="28"/>
    <s v="D000614"/>
    <s v="69.160.14.157"/>
    <s v="M098"/>
    <s v="ATM"/>
    <n v="61"/>
    <s v="Retired"/>
    <n v="157"/>
    <n v="1"/>
    <n v="3279.12"/>
    <d v="2024-11-04T08:10:22"/>
    <n v="17"/>
    <s v="Wednesday"/>
    <n v="1.0810764970876101"/>
    <b v="0"/>
    <b v="0"/>
    <b v="1"/>
    <n v="0"/>
    <m/>
    <n v="0"/>
    <m/>
  </r>
  <r>
    <s v="TX001812"/>
    <s v="AC00314"/>
    <n v="73.83"/>
    <d v="2023-01-05T18:29:09"/>
    <s v="Debit"/>
    <x v="17"/>
    <s v="D000546"/>
    <s v="44.67.137.125"/>
    <s v="M097"/>
    <s v="Online"/>
    <n v="69"/>
    <s v="Doctor"/>
    <n v="69"/>
    <n v="1"/>
    <n v="6020.29"/>
    <d v="2024-11-04T08:06:50"/>
    <n v="18"/>
    <s v="Thursday"/>
    <n v="-0.76645541067343703"/>
    <b v="0"/>
    <b v="0"/>
    <b v="1"/>
    <n v="0"/>
    <m/>
    <n v="0"/>
    <m/>
  </r>
  <r>
    <s v="TX001813"/>
    <s v="AC00054"/>
    <n v="67.33"/>
    <d v="2023-04-13T18:15:52"/>
    <s v="Debit"/>
    <x v="8"/>
    <s v="D000538"/>
    <s v="133.63.96.21"/>
    <s v="M073"/>
    <s v="Online"/>
    <n v="59"/>
    <s v="Engineer"/>
    <n v="36"/>
    <n v="1"/>
    <n v="5925.98"/>
    <d v="2024-11-04T08:07:11"/>
    <n v="18"/>
    <s v="Thursday"/>
    <n v="-0.78871978347266403"/>
    <b v="0"/>
    <b v="0"/>
    <b v="1"/>
    <n v="0"/>
    <m/>
    <n v="0"/>
    <m/>
  </r>
  <r>
    <s v="TX001814"/>
    <s v="AC00036"/>
    <n v="26.92"/>
    <d v="2023-05-18T18:15:02"/>
    <s v="Debit"/>
    <x v="7"/>
    <s v="D000687"/>
    <s v="49.20.211.229"/>
    <s v="M053"/>
    <s v="ATM"/>
    <n v="62"/>
    <s v="Retired"/>
    <n v="43"/>
    <n v="1"/>
    <n v="1674.94"/>
    <d v="2024-11-04T08:07:16"/>
    <n v="18"/>
    <s v="Thursday"/>
    <n v="-0.92713567652139395"/>
    <b v="0"/>
    <b v="0"/>
    <b v="1"/>
    <n v="0"/>
    <m/>
    <n v="0"/>
    <m/>
  </r>
  <r>
    <s v="TX001815"/>
    <s v="AC00397"/>
    <n v="18.3"/>
    <d v="2023-02-13T16:21:46"/>
    <s v="Debit"/>
    <x v="2"/>
    <s v="D000315"/>
    <s v="168.55.35.243"/>
    <s v="M011"/>
    <s v="Online"/>
    <n v="48"/>
    <s v="Engineer"/>
    <n v="155"/>
    <n v="1"/>
    <n v="3733.52"/>
    <d v="2024-11-04T08:08:03"/>
    <n v="16"/>
    <s v="Monday"/>
    <n v="-0.95666166014129195"/>
    <b v="0"/>
    <b v="0"/>
    <b v="1"/>
    <n v="0"/>
    <m/>
    <n v="0"/>
    <m/>
  </r>
  <r>
    <s v="TX001816"/>
    <s v="AC00355"/>
    <n v="317.94"/>
    <d v="2023-01-25T17:46:40"/>
    <s v="Debit"/>
    <x v="16"/>
    <s v="D000335"/>
    <s v="170.54.231.239"/>
    <s v="M091"/>
    <s v="ATM"/>
    <n v="54"/>
    <s v="Engineer"/>
    <n v="124"/>
    <n v="1"/>
    <n v="2996.51"/>
    <d v="2024-11-04T08:11:41"/>
    <n v="17"/>
    <s v="Wednesday"/>
    <n v="6.9691673021824899E-2"/>
    <b v="0"/>
    <b v="0"/>
    <b v="1"/>
    <n v="0"/>
    <m/>
    <n v="0"/>
    <m/>
  </r>
  <r>
    <s v="TX001817"/>
    <s v="AC00188"/>
    <n v="179.38"/>
    <d v="2023-03-13T17:16:57"/>
    <s v="Debit"/>
    <x v="2"/>
    <s v="D000218"/>
    <s v="199.59.68.207"/>
    <s v="M028"/>
    <s v="Online"/>
    <n v="40"/>
    <s v="Doctor"/>
    <n v="173"/>
    <n v="1"/>
    <n v="11666.18"/>
    <d v="2024-11-04T08:10:30"/>
    <n v="17"/>
    <s v="Monday"/>
    <n v="-0.40491624929522702"/>
    <b v="0"/>
    <b v="0"/>
    <b v="1"/>
    <n v="0"/>
    <m/>
    <n v="0"/>
    <m/>
  </r>
  <r>
    <s v="TX001818"/>
    <s v="AC00222"/>
    <n v="918.95"/>
    <d v="2023-05-01T16:43:40"/>
    <s v="Debit"/>
    <x v="6"/>
    <s v="D000563"/>
    <s v="106.244.1.47"/>
    <s v="M026"/>
    <s v="Online"/>
    <n v="68"/>
    <s v="Doctor"/>
    <n v="139"/>
    <n v="1"/>
    <n v="7006.46"/>
    <d v="2024-11-04T08:07:44"/>
    <n v="16"/>
    <s v="Monday"/>
    <n v="2.1283240878007699"/>
    <b v="1"/>
    <b v="0"/>
    <b v="1"/>
    <n v="1"/>
    <m/>
    <n v="1"/>
    <m/>
  </r>
  <r>
    <s v="TX001819"/>
    <s v="AC00094"/>
    <n v="13.92"/>
    <d v="2023-05-29T17:30:14"/>
    <s v="Debit"/>
    <x v="16"/>
    <s v="D000553"/>
    <s v="92.214.76.157"/>
    <s v="M024"/>
    <s v="ATM"/>
    <n v="37"/>
    <s v="Engineer"/>
    <n v="209"/>
    <n v="1"/>
    <n v="2735.84"/>
    <d v="2024-11-04T08:09:58"/>
    <n v="17"/>
    <s v="Monday"/>
    <n v="-0.97166442211984705"/>
    <b v="0"/>
    <b v="0"/>
    <b v="1"/>
    <n v="0"/>
    <m/>
    <n v="0"/>
    <m/>
  </r>
  <r>
    <s v="TX001820"/>
    <s v="AC00004"/>
    <n v="365.43"/>
    <d v="2023-11-23T16:51:06"/>
    <s v="Debit"/>
    <x v="42"/>
    <s v="D000146"/>
    <s v="136.172.149.77"/>
    <s v="M014"/>
    <s v="ATM"/>
    <n v="25"/>
    <s v="Student"/>
    <n v="176"/>
    <n v="1"/>
    <n v="1073.51"/>
    <d v="2024-11-04T08:09:24"/>
    <n v="16"/>
    <s v="Thursday"/>
    <n v="0.23235860598109701"/>
    <b v="0"/>
    <b v="0"/>
    <b v="1"/>
    <n v="0"/>
    <m/>
    <n v="0"/>
    <m/>
  </r>
  <r>
    <s v="TX001821"/>
    <s v="AC00021"/>
    <n v="263.58999999999997"/>
    <d v="2023-01-23T16:03:04"/>
    <s v="Debit"/>
    <x v="34"/>
    <s v="D000333"/>
    <s v="150.25.200.56"/>
    <s v="M052"/>
    <s v="Branch"/>
    <n v="71"/>
    <s v="Retired"/>
    <n v="16"/>
    <n v="1"/>
    <n v="6996.35"/>
    <d v="2024-11-04T08:12:00"/>
    <n v="16"/>
    <s v="Monday"/>
    <n v="-0.116472736460939"/>
    <b v="0"/>
    <b v="0"/>
    <b v="1"/>
    <n v="0"/>
    <m/>
    <n v="0"/>
    <m/>
  </r>
  <r>
    <s v="TX001822"/>
    <s v="AC00102"/>
    <n v="54.8"/>
    <d v="2023-06-01T16:15:49"/>
    <s v="Debit"/>
    <x v="10"/>
    <s v="D000168"/>
    <s v="87.50.72.69"/>
    <s v="M093"/>
    <s v="Branch"/>
    <n v="34"/>
    <s v="Engineer"/>
    <n v="140"/>
    <n v="1"/>
    <n v="4943.49"/>
    <d v="2024-11-04T08:08:57"/>
    <n v="16"/>
    <s v="Thursday"/>
    <n v="-0.83163864365332696"/>
    <b v="0"/>
    <b v="0"/>
    <b v="1"/>
    <n v="0"/>
    <m/>
    <n v="0"/>
    <m/>
  </r>
  <r>
    <s v="TX001823"/>
    <s v="AC00367"/>
    <n v="141.49"/>
    <d v="2023-09-20T16:57:04"/>
    <s v="Debit"/>
    <x v="21"/>
    <s v="D000657"/>
    <s v="150.25.200.56"/>
    <s v="M007"/>
    <s v="Online"/>
    <n v="24"/>
    <s v="Student"/>
    <n v="75"/>
    <n v="1"/>
    <n v="1665.58"/>
    <d v="2024-11-04T08:11:28"/>
    <n v="16"/>
    <s v="Wednesday"/>
    <n v="-0.53470041627410303"/>
    <b v="0"/>
    <b v="0"/>
    <b v="1"/>
    <n v="0"/>
    <m/>
    <n v="0"/>
    <m/>
  </r>
  <r>
    <s v="TX001824"/>
    <s v="AC00137"/>
    <n v="31.39"/>
    <d v="2023-01-09T17:09:31"/>
    <s v="Debit"/>
    <x v="28"/>
    <s v="D000214"/>
    <s v="186.57.149.225"/>
    <s v="M068"/>
    <s v="ATM"/>
    <n v="20"/>
    <s v="Student"/>
    <n v="15"/>
    <n v="1"/>
    <n v="998.49"/>
    <d v="2024-11-04T08:06:27"/>
    <n v="17"/>
    <s v="Monday"/>
    <n v="-0.91182463861177199"/>
    <b v="0"/>
    <b v="0"/>
    <b v="1"/>
    <n v="0"/>
    <m/>
    <n v="0"/>
    <m/>
  </r>
  <r>
    <s v="TX001825"/>
    <s v="AC00289"/>
    <n v="93.82"/>
    <d v="2023-06-26T17:37:20"/>
    <s v="Debit"/>
    <x v="0"/>
    <s v="D000018"/>
    <s v="16.250.113.156"/>
    <s v="M006"/>
    <s v="Online"/>
    <n v="39"/>
    <s v="Engineer"/>
    <n v="176"/>
    <n v="1"/>
    <n v="8422.06"/>
    <d v="2024-11-04T08:11:15"/>
    <n v="17"/>
    <s v="Monday"/>
    <n v="-0.69798390109550801"/>
    <b v="0"/>
    <b v="0"/>
    <b v="1"/>
    <n v="0"/>
    <m/>
    <n v="0"/>
    <m/>
  </r>
  <r>
    <s v="TX001826"/>
    <s v="AC00458"/>
    <n v="5.71"/>
    <d v="2023-12-01T17:35:32"/>
    <s v="Debit"/>
    <x v="28"/>
    <s v="D000231"/>
    <s v="109.42.41.157"/>
    <s v="M071"/>
    <s v="Branch"/>
    <n v="21"/>
    <s v="Student"/>
    <n v="106"/>
    <n v="1"/>
    <n v="1285.42"/>
    <d v="2024-11-04T08:10:30"/>
    <n v="17"/>
    <s v="Friday"/>
    <n v="-0.99978603760933205"/>
    <b v="0"/>
    <b v="0"/>
    <b v="1"/>
    <n v="0"/>
    <m/>
    <n v="0"/>
    <m/>
  </r>
  <r>
    <s v="TX001827"/>
    <s v="AC00493"/>
    <n v="178.39"/>
    <d v="2023-08-15T18:22:03"/>
    <s v="Debit"/>
    <x v="28"/>
    <s v="D000257"/>
    <s v="65.27.212.129"/>
    <s v="M080"/>
    <s v="Online"/>
    <n v="34"/>
    <s v="Engineer"/>
    <n v="98"/>
    <n v="1"/>
    <n v="8469.43"/>
    <d v="2024-11-04T08:09:32"/>
    <n v="18"/>
    <s v="Tuesday"/>
    <n v="-0.40830728453695497"/>
    <b v="0"/>
    <b v="0"/>
    <b v="1"/>
    <n v="0"/>
    <m/>
    <n v="0"/>
    <m/>
  </r>
  <r>
    <s v="TX001828"/>
    <s v="AC00059"/>
    <n v="126.91"/>
    <d v="2023-08-23T16:04:43"/>
    <s v="Debit"/>
    <x v="31"/>
    <s v="D000268"/>
    <s v="86.103.2.29"/>
    <s v="M050"/>
    <s v="ATM"/>
    <n v="22"/>
    <s v="Student"/>
    <n v="42"/>
    <n v="1"/>
    <n v="692.69"/>
    <d v="2024-11-04T08:08:11"/>
    <n v="16"/>
    <s v="Wednesday"/>
    <n v="-0.58464111710682998"/>
    <b v="0"/>
    <b v="0"/>
    <b v="1"/>
    <n v="0"/>
    <m/>
    <n v="0"/>
    <m/>
  </r>
  <r>
    <s v="TX001829"/>
    <s v="AC00281"/>
    <n v="36.090000000000003"/>
    <d v="2023-06-16T16:19:02"/>
    <s v="Debit"/>
    <x v="15"/>
    <s v="D000334"/>
    <s v="94.88.45.190"/>
    <s v="M095"/>
    <s v="Branch"/>
    <n v="53"/>
    <s v="Doctor"/>
    <n v="167"/>
    <n v="1"/>
    <n v="12319.26"/>
    <d v="2024-11-04T08:07:59"/>
    <n v="16"/>
    <s v="Friday"/>
    <n v="-0.89572578443386996"/>
    <b v="0"/>
    <b v="0"/>
    <b v="1"/>
    <n v="0"/>
    <m/>
    <n v="0"/>
    <m/>
  </r>
  <r>
    <s v="TX001830"/>
    <s v="AC00020"/>
    <n v="91.77"/>
    <d v="2023-03-15T17:39:11"/>
    <s v="Debit"/>
    <x v="32"/>
    <s v="D000504"/>
    <s v="93.160.83.196"/>
    <s v="M042"/>
    <s v="Branch"/>
    <n v="51"/>
    <s v="Doctor"/>
    <n v="174"/>
    <n v="1"/>
    <n v="9240.73"/>
    <d v="2024-11-04T08:07:12"/>
    <n v="17"/>
    <s v="Wednesday"/>
    <n v="-0.70500574174757202"/>
    <b v="0"/>
    <b v="0"/>
    <b v="1"/>
    <n v="0"/>
    <m/>
    <n v="0"/>
    <m/>
  </r>
  <r>
    <s v="TX001831"/>
    <s v="AC00396"/>
    <n v="198.92"/>
    <d v="2023-10-23T16:47:56"/>
    <s v="Debit"/>
    <x v="20"/>
    <s v="D000301"/>
    <s v="4.101.189.38"/>
    <s v="M020"/>
    <s v="Online"/>
    <n v="36"/>
    <s v="Engineer"/>
    <n v="100"/>
    <n v="1"/>
    <n v="2854.66"/>
    <d v="2024-11-04T08:10:19"/>
    <n v="16"/>
    <s v="Monday"/>
    <n v="-0.33798611937262901"/>
    <b v="0"/>
    <b v="0"/>
    <b v="1"/>
    <n v="0"/>
    <m/>
    <n v="0"/>
    <m/>
  </r>
  <r>
    <s v="TX001832"/>
    <s v="AC00402"/>
    <n v="137.81"/>
    <d v="2023-10-26T16:52:14"/>
    <s v="Debit"/>
    <x v="8"/>
    <s v="D000260"/>
    <s v="145.76.10.8"/>
    <s v="M067"/>
    <s v="Branch"/>
    <n v="58"/>
    <s v="Engineer"/>
    <n v="44"/>
    <n v="1"/>
    <n v="2631.47"/>
    <d v="2024-11-04T08:07:40"/>
    <n v="16"/>
    <s v="Thursday"/>
    <n v="-0.54730547656658801"/>
    <b v="0"/>
    <b v="0"/>
    <b v="1"/>
    <n v="0"/>
    <m/>
    <n v="0"/>
    <m/>
  </r>
  <r>
    <s v="TX001833"/>
    <s v="AC00385"/>
    <n v="136.88"/>
    <d v="2023-07-18T17:41:52"/>
    <s v="Credit"/>
    <x v="11"/>
    <s v="D000545"/>
    <s v="115.241.186.164"/>
    <s v="M029"/>
    <s v="Branch"/>
    <n v="24"/>
    <s v="Student"/>
    <n v="71"/>
    <n v="1"/>
    <n v="7465.95"/>
    <d v="2024-11-04T08:10:54"/>
    <n v="17"/>
    <s v="Tuesday"/>
    <n v="-0.55049099452093897"/>
    <b v="0"/>
    <b v="0"/>
    <b v="1"/>
    <n v="0"/>
    <m/>
    <n v="0"/>
    <m/>
  </r>
  <r>
    <s v="TX001834"/>
    <s v="AC00167"/>
    <n v="133.07"/>
    <d v="2023-09-13T16:22:48"/>
    <s v="Debit"/>
    <x v="30"/>
    <s v="D000312"/>
    <s v="207.157.126.125"/>
    <s v="M001"/>
    <s v="Branch"/>
    <n v="21"/>
    <s v="Student"/>
    <n v="155"/>
    <n v="1"/>
    <n v="1670.99"/>
    <d v="2024-11-04T08:08:41"/>
    <n v="16"/>
    <s v="Wednesday"/>
    <n v="-0.563541342269409"/>
    <b v="0"/>
    <b v="0"/>
    <b v="1"/>
    <n v="0"/>
    <m/>
    <n v="0"/>
    <m/>
  </r>
  <r>
    <s v="TX001835"/>
    <s v="AC00349"/>
    <n v="1.1399999999999999"/>
    <d v="2023-10-23T16:15:08"/>
    <s v="Debit"/>
    <x v="7"/>
    <s v="D000159"/>
    <s v="93.218.115.132"/>
    <s v="M071"/>
    <s v="Branch"/>
    <n v="43"/>
    <s v="Doctor"/>
    <n v="137"/>
    <n v="1"/>
    <n v="13913.92"/>
    <d v="2024-11-04T08:11:37"/>
    <n v="16"/>
    <s v="Monday"/>
    <n v="-1.0154396043312499"/>
    <b v="0"/>
    <b v="0"/>
    <b v="1"/>
    <n v="0"/>
    <m/>
    <n v="0"/>
    <m/>
  </r>
  <r>
    <s v="TX001836"/>
    <s v="AC00153"/>
    <n v="256.33999999999997"/>
    <d v="2023-08-21T16:42:02"/>
    <s v="Debit"/>
    <x v="31"/>
    <s v="D000383"/>
    <s v="89.18.54.235"/>
    <s v="M057"/>
    <s v="Branch"/>
    <n v="69"/>
    <s v="Retired"/>
    <n v="99"/>
    <n v="1"/>
    <n v="7471.63"/>
    <d v="2024-11-04T08:07:03"/>
    <n v="16"/>
    <s v="Monday"/>
    <n v="-0.14130607535238399"/>
    <b v="0"/>
    <b v="0"/>
    <b v="1"/>
    <n v="0"/>
    <m/>
    <n v="0"/>
    <m/>
  </r>
  <r>
    <s v="TX001837"/>
    <s v="AC00197"/>
    <n v="56.11"/>
    <d v="2023-03-27T17:25:28"/>
    <s v="Debit"/>
    <x v="35"/>
    <s v="D000668"/>
    <s v="133.63.96.21"/>
    <s v="M025"/>
    <s v="Branch"/>
    <n v="36"/>
    <s v="Doctor"/>
    <n v="109"/>
    <n v="1"/>
    <n v="11123.65"/>
    <d v="2024-11-04T08:06:58"/>
    <n v="17"/>
    <s v="Monday"/>
    <n v="-0.82715151621225202"/>
    <b v="0"/>
    <b v="0"/>
    <b v="1"/>
    <n v="0"/>
    <m/>
    <n v="0"/>
    <m/>
  </r>
  <r>
    <s v="TX001838"/>
    <s v="AC00219"/>
    <n v="118.1"/>
    <d v="2023-09-25T16:07:30"/>
    <s v="Debit"/>
    <x v="18"/>
    <s v="D000274"/>
    <s v="62.27.235.199"/>
    <s v="M058"/>
    <s v="ATM"/>
    <n v="50"/>
    <s v="Engineer"/>
    <n v="50"/>
    <n v="1"/>
    <n v="7976.6"/>
    <d v="2024-11-04T08:12:07"/>
    <n v="16"/>
    <s v="Monday"/>
    <n v="-0.61481790547008897"/>
    <b v="0"/>
    <b v="0"/>
    <b v="1"/>
    <n v="0"/>
    <m/>
    <n v="0"/>
    <m/>
  </r>
  <r>
    <s v="TX001839"/>
    <s v="AC00255"/>
    <n v="137.86000000000001"/>
    <d v="2023-08-28T16:16:57"/>
    <s v="Credit"/>
    <x v="30"/>
    <s v="D000431"/>
    <s v="110.64.1.201"/>
    <s v="M096"/>
    <s v="Online"/>
    <n v="66"/>
    <s v="Doctor"/>
    <n v="120"/>
    <n v="1"/>
    <n v="8046.94"/>
    <d v="2024-11-04T08:11:15"/>
    <n v="16"/>
    <s v="Monday"/>
    <n v="-0.54713421216044"/>
    <b v="0"/>
    <b v="0"/>
    <b v="1"/>
    <n v="0"/>
    <m/>
    <n v="0"/>
    <m/>
  </r>
  <r>
    <s v="TX001840"/>
    <s v="AC00035"/>
    <n v="813.78"/>
    <d v="2023-08-07T17:42:03"/>
    <s v="Credit"/>
    <x v="4"/>
    <s v="D000627"/>
    <s v="101.90.40.193"/>
    <s v="M012"/>
    <s v="ATM"/>
    <n v="54"/>
    <s v="Doctor"/>
    <n v="55"/>
    <n v="1"/>
    <n v="14935.5"/>
    <d v="2024-11-04T08:08:31"/>
    <n v="17"/>
    <s v="Monday"/>
    <n v="1.7680865359092801"/>
    <b v="0"/>
    <b v="0"/>
    <b v="1"/>
    <n v="0"/>
    <m/>
    <n v="0"/>
    <m/>
  </r>
  <r>
    <s v="TX001841"/>
    <s v="AC00003"/>
    <n v="237.97"/>
    <d v="2023-01-09T17:26:46"/>
    <s v="Debit"/>
    <x v="15"/>
    <s v="D000498"/>
    <s v="170.154.69.105"/>
    <s v="M089"/>
    <s v="ATM"/>
    <n v="69"/>
    <s v="Doctor"/>
    <n v="69"/>
    <n v="1"/>
    <n v="13486.15"/>
    <d v="2024-11-04T08:06:37"/>
    <n v="17"/>
    <s v="Monday"/>
    <n v="-0.20422861817112101"/>
    <b v="0"/>
    <b v="0"/>
    <b v="1"/>
    <n v="0"/>
    <m/>
    <n v="0"/>
    <m/>
  </r>
  <r>
    <s v="TX001842"/>
    <s v="AC00136"/>
    <n v="684.96"/>
    <d v="2023-01-09T16:19:47"/>
    <s v="Debit"/>
    <x v="2"/>
    <s v="D000445"/>
    <s v="165.114.224.47"/>
    <s v="M070"/>
    <s v="ATM"/>
    <n v="21"/>
    <s v="Student"/>
    <n v="31"/>
    <n v="1"/>
    <n v="526.66999999999996"/>
    <d v="2024-11-04T08:07:05"/>
    <n v="16"/>
    <s v="Monday"/>
    <n v="1.3268409199098401"/>
    <b v="0"/>
    <b v="0"/>
    <b v="1"/>
    <n v="0"/>
    <m/>
    <n v="0"/>
    <m/>
  </r>
  <r>
    <s v="TX001843"/>
    <s v="AC00337"/>
    <n v="878.63"/>
    <d v="2023-04-06T16:59:33"/>
    <s v="Debit"/>
    <x v="15"/>
    <s v="D000636"/>
    <s v="61.95.76.233"/>
    <s v="M080"/>
    <s v="ATM"/>
    <n v="60"/>
    <s v="Engineer"/>
    <n v="139"/>
    <n v="1"/>
    <n v="4954.37"/>
    <d v="2024-11-04T08:07:05"/>
    <n v="16"/>
    <s v="Thursday"/>
    <n v="1.99021647068311"/>
    <b v="0"/>
    <b v="0"/>
    <b v="1"/>
    <n v="0"/>
    <m/>
    <n v="0"/>
    <m/>
  </r>
  <r>
    <s v="TX001844"/>
    <s v="AC00265"/>
    <n v="276.56"/>
    <d v="2023-04-10T17:26:14"/>
    <s v="Debit"/>
    <x v="14"/>
    <s v="D000655"/>
    <s v="28.120.130.118"/>
    <s v="M002"/>
    <s v="Branch"/>
    <n v="68"/>
    <s v="Doctor"/>
    <n v="15"/>
    <n v="1"/>
    <n v="8942.58"/>
    <d v="2024-11-04T08:08:57"/>
    <n v="17"/>
    <s v="Monday"/>
    <n v="-7.2046749506174498E-2"/>
    <b v="0"/>
    <b v="0"/>
    <b v="1"/>
    <n v="0"/>
    <m/>
    <n v="0"/>
    <m/>
  </r>
  <r>
    <s v="TX001845"/>
    <s v="AC00356"/>
    <n v="8.75"/>
    <d v="2023-06-15T16:10:51"/>
    <s v="Debit"/>
    <x v="12"/>
    <s v="D000502"/>
    <s v="6.44.165.160"/>
    <s v="M043"/>
    <s v="ATM"/>
    <n v="79"/>
    <s v="Retired"/>
    <n v="199"/>
    <n v="1"/>
    <n v="4044.62"/>
    <d v="2024-11-04T08:10:17"/>
    <n v="16"/>
    <s v="Thursday"/>
    <n v="-0.98937316171554002"/>
    <b v="0"/>
    <b v="0"/>
    <b v="1"/>
    <n v="0"/>
    <m/>
    <n v="0"/>
    <m/>
  </r>
  <r>
    <s v="TX001846"/>
    <s v="AC00305"/>
    <n v="637.48"/>
    <d v="2023-09-18T16:27:52"/>
    <s v="Debit"/>
    <x v="40"/>
    <s v="D000005"/>
    <s v="72.192.101.196"/>
    <s v="M016"/>
    <s v="Online"/>
    <n v="65"/>
    <s v="Retired"/>
    <n v="207"/>
    <n v="1"/>
    <n v="4148.8500000000004"/>
    <d v="2024-11-04T08:08:09"/>
    <n v="16"/>
    <s v="Monday"/>
    <n v="1.1642082398318001"/>
    <b v="0"/>
    <b v="0"/>
    <b v="1"/>
    <n v="0"/>
    <m/>
    <n v="0"/>
    <m/>
  </r>
  <r>
    <s v="TX001847"/>
    <s v="AC00300"/>
    <n v="103.15"/>
    <d v="2023-08-30T17:56:47"/>
    <s v="Debit"/>
    <x v="0"/>
    <s v="D000658"/>
    <s v="161.177.41.214"/>
    <s v="M010"/>
    <s v="Branch"/>
    <n v="51"/>
    <s v="Doctor"/>
    <n v="179"/>
    <n v="1"/>
    <n v="11388.15"/>
    <d v="2024-11-04T08:07:27"/>
    <n v="17"/>
    <s v="Wednesday"/>
    <n v="-0.66602596290830995"/>
    <b v="0"/>
    <b v="0"/>
    <b v="1"/>
    <n v="0"/>
    <m/>
    <n v="0"/>
    <m/>
  </r>
  <r>
    <s v="TX001848"/>
    <s v="AC00301"/>
    <n v="505.6"/>
    <d v="2023-02-14T17:56:46"/>
    <s v="Debit"/>
    <x v="13"/>
    <s v="D000331"/>
    <s v="104.155.121.252"/>
    <s v="M021"/>
    <s v="Branch"/>
    <n v="52"/>
    <s v="Retired"/>
    <n v="183"/>
    <n v="1"/>
    <n v="5347.57"/>
    <d v="2024-11-04T08:10:09"/>
    <n v="17"/>
    <s v="Tuesday"/>
    <n v="0.71248124217611097"/>
    <b v="0"/>
    <b v="0"/>
    <b v="1"/>
    <n v="0"/>
    <m/>
    <n v="0"/>
    <m/>
  </r>
  <r>
    <s v="TX001849"/>
    <s v="AC00154"/>
    <n v="371.86"/>
    <d v="2023-02-20T17:28:57"/>
    <s v="Debit"/>
    <x v="19"/>
    <s v="D000147"/>
    <s v="41.110.46.150"/>
    <s v="M073"/>
    <s v="ATM"/>
    <n v="46"/>
    <s v="Doctor"/>
    <n v="91"/>
    <n v="1"/>
    <n v="1329.45"/>
    <d v="2024-11-04T08:08:19"/>
    <n v="17"/>
    <s v="Monday"/>
    <n v="0.25438320861171698"/>
    <b v="0"/>
    <b v="0"/>
    <b v="1"/>
    <n v="0"/>
    <m/>
    <n v="0"/>
    <m/>
  </r>
  <r>
    <s v="TX001850"/>
    <s v="AC00201"/>
    <n v="14.26"/>
    <d v="2023-11-27T17:04:28"/>
    <s v="Debit"/>
    <x v="33"/>
    <s v="D000122"/>
    <s v="62.152.134.92"/>
    <s v="M094"/>
    <s v="Branch"/>
    <n v="50"/>
    <s v="Engineer"/>
    <n v="37"/>
    <n v="1"/>
    <n v="2475.65"/>
    <d v="2024-11-04T08:09:14"/>
    <n v="17"/>
    <s v="Monday"/>
    <n v="-0.97049982415804203"/>
    <b v="0"/>
    <b v="0"/>
    <b v="1"/>
    <n v="0"/>
    <m/>
    <n v="0"/>
    <m/>
  </r>
  <r>
    <s v="TX001851"/>
    <s v="AC00004"/>
    <n v="13.16"/>
    <d v="2023-05-01T17:36:10"/>
    <s v="Debit"/>
    <x v="2"/>
    <s v="D000098"/>
    <s v="161.177.41.214"/>
    <s v="M084"/>
    <s v="Branch"/>
    <n v="43"/>
    <s v="Engineer"/>
    <n v="98"/>
    <n v="1"/>
    <n v="1019.46"/>
    <d v="2024-11-04T08:10:30"/>
    <n v="17"/>
    <s v="Monday"/>
    <n v="-0.974267641093295"/>
    <b v="0"/>
    <b v="0"/>
    <b v="1"/>
    <n v="0"/>
    <m/>
    <n v="0"/>
    <m/>
  </r>
  <r>
    <s v="TX001852"/>
    <s v="AC00237"/>
    <n v="167.92"/>
    <d v="2023-06-26T17:54:14"/>
    <s v="Debit"/>
    <x v="11"/>
    <s v="D000671"/>
    <s v="214.125.131.88"/>
    <s v="M050"/>
    <s v="ATM"/>
    <n v="40"/>
    <s v="Doctor"/>
    <n v="136"/>
    <n v="2"/>
    <n v="14321.73"/>
    <d v="2024-11-04T08:08:14"/>
    <n v="17"/>
    <s v="Monday"/>
    <n v="-0.44417005118432501"/>
    <b v="0"/>
    <b v="1"/>
    <b v="1"/>
    <n v="1"/>
    <m/>
    <n v="0"/>
    <m/>
  </r>
  <r>
    <s v="TX001853"/>
    <s v="AC00304"/>
    <n v="73.010000000000005"/>
    <d v="2023-05-09T17:02:28"/>
    <s v="Debit"/>
    <x v="1"/>
    <s v="D000402"/>
    <s v="193.217.248.188"/>
    <s v="M070"/>
    <s v="ATM"/>
    <n v="56"/>
    <s v="Retired"/>
    <n v="101"/>
    <n v="1"/>
    <n v="2833.12"/>
    <d v="2024-11-04T08:09:48"/>
    <n v="17"/>
    <s v="Tuesday"/>
    <n v="-0.76926414693426304"/>
    <b v="0"/>
    <b v="0"/>
    <b v="1"/>
    <n v="0"/>
    <m/>
    <n v="0"/>
    <m/>
  </r>
  <r>
    <s v="TX001854"/>
    <s v="AC00086"/>
    <n v="201.5"/>
    <d v="2023-07-14T18:11:41"/>
    <s v="Credit"/>
    <x v="34"/>
    <s v="D000059"/>
    <s v="193.83.0.183"/>
    <s v="M066"/>
    <s v="Online"/>
    <n v="61"/>
    <s v="Doctor"/>
    <n v="196"/>
    <n v="1"/>
    <n v="12148.32"/>
    <d v="2024-11-04T08:08:48"/>
    <n v="18"/>
    <s v="Friday"/>
    <n v="-0.329148876015397"/>
    <b v="0"/>
    <b v="0"/>
    <b v="1"/>
    <n v="0"/>
    <m/>
    <n v="0"/>
    <m/>
  </r>
  <r>
    <s v="TX001855"/>
    <s v="AC00483"/>
    <n v="150.30000000000001"/>
    <d v="2023-08-07T17:25:53"/>
    <s v="Debit"/>
    <x v="17"/>
    <s v="D000362"/>
    <s v="188.77.83.72"/>
    <s v="M077"/>
    <s v="Online"/>
    <n v="41"/>
    <s v="Doctor"/>
    <n v="204"/>
    <n v="1"/>
    <n v="14371.08"/>
    <d v="2024-11-04T08:08:30"/>
    <n v="17"/>
    <s v="Monday"/>
    <n v="-0.50452362791084304"/>
    <b v="0"/>
    <b v="0"/>
    <b v="1"/>
    <n v="0"/>
    <m/>
    <n v="0"/>
    <m/>
  </r>
  <r>
    <s v="TX001856"/>
    <s v="AC00288"/>
    <n v="23.7"/>
    <d v="2023-10-26T17:51:32"/>
    <s v="Debit"/>
    <x v="23"/>
    <s v="D000142"/>
    <s v="200.13.225.150"/>
    <s v="M071"/>
    <s v="ATM"/>
    <n v="46"/>
    <s v="Doctor"/>
    <n v="32"/>
    <n v="1"/>
    <n v="7947.44"/>
    <d v="2024-11-04T08:11:44"/>
    <n v="17"/>
    <s v="Thursday"/>
    <n v="-0.93816510427731903"/>
    <b v="0"/>
    <b v="0"/>
    <b v="1"/>
    <n v="0"/>
    <m/>
    <n v="0"/>
    <m/>
  </r>
  <r>
    <s v="TX001857"/>
    <s v="AC00134"/>
    <n v="49.59"/>
    <d v="2023-08-25T16:45:20"/>
    <s v="Debit"/>
    <x v="35"/>
    <s v="D000679"/>
    <s v="18.92.67.57"/>
    <s v="M089"/>
    <s v="Branch"/>
    <n v="48"/>
    <s v="Engineer"/>
    <n v="147"/>
    <n v="1"/>
    <n v="6037.03"/>
    <d v="2024-11-04T08:09:56"/>
    <n v="16"/>
    <s v="Friday"/>
    <n v="-0.849484394773938"/>
    <b v="0"/>
    <b v="0"/>
    <b v="1"/>
    <n v="0"/>
    <m/>
    <n v="0"/>
    <m/>
  </r>
  <r>
    <s v="TX001858"/>
    <s v="AC00130"/>
    <n v="720.13"/>
    <d v="2023-02-14T17:58:31"/>
    <s v="Credit"/>
    <x v="32"/>
    <s v="D000228"/>
    <s v="155.140.33.42"/>
    <s v="M024"/>
    <s v="ATM"/>
    <n v="22"/>
    <s v="Student"/>
    <n v="96"/>
    <n v="1"/>
    <n v="387.02"/>
    <d v="2024-11-04T08:07:31"/>
    <n v="17"/>
    <s v="Tuesday"/>
    <n v="1.44730830319427"/>
    <b v="0"/>
    <b v="0"/>
    <b v="1"/>
    <n v="0"/>
    <m/>
    <n v="0"/>
    <m/>
  </r>
  <r>
    <s v="TX001859"/>
    <s v="AC00393"/>
    <n v="134.91999999999999"/>
    <d v="2023-10-31T16:46:18"/>
    <s v="Debit"/>
    <x v="16"/>
    <s v="D000636"/>
    <s v="125.225.212.244"/>
    <s v="M021"/>
    <s v="Online"/>
    <n v="19"/>
    <s v="Student"/>
    <n v="101"/>
    <n v="1"/>
    <n v="1081.97"/>
    <d v="2024-11-04T08:09:40"/>
    <n v="16"/>
    <s v="Tuesday"/>
    <n v="-0.55720455924193701"/>
    <b v="0"/>
    <b v="0"/>
    <b v="1"/>
    <n v="0"/>
    <m/>
    <n v="0"/>
    <m/>
  </r>
  <r>
    <s v="TX001860"/>
    <s v="AC00029"/>
    <n v="116.97"/>
    <d v="2023-07-12T16:52:54"/>
    <s v="Debit"/>
    <x v="5"/>
    <s v="D000054"/>
    <s v="23.92.205.75"/>
    <s v="M041"/>
    <s v="ATM"/>
    <n v="18"/>
    <s v="Student"/>
    <n v="299"/>
    <n v="1"/>
    <n v="729.7"/>
    <d v="2024-11-04T08:08:24"/>
    <n v="16"/>
    <s v="Wednesday"/>
    <n v="-0.61868848104903196"/>
    <b v="0"/>
    <b v="0"/>
    <b v="1"/>
    <n v="0"/>
    <m/>
    <n v="0"/>
    <m/>
  </r>
  <r>
    <s v="TX001861"/>
    <s v="AC00228"/>
    <n v="11.06"/>
    <d v="2023-11-01T17:59:04"/>
    <s v="Debit"/>
    <x v="40"/>
    <s v="D000153"/>
    <s v="30.229.179.194"/>
    <s v="M037"/>
    <s v="ATM"/>
    <n v="34"/>
    <s v="Engineer"/>
    <n v="13"/>
    <n v="3"/>
    <n v="2782.21"/>
    <d v="2024-11-04T08:07:08"/>
    <n v="17"/>
    <s v="Wednesday"/>
    <n v="-0.98146074615150702"/>
    <b v="0"/>
    <b v="1"/>
    <b v="1"/>
    <n v="1"/>
    <m/>
    <n v="0"/>
    <m/>
  </r>
  <r>
    <s v="TX001862"/>
    <s v="AC00131"/>
    <n v="88.29"/>
    <d v="2023-01-20T16:46:06"/>
    <s v="Credit"/>
    <x v="1"/>
    <s v="D000101"/>
    <s v="194.29.57.163"/>
    <s v="M039"/>
    <s v="Online"/>
    <n v="50"/>
    <s v="Engineer"/>
    <n v="287"/>
    <n v="1"/>
    <n v="5245.93"/>
    <d v="2024-11-04T08:09:17"/>
    <n v="16"/>
    <s v="Friday"/>
    <n v="-0.71692574441546497"/>
    <b v="0"/>
    <b v="0"/>
    <b v="1"/>
    <n v="0"/>
    <m/>
    <n v="0"/>
    <m/>
  </r>
  <r>
    <s v="TX001863"/>
    <s v="AC00233"/>
    <n v="5.81"/>
    <d v="2023-06-23T17:36:28"/>
    <s v="Debit"/>
    <x v="1"/>
    <s v="D000007"/>
    <s v="141.121.30.32"/>
    <s v="M064"/>
    <s v="ATM"/>
    <n v="25"/>
    <s v="Student"/>
    <n v="222"/>
    <n v="1"/>
    <n v="1290.95"/>
    <d v="2024-11-04T08:08:02"/>
    <n v="17"/>
    <s v="Friday"/>
    <n v="-0.99944350879703603"/>
    <b v="0"/>
    <b v="0"/>
    <b v="1"/>
    <n v="0"/>
    <m/>
    <n v="0"/>
    <m/>
  </r>
  <r>
    <s v="TX001864"/>
    <s v="AC00017"/>
    <n v="103.48"/>
    <d v="2023-01-30T16:04:17"/>
    <s v="Debit"/>
    <x v="21"/>
    <s v="D000640"/>
    <s v="1.98.25.114"/>
    <s v="M095"/>
    <s v="ATM"/>
    <n v="32"/>
    <s v="Engineer"/>
    <n v="33"/>
    <n v="1"/>
    <n v="6494.25"/>
    <d v="2024-11-04T08:09:34"/>
    <n v="16"/>
    <s v="Monday"/>
    <n v="-0.66489561782773399"/>
    <b v="0"/>
    <b v="0"/>
    <b v="1"/>
    <n v="0"/>
    <m/>
    <n v="0"/>
    <m/>
  </r>
  <r>
    <s v="TX001865"/>
    <s v="AC00071"/>
    <n v="156.74"/>
    <d v="2023-02-24T18:22:31"/>
    <s v="Debit"/>
    <x v="5"/>
    <s v="D000626"/>
    <s v="147.234.20.46"/>
    <s v="M010"/>
    <s v="ATM"/>
    <n v="70"/>
    <s v="Retired"/>
    <n v="136"/>
    <n v="1"/>
    <n v="4004.35"/>
    <d v="2024-11-04T08:08:30"/>
    <n v="18"/>
    <s v="Friday"/>
    <n v="-0.48246477239899399"/>
    <b v="0"/>
    <b v="0"/>
    <b v="1"/>
    <n v="0"/>
    <m/>
    <n v="0"/>
    <m/>
  </r>
  <r>
    <s v="TX001866"/>
    <s v="AC00128"/>
    <n v="505.14"/>
    <d v="2023-01-03T17:33:54"/>
    <s v="Debit"/>
    <x v="42"/>
    <s v="D000431"/>
    <s v="48.89.167.189"/>
    <s v="M058"/>
    <s v="ATM"/>
    <n v="68"/>
    <s v="Retired"/>
    <n v="179"/>
    <n v="1"/>
    <n v="2525.4699999999998"/>
    <d v="2024-11-04T08:11:16"/>
    <n v="17"/>
    <s v="Tuesday"/>
    <n v="0.71090560963955096"/>
    <b v="0"/>
    <b v="0"/>
    <b v="1"/>
    <n v="0"/>
    <m/>
    <n v="0"/>
    <m/>
  </r>
  <r>
    <s v="TX001867"/>
    <s v="AC00073"/>
    <n v="31.06"/>
    <d v="2023-11-20T16:59:13"/>
    <s v="Debit"/>
    <x v="31"/>
    <s v="D000308"/>
    <s v="41.0.10.107"/>
    <s v="M072"/>
    <s v="ATM"/>
    <n v="46"/>
    <s v="Doctor"/>
    <n v="61"/>
    <n v="1"/>
    <n v="11014.25"/>
    <d v="2024-11-04T08:07:24"/>
    <n v="16"/>
    <s v="Monday"/>
    <n v="-0.91295498369234795"/>
    <b v="0"/>
    <b v="0"/>
    <b v="1"/>
    <n v="0"/>
    <m/>
    <n v="0"/>
    <m/>
  </r>
  <r>
    <s v="TX001868"/>
    <s v="AC00353"/>
    <n v="7.61"/>
    <d v="2023-09-21T18:13:38"/>
    <s v="Debit"/>
    <x v="4"/>
    <s v="D000531"/>
    <s v="40.192.99.27"/>
    <s v="M022"/>
    <s v="ATM"/>
    <n v="50"/>
    <s v="Doctor"/>
    <n v="163"/>
    <n v="1"/>
    <n v="6275"/>
    <d v="2024-11-04T08:08:10"/>
    <n v="18"/>
    <s v="Thursday"/>
    <n v="-0.99327799017571206"/>
    <b v="0"/>
    <b v="0"/>
    <b v="1"/>
    <n v="0"/>
    <m/>
    <n v="0"/>
    <m/>
  </r>
  <r>
    <s v="TX001869"/>
    <s v="AC00209"/>
    <n v="276.16000000000003"/>
    <d v="2023-02-13T16:14:17"/>
    <s v="Credit"/>
    <x v="42"/>
    <s v="D000024"/>
    <s v="64.15.0.66"/>
    <s v="M019"/>
    <s v="ATM"/>
    <n v="53"/>
    <s v="Retired"/>
    <n v="71"/>
    <n v="1"/>
    <n v="1733.34"/>
    <d v="2024-11-04T08:11:57"/>
    <n v="16"/>
    <s v="Monday"/>
    <n v="-7.3416864755357594E-2"/>
    <b v="0"/>
    <b v="0"/>
    <b v="1"/>
    <n v="0"/>
    <m/>
    <n v="0"/>
    <m/>
  </r>
  <r>
    <s v="TX001870"/>
    <s v="AC00396"/>
    <n v="145.77000000000001"/>
    <d v="2023-04-05T16:08:13"/>
    <s v="Debit"/>
    <x v="11"/>
    <s v="D000175"/>
    <s v="158.129.49.240"/>
    <s v="M040"/>
    <s v="ATM"/>
    <n v="68"/>
    <s v="Retired"/>
    <n v="237"/>
    <n v="1"/>
    <n v="5294.98"/>
    <d v="2024-11-04T08:11:25"/>
    <n v="16"/>
    <s v="Wednesday"/>
    <n v="-0.52004018310784295"/>
    <b v="0"/>
    <b v="0"/>
    <b v="1"/>
    <n v="0"/>
    <m/>
    <n v="0"/>
    <m/>
  </r>
  <r>
    <s v="TX001871"/>
    <s v="AC00439"/>
    <n v="369.44"/>
    <d v="2023-11-20T17:11:02"/>
    <s v="Debit"/>
    <x v="8"/>
    <s v="D000572"/>
    <s v="26.113.209.69"/>
    <s v="M094"/>
    <s v="Online"/>
    <n v="34"/>
    <s v="Engineer"/>
    <n v="19"/>
    <n v="1"/>
    <n v="5018.67"/>
    <d v="2024-11-04T08:08:32"/>
    <n v="17"/>
    <s v="Monday"/>
    <n v="0.24609401135415801"/>
    <b v="0"/>
    <b v="0"/>
    <b v="1"/>
    <n v="0"/>
    <m/>
    <n v="0"/>
    <m/>
  </r>
  <r>
    <s v="TX001872"/>
    <s v="AC00063"/>
    <n v="558.86"/>
    <d v="2023-03-15T17:27:37"/>
    <s v="Debit"/>
    <x v="14"/>
    <s v="D000072"/>
    <s v="156.173.170.140"/>
    <s v="M040"/>
    <s v="ATM"/>
    <n v="60"/>
    <s v="Doctor"/>
    <n v="95"/>
    <n v="1"/>
    <n v="9844.32"/>
    <d v="2024-11-04T08:11:19"/>
    <n v="17"/>
    <s v="Wednesday"/>
    <n v="0.89491208760485097"/>
    <b v="0"/>
    <b v="0"/>
    <b v="1"/>
    <n v="0"/>
    <m/>
    <n v="0"/>
    <m/>
  </r>
  <r>
    <s v="TX001873"/>
    <s v="AC00203"/>
    <n v="429.15"/>
    <d v="2023-03-09T16:21:09"/>
    <s v="Debit"/>
    <x v="17"/>
    <s v="D000193"/>
    <s v="41.0.10.107"/>
    <s v="M054"/>
    <s v="Branch"/>
    <n v="26"/>
    <s v="Student"/>
    <n v="218"/>
    <n v="1"/>
    <n v="712.13"/>
    <d v="2024-11-04T08:11:30"/>
    <n v="16"/>
    <s v="Thursday"/>
    <n v="0.45061796517597702"/>
    <b v="0"/>
    <b v="0"/>
    <b v="1"/>
    <n v="0"/>
    <m/>
    <n v="0"/>
    <m/>
  </r>
  <r>
    <s v="TX001874"/>
    <s v="AC00394"/>
    <n v="36.74"/>
    <d v="2023-02-06T17:21:37"/>
    <s v="Debit"/>
    <x v="28"/>
    <s v="D000062"/>
    <s v="187.52.200.18"/>
    <s v="M094"/>
    <s v="Branch"/>
    <n v="33"/>
    <s v="Doctor"/>
    <n v="133"/>
    <n v="1"/>
    <n v="6217.58"/>
    <d v="2024-11-04T08:07:57"/>
    <n v="17"/>
    <s v="Monday"/>
    <n v="-0.89349934715394697"/>
    <b v="0"/>
    <b v="0"/>
    <b v="1"/>
    <n v="0"/>
    <m/>
    <n v="0"/>
    <m/>
  </r>
  <r>
    <s v="TX001875"/>
    <s v="AC00258"/>
    <n v="79.14"/>
    <d v="2023-04-12T17:21:31"/>
    <s v="Credit"/>
    <x v="42"/>
    <s v="D000236"/>
    <s v="170.99.15.217"/>
    <s v="M061"/>
    <s v="Online"/>
    <n v="57"/>
    <s v="Retired"/>
    <n v="22"/>
    <n v="1"/>
    <n v="2229.56"/>
    <d v="2024-11-04T08:08:52"/>
    <n v="17"/>
    <s v="Wednesday"/>
    <n v="-0.74826713074053097"/>
    <b v="0"/>
    <b v="0"/>
    <b v="1"/>
    <n v="0"/>
    <m/>
    <n v="0"/>
    <m/>
  </r>
  <r>
    <s v="TX001876"/>
    <s v="AC00144"/>
    <n v="132.47999999999999"/>
    <d v="2023-08-09T18:38:49"/>
    <s v="Debit"/>
    <x v="27"/>
    <s v="D000097"/>
    <s v="44.197.126.59"/>
    <s v="M062"/>
    <s v="Branch"/>
    <n v="36"/>
    <s v="Engineer"/>
    <n v="101"/>
    <n v="1"/>
    <n v="9313.0499999999993"/>
    <d v="2024-11-04T08:07:12"/>
    <n v="18"/>
    <s v="Wednesday"/>
    <n v="-0.56556226226195405"/>
    <b v="0"/>
    <b v="0"/>
    <b v="1"/>
    <n v="0"/>
    <m/>
    <n v="0"/>
    <m/>
  </r>
  <r>
    <s v="TX001877"/>
    <s v="AC00169"/>
    <n v="136.47999999999999"/>
    <d v="2023-08-14T16:46:26"/>
    <s v="Debit"/>
    <x v="27"/>
    <s v="D000119"/>
    <s v="100.137.90.188"/>
    <s v="M079"/>
    <s v="Online"/>
    <n v="52"/>
    <s v="Engineer"/>
    <n v="138"/>
    <n v="4"/>
    <n v="4618.53"/>
    <d v="2024-11-04T08:09:36"/>
    <n v="16"/>
    <s v="Monday"/>
    <n v="-0.55186110977012204"/>
    <b v="0"/>
    <b v="1"/>
    <b v="1"/>
    <n v="1"/>
    <m/>
    <n v="0"/>
    <m/>
  </r>
  <r>
    <s v="TX001878"/>
    <s v="AC00285"/>
    <n v="203.76"/>
    <d v="2023-10-02T16:33:09"/>
    <s v="Debit"/>
    <x v="40"/>
    <s v="D000088"/>
    <s v="221.105.243.251"/>
    <s v="M012"/>
    <s v="Branch"/>
    <n v="55"/>
    <s v="Retired"/>
    <n v="37"/>
    <n v="1"/>
    <n v="6747.16"/>
    <d v="2024-11-04T08:09:45"/>
    <n v="16"/>
    <s v="Monday"/>
    <n v="-0.32140772485751201"/>
    <b v="0"/>
    <b v="0"/>
    <b v="1"/>
    <n v="0"/>
    <m/>
    <n v="0"/>
    <m/>
  </r>
  <r>
    <s v="TX001879"/>
    <s v="AC00047"/>
    <n v="750.95"/>
    <d v="2023-09-08T18:16:31"/>
    <s v="Debit"/>
    <x v="29"/>
    <s v="D000551"/>
    <s v="136.105.231.135"/>
    <s v="M100"/>
    <s v="Branch"/>
    <n v="78"/>
    <s v="Retired"/>
    <n v="27"/>
    <n v="1"/>
    <n v="5134.37"/>
    <d v="2024-11-04T08:11:09"/>
    <n v="18"/>
    <s v="Friday"/>
    <n v="1.5528756831438399"/>
    <b v="0"/>
    <b v="0"/>
    <b v="1"/>
    <n v="0"/>
    <m/>
    <n v="0"/>
    <m/>
  </r>
  <r>
    <s v="TX001880"/>
    <s v="AC00460"/>
    <n v="0.84"/>
    <d v="2024-01-01T16:45:56"/>
    <s v="Debit"/>
    <x v="14"/>
    <s v="D000527"/>
    <s v="136.172.149.77"/>
    <s v="M036"/>
    <s v="ATM"/>
    <n v="52"/>
    <s v="Engineer"/>
    <n v="31"/>
    <n v="1"/>
    <n v="2207.54"/>
    <d v="2024-11-04T08:07:14"/>
    <n v="16"/>
    <s v="Monday"/>
    <n v="-1.01646719076813"/>
    <b v="0"/>
    <b v="0"/>
    <b v="1"/>
    <n v="0"/>
    <m/>
    <n v="0"/>
    <m/>
  </r>
  <r>
    <s v="TX001881"/>
    <s v="AC00073"/>
    <n v="257.18"/>
    <d v="2023-07-10T17:00:03"/>
    <s v="Debit"/>
    <x v="16"/>
    <s v="D000479"/>
    <s v="81.67.222.238"/>
    <s v="M010"/>
    <s v="Online"/>
    <n v="67"/>
    <s v="Doctor"/>
    <n v="28"/>
    <n v="1"/>
    <n v="13336.15"/>
    <d v="2024-11-04T08:10:15"/>
    <n v="17"/>
    <s v="Monday"/>
    <n v="-0.138428833329099"/>
    <b v="0"/>
    <b v="0"/>
    <b v="1"/>
    <n v="0"/>
    <m/>
    <n v="0"/>
    <m/>
  </r>
  <r>
    <s v="TX001882"/>
    <s v="AC00253"/>
    <n v="767.66"/>
    <d v="2023-05-08T17:44:34"/>
    <s v="Debit"/>
    <x v="24"/>
    <s v="D000074"/>
    <s v="193.209.134.233"/>
    <s v="M085"/>
    <s v="ATM"/>
    <n v="63"/>
    <s v="Doctor"/>
    <n v="155"/>
    <n v="1"/>
    <n v="1801.69"/>
    <d v="2024-11-04T08:12:04"/>
    <n v="17"/>
    <s v="Monday"/>
    <n v="1.61011224767846"/>
    <b v="0"/>
    <b v="0"/>
    <b v="1"/>
    <n v="0"/>
    <m/>
    <n v="0"/>
    <m/>
  </r>
  <r>
    <s v="TX001883"/>
    <s v="AC00320"/>
    <n v="182.29"/>
    <d v="2023-05-10T16:55:57"/>
    <s v="Debit"/>
    <x v="0"/>
    <s v="D000193"/>
    <s v="13.30.106.126"/>
    <s v="M032"/>
    <s v="Online"/>
    <n v="54"/>
    <s v="Doctor"/>
    <n v="123"/>
    <n v="1"/>
    <n v="522.39"/>
    <d v="2024-11-04T08:08:24"/>
    <n v="16"/>
    <s v="Wednesday"/>
    <n v="-0.39494866085741898"/>
    <b v="0"/>
    <b v="0"/>
    <b v="1"/>
    <n v="0"/>
    <m/>
    <n v="0"/>
    <m/>
  </r>
  <r>
    <s v="TX001884"/>
    <s v="AC00462"/>
    <n v="184.51"/>
    <d v="2023-09-04T16:34:53"/>
    <s v="Credit"/>
    <x v="42"/>
    <s v="D000445"/>
    <s v="169.67.220.37"/>
    <s v="M021"/>
    <s v="Online"/>
    <n v="54"/>
    <s v="Doctor"/>
    <n v="118"/>
    <n v="1"/>
    <n v="9381.64"/>
    <d v="2024-11-04T08:09:30"/>
    <n v="16"/>
    <s v="Monday"/>
    <n v="-0.38734452122445201"/>
    <b v="0"/>
    <b v="0"/>
    <b v="1"/>
    <n v="0"/>
    <m/>
    <n v="0"/>
    <m/>
  </r>
  <r>
    <s v="TX001885"/>
    <s v="AC00071"/>
    <n v="451.31"/>
    <d v="2023-12-04T16:57:39"/>
    <s v="Debit"/>
    <x v="18"/>
    <s v="D000020"/>
    <s v="68.254.244.208"/>
    <s v="M046"/>
    <s v="ATM"/>
    <n v="62"/>
    <s v="Retired"/>
    <n v="166"/>
    <n v="5"/>
    <n v="2963.29"/>
    <d v="2024-11-04T08:07:38"/>
    <n v="16"/>
    <s v="Monday"/>
    <n v="0.526522349980725"/>
    <b v="0"/>
    <b v="1"/>
    <b v="1"/>
    <n v="1"/>
    <m/>
    <n v="0"/>
    <m/>
  </r>
  <r>
    <s v="TX001886"/>
    <s v="AC00363"/>
    <n v="144.1"/>
    <d v="2023-07-07T17:24:42"/>
    <s v="Debit"/>
    <x v="29"/>
    <s v="D000214"/>
    <s v="49.29.37.185"/>
    <s v="M065"/>
    <s v="Branch"/>
    <n v="57"/>
    <s v="Doctor"/>
    <n v="30"/>
    <n v="1"/>
    <n v="11523.64"/>
    <d v="2024-11-04T08:10:03"/>
    <n v="17"/>
    <s v="Friday"/>
    <n v="-0.52576041427318299"/>
    <b v="0"/>
    <b v="0"/>
    <b v="1"/>
    <n v="0"/>
    <m/>
    <n v="0"/>
    <m/>
  </r>
  <r>
    <s v="TX001887"/>
    <s v="AC00448"/>
    <n v="72.5"/>
    <d v="2023-04-10T17:48:18"/>
    <s v="Debit"/>
    <x v="18"/>
    <s v="D000431"/>
    <s v="201.113.165.203"/>
    <s v="M053"/>
    <s v="ATM"/>
    <n v="40"/>
    <s v="Doctor"/>
    <n v="30"/>
    <n v="1"/>
    <n v="12723.62"/>
    <d v="2024-11-04T08:11:48"/>
    <n v="17"/>
    <s v="Monday"/>
    <n v="-0.77101104387697095"/>
    <b v="0"/>
    <b v="0"/>
    <b v="1"/>
    <n v="0"/>
    <m/>
    <n v="0"/>
    <m/>
  </r>
  <r>
    <s v="TX001888"/>
    <s v="AC00206"/>
    <n v="74.11"/>
    <d v="2023-09-08T16:09:45"/>
    <s v="Credit"/>
    <x v="33"/>
    <s v="D000320"/>
    <s v="147.119.62.178"/>
    <s v="M065"/>
    <s v="Online"/>
    <n v="69"/>
    <s v="Retired"/>
    <n v="71"/>
    <n v="4"/>
    <n v="3920.11"/>
    <d v="2024-11-04T08:08:28"/>
    <n v="16"/>
    <s v="Friday"/>
    <n v="-0.76549632999900896"/>
    <b v="0"/>
    <b v="1"/>
    <b v="1"/>
    <n v="1"/>
    <m/>
    <n v="0"/>
    <m/>
  </r>
  <r>
    <s v="TX001889"/>
    <s v="AC00181"/>
    <n v="22.15"/>
    <d v="2023-05-03T16:26:08"/>
    <s v="Debit"/>
    <x v="13"/>
    <s v="D000452"/>
    <s v="83.182.211.68"/>
    <s v="M065"/>
    <s v="Branch"/>
    <n v="44"/>
    <s v="Doctor"/>
    <n v="73"/>
    <n v="1"/>
    <n v="7451.83"/>
    <d v="2024-11-04T08:11:03"/>
    <n v="16"/>
    <s v="Wednesday"/>
    <n v="-0.94347430086790396"/>
    <b v="0"/>
    <b v="0"/>
    <b v="1"/>
    <n v="0"/>
    <m/>
    <n v="0"/>
    <m/>
  </r>
  <r>
    <s v="TX001890"/>
    <s v="AC00213"/>
    <n v="777.92"/>
    <d v="2023-06-12T18:56:58"/>
    <s v="Debit"/>
    <x v="14"/>
    <s v="D000125"/>
    <s v="194.88.79.54"/>
    <s v="M045"/>
    <s v="Branch"/>
    <n v="62"/>
    <s v="Doctor"/>
    <n v="97"/>
    <n v="1"/>
    <n v="7061.58"/>
    <d v="2024-11-04T08:09:32"/>
    <n v="18"/>
    <s v="Monday"/>
    <n v="1.64525570382001"/>
    <b v="0"/>
    <b v="0"/>
    <b v="1"/>
    <n v="0"/>
    <m/>
    <n v="0"/>
    <m/>
  </r>
  <r>
    <s v="TX001891"/>
    <s v="AC00470"/>
    <n v="790.07"/>
    <d v="2023-05-26T17:32:29"/>
    <s v="Debit"/>
    <x v="19"/>
    <s v="D000181"/>
    <s v="82.75.200.117"/>
    <s v="M096"/>
    <s v="Online"/>
    <n v="28"/>
    <s v="Student"/>
    <n v="197"/>
    <n v="1"/>
    <n v="985.77"/>
    <d v="2024-11-04T08:10:46"/>
    <n v="17"/>
    <s v="Friday"/>
    <n v="1.68687295451395"/>
    <b v="0"/>
    <b v="0"/>
    <b v="1"/>
    <n v="0"/>
    <m/>
    <n v="0"/>
    <m/>
  </r>
  <r>
    <s v="TX001892"/>
    <s v="AC00451"/>
    <n v="406.33"/>
    <d v="2023-10-02T16:41:51"/>
    <s v="Credit"/>
    <x v="19"/>
    <s v="D000285"/>
    <s v="150.83.4.238"/>
    <s v="M066"/>
    <s v="Branch"/>
    <n v="59"/>
    <s v="Engineer"/>
    <n v="103"/>
    <n v="1"/>
    <n v="4298.34"/>
    <d v="2024-11-04T08:07:41"/>
    <n v="16"/>
    <s v="Monday"/>
    <n v="0.37245289021007699"/>
    <b v="0"/>
    <b v="0"/>
    <b v="1"/>
    <n v="0"/>
    <m/>
    <n v="0"/>
    <m/>
  </r>
  <r>
    <s v="TX001893"/>
    <s v="AC00192"/>
    <n v="767.41"/>
    <d v="2023-09-07T16:28:19"/>
    <s v="Debit"/>
    <x v="18"/>
    <s v="D000058"/>
    <s v="116.175.11.222"/>
    <s v="M021"/>
    <s v="ATM"/>
    <n v="56"/>
    <s v="Doctor"/>
    <n v="27"/>
    <n v="1"/>
    <n v="12799.34"/>
    <d v="2024-11-04T08:08:55"/>
    <n v="16"/>
    <s v="Thursday"/>
    <n v="1.6092559256477199"/>
    <b v="0"/>
    <b v="0"/>
    <b v="1"/>
    <n v="0"/>
    <m/>
    <n v="0"/>
    <m/>
  </r>
  <r>
    <s v="TX001894"/>
    <s v="AC00378"/>
    <n v="4.58"/>
    <d v="2023-10-19T16:13:30"/>
    <s v="Credit"/>
    <x v="4"/>
    <s v="D000162"/>
    <s v="89.6.100.149"/>
    <s v="M099"/>
    <s v="Online"/>
    <n v="21"/>
    <s v="Student"/>
    <n v="135"/>
    <n v="1"/>
    <n v="811.24"/>
    <d v="2024-11-04T08:06:26"/>
    <n v="16"/>
    <s v="Thursday"/>
    <n v="-1.00365661318827"/>
    <b v="0"/>
    <b v="0"/>
    <b v="1"/>
    <n v="0"/>
    <m/>
    <n v="0"/>
    <m/>
  </r>
  <r>
    <s v="TX001895"/>
    <s v="AC00143"/>
    <n v="447.83"/>
    <d v="2023-08-15T16:22:06"/>
    <s v="Credit"/>
    <x v="4"/>
    <s v="D000590"/>
    <s v="162.151.179.167"/>
    <s v="M030"/>
    <s v="Branch"/>
    <n v="53"/>
    <s v="Doctor"/>
    <n v="88"/>
    <n v="1"/>
    <n v="13273.08"/>
    <d v="2024-11-04T08:07:29"/>
    <n v="16"/>
    <s v="Tuesday"/>
    <n v="0.51460234731283105"/>
    <b v="0"/>
    <b v="0"/>
    <b v="1"/>
    <n v="0"/>
    <m/>
    <n v="0"/>
    <m/>
  </r>
  <r>
    <s v="TX001896"/>
    <s v="AC00499"/>
    <n v="49.67"/>
    <d v="2023-02-20T18:48:52"/>
    <s v="Debit"/>
    <x v="4"/>
    <s v="D000560"/>
    <s v="184.4.253.143"/>
    <s v="M030"/>
    <s v="Online"/>
    <n v="21"/>
    <s v="Student"/>
    <n v="146"/>
    <n v="1"/>
    <n v="842.94"/>
    <d v="2024-11-04T08:08:23"/>
    <n v="18"/>
    <s v="Monday"/>
    <n v="-0.84921037172410097"/>
    <b v="0"/>
    <b v="0"/>
    <b v="1"/>
    <n v="0"/>
    <m/>
    <n v="0"/>
    <m/>
  </r>
  <r>
    <s v="TX001897"/>
    <s v="AC00168"/>
    <n v="77.83"/>
    <d v="2023-12-27T16:40:01"/>
    <s v="Credit"/>
    <x v="31"/>
    <s v="D000319"/>
    <s v="34.86.220.205"/>
    <s v="M067"/>
    <s v="Branch"/>
    <n v="49"/>
    <s v="Engineer"/>
    <n v="146"/>
    <n v="1"/>
    <n v="2471.5300000000002"/>
    <d v="2024-11-04T08:10:31"/>
    <n v="16"/>
    <s v="Wednesday"/>
    <n v="-0.75275425818160502"/>
    <b v="0"/>
    <b v="0"/>
    <b v="1"/>
    <n v="0"/>
    <m/>
    <n v="0"/>
    <m/>
  </r>
  <r>
    <s v="TX001898"/>
    <s v="AC00085"/>
    <n v="702.87"/>
    <d v="2023-06-07T17:06:21"/>
    <s v="Debit"/>
    <x v="38"/>
    <s v="D000352"/>
    <s v="216.31.34.238"/>
    <s v="M033"/>
    <s v="ATM"/>
    <n v="19"/>
    <s v="Student"/>
    <n v="184"/>
    <n v="1"/>
    <n v="1237.5"/>
    <d v="2024-11-04T08:11:14"/>
    <n v="17"/>
    <s v="Wednesday"/>
    <n v="1.3881878301920201"/>
    <b v="0"/>
    <b v="0"/>
    <b v="1"/>
    <n v="0"/>
    <m/>
    <n v="0"/>
    <m/>
  </r>
  <r>
    <s v="TX001899"/>
    <s v="AC00144"/>
    <n v="133.56"/>
    <d v="2023-01-24T18:43:06"/>
    <s v="Debit"/>
    <x v="4"/>
    <s v="D000417"/>
    <s v="162.58.247.55"/>
    <s v="M071"/>
    <s v="Online"/>
    <n v="25"/>
    <s v="Student"/>
    <n v="177"/>
    <n v="1"/>
    <n v="783.83"/>
    <d v="2024-11-04T08:06:58"/>
    <n v="18"/>
    <s v="Tuesday"/>
    <n v="-0.56186295108915896"/>
    <b v="0"/>
    <b v="0"/>
    <b v="1"/>
    <n v="0"/>
    <m/>
    <n v="0"/>
    <m/>
  </r>
  <r>
    <s v="TX001900"/>
    <s v="AC00185"/>
    <n v="868.05"/>
    <d v="2023-01-12T16:35:36"/>
    <s v="Credit"/>
    <x v="0"/>
    <s v="D000255"/>
    <s v="197.52.3.107"/>
    <s v="M024"/>
    <s v="Online"/>
    <n v="49"/>
    <s v="Engineer"/>
    <n v="119"/>
    <n v="1"/>
    <n v="3931.03"/>
    <d v="2024-11-04T08:09:57"/>
    <n v="16"/>
    <s v="Thursday"/>
    <n v="1.9539769223422101"/>
    <b v="0"/>
    <b v="0"/>
    <b v="1"/>
    <n v="0"/>
    <m/>
    <n v="0"/>
    <m/>
  </r>
  <r>
    <s v="TX001901"/>
    <s v="AC00338"/>
    <n v="52.87"/>
    <d v="2023-03-31T17:25:22"/>
    <s v="Debit"/>
    <x v="7"/>
    <s v="D000053"/>
    <s v="91.103.147.166"/>
    <s v="M055"/>
    <s v="Branch"/>
    <n v="24"/>
    <s v="Student"/>
    <n v="70"/>
    <n v="1"/>
    <n v="960.96"/>
    <d v="2024-11-04T08:11:49"/>
    <n v="17"/>
    <s v="Friday"/>
    <n v="-0.83824944973063598"/>
    <b v="0"/>
    <b v="0"/>
    <b v="1"/>
    <n v="0"/>
    <m/>
    <n v="0"/>
    <m/>
  </r>
  <r>
    <s v="TX001902"/>
    <s v="AC00384"/>
    <n v="179"/>
    <d v="2023-09-06T16:01:35"/>
    <s v="Debit"/>
    <x v="1"/>
    <s v="D000583"/>
    <s v="49.10.93.200"/>
    <s v="M053"/>
    <s v="ATM"/>
    <n v="78"/>
    <s v="Retired"/>
    <n v="121"/>
    <n v="1"/>
    <n v="7310.88"/>
    <d v="2024-11-04T08:10:18"/>
    <n v="16"/>
    <s v="Wednesday"/>
    <n v="-0.40621785878195099"/>
    <b v="0"/>
    <b v="0"/>
    <b v="1"/>
    <n v="0"/>
    <m/>
    <n v="0"/>
    <m/>
  </r>
  <r>
    <s v="TX001903"/>
    <s v="AC00336"/>
    <n v="1168.26"/>
    <d v="2023-06-12T16:25:21"/>
    <s v="Credit"/>
    <x v="26"/>
    <s v="D000697"/>
    <s v="111.78.64.133"/>
    <s v="M005"/>
    <s v="Online"/>
    <n v="73"/>
    <s v="Retired"/>
    <n v="37"/>
    <n v="1"/>
    <n v="1385.74"/>
    <d v="2024-11-04T08:09:53"/>
    <n v="16"/>
    <s v="Monday"/>
    <n v="2.9822826697354099"/>
    <b v="1"/>
    <b v="0"/>
    <b v="1"/>
    <n v="1"/>
    <m/>
    <n v="1"/>
    <m/>
  </r>
  <r>
    <s v="TX001904"/>
    <s v="AC00003"/>
    <n v="384.11"/>
    <d v="2023-05-15T16:35:43"/>
    <s v="Debit"/>
    <x v="18"/>
    <s v="D000290"/>
    <s v="194.88.79.54"/>
    <s v="M032"/>
    <s v="ATM"/>
    <n v="58"/>
    <s v="Retired"/>
    <n v="12"/>
    <n v="1"/>
    <n v="7902.52"/>
    <d v="2024-11-04T08:06:36"/>
    <n v="16"/>
    <s v="Monday"/>
    <n v="0.29634298811795101"/>
    <b v="0"/>
    <b v="0"/>
    <b v="1"/>
    <n v="0"/>
    <m/>
    <n v="0"/>
    <m/>
  </r>
  <r>
    <s v="TX001905"/>
    <s v="AC00378"/>
    <n v="227.61"/>
    <d v="2023-08-07T16:16:26"/>
    <s v="Debit"/>
    <x v="1"/>
    <s v="D000162"/>
    <s v="220.179.173.114"/>
    <s v="M025"/>
    <s v="Online"/>
    <n v="71"/>
    <s v="Retired"/>
    <n v="61"/>
    <n v="1"/>
    <n v="4405.28"/>
    <d v="2024-11-04T08:07:41"/>
    <n v="16"/>
    <s v="Monday"/>
    <n v="-0.23971460312496501"/>
    <b v="0"/>
    <b v="0"/>
    <b v="1"/>
    <n v="0"/>
    <m/>
    <n v="0"/>
    <m/>
  </r>
  <r>
    <s v="TX001906"/>
    <s v="AC00217"/>
    <n v="40.83"/>
    <d v="2023-08-16T16:40:51"/>
    <s v="Debit"/>
    <x v="7"/>
    <s v="D000627"/>
    <s v="1.238.163.61"/>
    <s v="M040"/>
    <s v="ATM"/>
    <n v="48"/>
    <s v="Engineer"/>
    <n v="24"/>
    <n v="1"/>
    <n v="3944.12"/>
    <d v="2024-11-04T08:12:04"/>
    <n v="16"/>
    <s v="Wednesday"/>
    <n v="-0.87948991873104898"/>
    <b v="0"/>
    <b v="0"/>
    <b v="1"/>
    <n v="0"/>
    <m/>
    <n v="0"/>
    <m/>
  </r>
  <r>
    <s v="TX001907"/>
    <s v="AC00280"/>
    <n v="19.760000000000002"/>
    <d v="2023-03-31T17:50:09"/>
    <s v="Debit"/>
    <x v="9"/>
    <s v="D000621"/>
    <s v="166.41.54.117"/>
    <s v="M037"/>
    <s v="ATM"/>
    <n v="20"/>
    <s v="Student"/>
    <n v="240"/>
    <n v="1"/>
    <n v="1523.04"/>
    <d v="2024-11-04T08:10:08"/>
    <n v="17"/>
    <s v="Friday"/>
    <n v="-0.95166073948177299"/>
    <b v="0"/>
    <b v="0"/>
    <b v="1"/>
    <n v="0"/>
    <m/>
    <n v="0"/>
    <m/>
  </r>
  <r>
    <s v="TX001908"/>
    <s v="AC00184"/>
    <n v="484.24"/>
    <d v="2023-05-29T16:40:15"/>
    <s v="Debit"/>
    <x v="3"/>
    <s v="D000305"/>
    <s v="73.108.76.238"/>
    <s v="M019"/>
    <s v="Branch"/>
    <n v="67"/>
    <s v="Doctor"/>
    <n v="77"/>
    <n v="1"/>
    <n v="8042.3"/>
    <d v="2024-11-04T08:06:44"/>
    <n v="16"/>
    <s v="Monday"/>
    <n v="0.63931708786972996"/>
    <b v="0"/>
    <b v="0"/>
    <b v="1"/>
    <n v="0"/>
    <m/>
    <n v="0"/>
    <m/>
  </r>
  <r>
    <s v="TX001909"/>
    <s v="AC00456"/>
    <n v="494.66"/>
    <d v="2023-06-19T16:59:35"/>
    <s v="Debit"/>
    <x v="1"/>
    <s v="D000500"/>
    <s v="133.63.96.21"/>
    <s v="M009"/>
    <s v="Online"/>
    <n v="33"/>
    <s v="Doctor"/>
    <n v="110"/>
    <n v="1"/>
    <n v="5531.93"/>
    <d v="2024-11-04T08:06:25"/>
    <n v="16"/>
    <s v="Monday"/>
    <n v="0.67500859011095204"/>
    <b v="0"/>
    <b v="0"/>
    <b v="1"/>
    <n v="0"/>
    <m/>
    <n v="0"/>
    <m/>
  </r>
  <r>
    <s v="TX001910"/>
    <s v="AC00151"/>
    <n v="301.47000000000003"/>
    <d v="2023-01-26T16:13:15"/>
    <s v="Debit"/>
    <x v="40"/>
    <s v="D000030"/>
    <s v="36.13.239.172"/>
    <s v="M040"/>
    <s v="Branch"/>
    <n v="21"/>
    <s v="Student"/>
    <n v="291"/>
    <n v="1"/>
    <n v="560.73"/>
    <d v="2024-11-04T08:09:25"/>
    <n v="16"/>
    <s v="Thursday"/>
    <n v="1.32771776367077E-2"/>
    <b v="0"/>
    <b v="0"/>
    <b v="1"/>
    <n v="0"/>
    <m/>
    <n v="0"/>
    <m/>
  </r>
  <r>
    <s v="TX001911"/>
    <s v="AC00366"/>
    <n v="199.09"/>
    <d v="2023-05-19T16:54:16"/>
    <s v="Debit"/>
    <x v="8"/>
    <s v="D000663"/>
    <s v="157.47.114.20"/>
    <s v="M078"/>
    <s v="Online"/>
    <n v="70"/>
    <s v="Doctor"/>
    <n v="89"/>
    <n v="1"/>
    <n v="1658.52"/>
    <d v="2024-11-04T08:08:46"/>
    <n v="16"/>
    <s v="Friday"/>
    <n v="-0.33740382039172601"/>
    <b v="0"/>
    <b v="0"/>
    <b v="1"/>
    <n v="0"/>
    <m/>
    <n v="0"/>
    <m/>
  </r>
  <r>
    <s v="TX001912"/>
    <s v="AC00383"/>
    <n v="38.950000000000003"/>
    <d v="2023-10-18T16:44:17"/>
    <s v="Debit"/>
    <x v="16"/>
    <s v="D000669"/>
    <s v="211.42.9.0"/>
    <s v="M100"/>
    <s v="Online"/>
    <n v="27"/>
    <s v="Engineer"/>
    <n v="50"/>
    <n v="1"/>
    <n v="731.52"/>
    <d v="2024-11-04T08:08:49"/>
    <n v="16"/>
    <s v="Wednesday"/>
    <n v="-0.88592946040220999"/>
    <b v="0"/>
    <b v="0"/>
    <b v="1"/>
    <n v="0"/>
    <m/>
    <n v="0"/>
    <m/>
  </r>
  <r>
    <s v="TX001913"/>
    <s v="AC00076"/>
    <n v="515.94000000000005"/>
    <d v="2023-12-22T16:42:33"/>
    <s v="Debit"/>
    <x v="23"/>
    <s v="D000606"/>
    <s v="27.215.118.94"/>
    <s v="M049"/>
    <s v="ATM"/>
    <n v="29"/>
    <s v="Engineer"/>
    <n v="37"/>
    <n v="1"/>
    <n v="1389.89"/>
    <d v="2024-11-04T08:11:10"/>
    <n v="16"/>
    <s v="Friday"/>
    <n v="0.74789872136749702"/>
    <b v="0"/>
    <b v="0"/>
    <b v="1"/>
    <n v="0"/>
    <m/>
    <n v="0"/>
    <m/>
  </r>
  <r>
    <s v="TX001914"/>
    <s v="AC00290"/>
    <n v="41.93"/>
    <d v="2023-02-13T16:44:18"/>
    <s v="Debit"/>
    <x v="41"/>
    <s v="D000600"/>
    <s v="211.45.75.44"/>
    <s v="M055"/>
    <s v="ATM"/>
    <n v="48"/>
    <s v="Engineer"/>
    <n v="136"/>
    <n v="1"/>
    <n v="5081.26"/>
    <d v="2024-11-04T08:06:24"/>
    <n v="16"/>
    <s v="Monday"/>
    <n v="-0.87572210179579502"/>
    <b v="0"/>
    <b v="0"/>
    <b v="1"/>
    <n v="0"/>
    <m/>
    <n v="0"/>
    <m/>
  </r>
  <r>
    <s v="TX001915"/>
    <s v="AC00347"/>
    <n v="137.84"/>
    <d v="2023-11-13T16:03:01"/>
    <s v="Debit"/>
    <x v="32"/>
    <s v="D000553"/>
    <s v="195.226.203.234"/>
    <s v="M069"/>
    <s v="ATM"/>
    <n v="27"/>
    <s v="Student"/>
    <n v="83"/>
    <n v="1"/>
    <n v="1000.35"/>
    <d v="2024-11-04T08:09:26"/>
    <n v="16"/>
    <s v="Monday"/>
    <n v="-0.54720271792289898"/>
    <b v="0"/>
    <b v="0"/>
    <b v="1"/>
    <n v="0"/>
    <m/>
    <n v="0"/>
    <m/>
  </r>
  <r>
    <s v="TX001916"/>
    <s v="AC00034"/>
    <n v="95.35"/>
    <d v="2023-07-26T16:27:19"/>
    <s v="Debit"/>
    <x v="29"/>
    <s v="D000348"/>
    <s v="39.163.103.27"/>
    <s v="M032"/>
    <s v="Online"/>
    <n v="21"/>
    <s v="Student"/>
    <n v="131"/>
    <n v="1"/>
    <n v="1639.9"/>
    <d v="2024-11-04T08:07:22"/>
    <n v="16"/>
    <s v="Wednesday"/>
    <n v="-0.69274321026738195"/>
    <b v="0"/>
    <b v="0"/>
    <b v="1"/>
    <n v="0"/>
    <m/>
    <n v="0"/>
    <m/>
  </r>
  <r>
    <s v="TX001917"/>
    <s v="AC00373"/>
    <n v="93.14"/>
    <d v="2023-01-02T16:47:11"/>
    <s v="Debit"/>
    <x v="11"/>
    <s v="D000624"/>
    <s v="83.207.115.164"/>
    <s v="M092"/>
    <s v="Online"/>
    <n v="67"/>
    <s v="Retired"/>
    <n v="151"/>
    <n v="1"/>
    <n v="5473.82"/>
    <d v="2024-11-04T08:07:53"/>
    <n v="16"/>
    <s v="Monday"/>
    <n v="-0.70031309701911904"/>
    <b v="0"/>
    <b v="0"/>
    <b v="1"/>
    <n v="0"/>
    <m/>
    <n v="0"/>
    <m/>
  </r>
  <r>
    <s v="TX001918"/>
    <s v="AC00382"/>
    <n v="1427.71"/>
    <d v="2023-01-24T17:26:34"/>
    <s v="Debit"/>
    <x v="22"/>
    <s v="D000015"/>
    <s v="59.208.79.116"/>
    <s v="M086"/>
    <s v="Branch"/>
    <n v="64"/>
    <s v="Doctor"/>
    <n v="159"/>
    <n v="1"/>
    <n v="1729.26"/>
    <d v="2024-11-04T08:09:30"/>
    <n v="17"/>
    <s v="Tuesday"/>
    <n v="3.87097367323685"/>
    <b v="1"/>
    <b v="0"/>
    <b v="1"/>
    <n v="1"/>
    <m/>
    <n v="1"/>
    <m/>
  </r>
  <r>
    <s v="TX001919"/>
    <s v="AC00463"/>
    <n v="79.33"/>
    <d v="2023-12-06T16:10:00"/>
    <s v="Credit"/>
    <x v="17"/>
    <s v="D000154"/>
    <s v="64.15.0.66"/>
    <s v="M026"/>
    <s v="Online"/>
    <n v="51"/>
    <s v="Doctor"/>
    <n v="109"/>
    <n v="1"/>
    <n v="14798.1"/>
    <d v="2024-11-04T08:07:06"/>
    <n v="16"/>
    <s v="Wednesday"/>
    <n v="-0.74761632599716898"/>
    <b v="0"/>
    <b v="0"/>
    <b v="1"/>
    <n v="0"/>
    <m/>
    <n v="0"/>
    <m/>
  </r>
  <r>
    <s v="TX001920"/>
    <s v="AC00030"/>
    <n v="76.89"/>
    <d v="2023-05-10T17:49:57"/>
    <s v="Debit"/>
    <x v="29"/>
    <s v="D000671"/>
    <s v="199.103.32.145"/>
    <s v="M011"/>
    <s v="ATM"/>
    <n v="55"/>
    <s v="Doctor"/>
    <n v="132"/>
    <n v="1"/>
    <n v="7374.26"/>
    <d v="2024-11-04T08:10:31"/>
    <n v="17"/>
    <s v="Wednesday"/>
    <n v="-0.75597402901718602"/>
    <b v="0"/>
    <b v="0"/>
    <b v="1"/>
    <n v="0"/>
    <m/>
    <n v="0"/>
    <m/>
  </r>
  <r>
    <s v="TX001921"/>
    <s v="AC00431"/>
    <n v="233.71"/>
    <d v="2023-03-13T17:30:20"/>
    <s v="Debit"/>
    <x v="36"/>
    <s v="D000450"/>
    <s v="114.115.12.20"/>
    <s v="M040"/>
    <s v="Online"/>
    <n v="19"/>
    <s v="Student"/>
    <n v="297"/>
    <n v="1"/>
    <n v="1231.98"/>
    <d v="2024-11-04T08:12:09"/>
    <n v="17"/>
    <s v="Monday"/>
    <n v="-0.218820345574922"/>
    <b v="0"/>
    <b v="0"/>
    <b v="1"/>
    <n v="0"/>
    <m/>
    <n v="0"/>
    <m/>
  </r>
  <r>
    <s v="TX001922"/>
    <s v="AC00243"/>
    <n v="14.92"/>
    <d v="2023-05-22T16:51:28"/>
    <s v="Debit"/>
    <x v="17"/>
    <s v="D000521"/>
    <s v="56.89.80.133"/>
    <s v="M044"/>
    <s v="Branch"/>
    <n v="26"/>
    <s v="Engineer"/>
    <n v="120"/>
    <n v="1"/>
    <n v="6611.26"/>
    <d v="2024-11-04T08:07:33"/>
    <n v="16"/>
    <s v="Monday"/>
    <n v="-0.96823913399688899"/>
    <b v="0"/>
    <b v="0"/>
    <b v="1"/>
    <n v="0"/>
    <m/>
    <n v="0"/>
    <m/>
  </r>
  <r>
    <s v="TX001923"/>
    <s v="AC00499"/>
    <n v="242.17"/>
    <d v="2023-06-08T16:28:29"/>
    <s v="Debit"/>
    <x v="36"/>
    <s v="D000442"/>
    <s v="111.226.226.202"/>
    <s v="M032"/>
    <s v="ATM"/>
    <n v="60"/>
    <s v="Doctor"/>
    <n v="147"/>
    <n v="1"/>
    <n v="883.72"/>
    <d v="2024-11-04T08:10:41"/>
    <n v="16"/>
    <s v="Thursday"/>
    <n v="-0.18984240805469799"/>
    <b v="0"/>
    <b v="0"/>
    <b v="1"/>
    <n v="0"/>
    <m/>
    <n v="0"/>
    <m/>
  </r>
  <r>
    <s v="TX001924"/>
    <s v="AC00065"/>
    <n v="122.98"/>
    <d v="2023-07-24T16:15:58"/>
    <s v="Debit"/>
    <x v="36"/>
    <s v="D000259"/>
    <s v="113.134.242.82"/>
    <s v="M020"/>
    <s v="Online"/>
    <n v="79"/>
    <s v="Retired"/>
    <n v="228"/>
    <n v="1"/>
    <n v="5055.99"/>
    <d v="2024-11-04T08:09:50"/>
    <n v="16"/>
    <s v="Monday"/>
    <n v="-0.598102499430054"/>
    <b v="0"/>
    <b v="0"/>
    <b v="1"/>
    <n v="0"/>
    <m/>
    <n v="0"/>
    <m/>
  </r>
  <r>
    <s v="TX001925"/>
    <s v="AC00492"/>
    <n v="129.35"/>
    <d v="2023-08-28T16:31:48"/>
    <s v="Debit"/>
    <x v="17"/>
    <s v="D000631"/>
    <s v="179.43.245.131"/>
    <s v="M040"/>
    <s v="ATM"/>
    <n v="52"/>
    <s v="Engineer"/>
    <n v="130"/>
    <n v="1"/>
    <n v="7166.88"/>
    <d v="2024-11-04T08:09:41"/>
    <n v="16"/>
    <s v="Monday"/>
    <n v="-0.57628341408681205"/>
    <b v="0"/>
    <b v="0"/>
    <b v="1"/>
    <n v="0"/>
    <m/>
    <n v="0"/>
    <m/>
  </r>
  <r>
    <s v="TX001926"/>
    <s v="AC00062"/>
    <n v="138.33000000000001"/>
    <d v="2023-07-07T17:58:29"/>
    <s v="Debit"/>
    <x v="34"/>
    <s v="D000183"/>
    <s v="31.127.129.152"/>
    <s v="M011"/>
    <s v="Online"/>
    <n v="21"/>
    <s v="Student"/>
    <n v="69"/>
    <n v="1"/>
    <n v="232.56"/>
    <d v="2024-11-04T08:09:17"/>
    <n v="17"/>
    <s v="Friday"/>
    <n v="-0.54552432674264995"/>
    <b v="0"/>
    <b v="0"/>
    <b v="1"/>
    <n v="0"/>
    <m/>
    <n v="0"/>
    <m/>
  </r>
  <r>
    <s v="TX001927"/>
    <s v="AC00026"/>
    <n v="39.31"/>
    <d v="2023-10-30T17:24:55"/>
    <s v="Debit"/>
    <x v="42"/>
    <s v="D000394"/>
    <s v="203.197.235.35"/>
    <s v="M053"/>
    <s v="Online"/>
    <n v="25"/>
    <s v="Student"/>
    <n v="178"/>
    <n v="1"/>
    <n v="1236.3800000000001"/>
    <d v="2024-11-04T08:06:47"/>
    <n v="17"/>
    <s v="Monday"/>
    <n v="-0.884696356677945"/>
    <b v="0"/>
    <b v="0"/>
    <b v="1"/>
    <n v="0"/>
    <m/>
    <n v="0"/>
    <m/>
  </r>
  <r>
    <s v="TX001928"/>
    <s v="AC00201"/>
    <n v="91.85"/>
    <d v="2023-10-16T16:50:31"/>
    <s v="Debit"/>
    <x v="6"/>
    <s v="D000471"/>
    <s v="64.89.183.39"/>
    <s v="M040"/>
    <s v="Online"/>
    <n v="21"/>
    <s v="Student"/>
    <n v="148"/>
    <n v="1"/>
    <n v="802.09"/>
    <d v="2024-11-04T08:12:14"/>
    <n v="16"/>
    <s v="Monday"/>
    <n v="-0.70473171869773499"/>
    <b v="0"/>
    <b v="0"/>
    <b v="1"/>
    <n v="0"/>
    <m/>
    <n v="0"/>
    <m/>
  </r>
  <r>
    <s v="TX001929"/>
    <s v="AC00377"/>
    <n v="277.7"/>
    <d v="2023-06-22T16:38:46"/>
    <s v="Debit"/>
    <x v="9"/>
    <s v="D000490"/>
    <s v="16.131.3.140"/>
    <s v="M011"/>
    <s v="Branch"/>
    <n v="58"/>
    <s v="Engineer"/>
    <n v="107"/>
    <n v="1"/>
    <n v="1423.2"/>
    <d v="2024-11-04T08:11:43"/>
    <n v="16"/>
    <s v="Thursday"/>
    <n v="-6.8141921046002502E-2"/>
    <b v="0"/>
    <b v="0"/>
    <b v="1"/>
    <n v="0"/>
    <m/>
    <n v="0"/>
    <m/>
  </r>
  <r>
    <s v="TX001930"/>
    <s v="AC00269"/>
    <n v="114.03"/>
    <d v="2023-11-24T16:30:21"/>
    <s v="Debit"/>
    <x v="42"/>
    <s v="D000010"/>
    <s v="10.191.172.154"/>
    <s v="M081"/>
    <s v="ATM"/>
    <n v="51"/>
    <s v="Doctor"/>
    <n v="172"/>
    <n v="1"/>
    <n v="13388.56"/>
    <d v="2024-11-04T08:11:42"/>
    <n v="16"/>
    <s v="Friday"/>
    <n v="-0.62875882813052797"/>
    <b v="0"/>
    <b v="0"/>
    <b v="1"/>
    <n v="0"/>
    <m/>
    <n v="0"/>
    <m/>
  </r>
  <r>
    <s v="TX001931"/>
    <s v="AC00239"/>
    <n v="302.63"/>
    <d v="2023-02-28T17:24:26"/>
    <s v="Credit"/>
    <x v="24"/>
    <s v="D000444"/>
    <s v="182.225.2.156"/>
    <s v="M052"/>
    <s v="Branch"/>
    <n v="27"/>
    <s v="Engineer"/>
    <n v="10"/>
    <n v="1"/>
    <n v="2801.28"/>
    <d v="2024-11-04T08:07:17"/>
    <n v="17"/>
    <s v="Tuesday"/>
    <n v="1.7250511859338801E-2"/>
    <b v="0"/>
    <b v="0"/>
    <b v="1"/>
    <n v="0"/>
    <m/>
    <n v="0"/>
    <m/>
  </r>
  <r>
    <s v="TX001932"/>
    <s v="AC00070"/>
    <n v="31.19"/>
    <d v="2023-04-25T16:23:59"/>
    <s v="Debit"/>
    <x v="27"/>
    <s v="D000410"/>
    <s v="93.160.83.196"/>
    <s v="M023"/>
    <s v="ATM"/>
    <n v="52"/>
    <s v="Engineer"/>
    <n v="74"/>
    <n v="1"/>
    <n v="5545.96"/>
    <d v="2024-11-04T08:09:33"/>
    <n v="16"/>
    <s v="Tuesday"/>
    <n v="-0.91250969623636402"/>
    <b v="0"/>
    <b v="0"/>
    <b v="1"/>
    <n v="0"/>
    <m/>
    <n v="0"/>
    <m/>
  </r>
  <r>
    <s v="TX001933"/>
    <s v="AC00284"/>
    <n v="112.91"/>
    <d v="2023-11-15T18:04:22"/>
    <s v="Credit"/>
    <x v="28"/>
    <s v="D000439"/>
    <s v="53.218.177.171"/>
    <s v="M031"/>
    <s v="Online"/>
    <n v="27"/>
    <s v="Engineer"/>
    <n v="135"/>
    <n v="1"/>
    <n v="4764.4799999999996"/>
    <d v="2024-11-04T08:09:36"/>
    <n v="18"/>
    <s v="Wednesday"/>
    <n v="-0.63259515082824103"/>
    <b v="0"/>
    <b v="0"/>
    <b v="1"/>
    <n v="0"/>
    <m/>
    <n v="0"/>
    <m/>
  </r>
  <r>
    <s v="TX001934"/>
    <s v="AC00337"/>
    <n v="742.26"/>
    <d v="2023-06-20T17:04:02"/>
    <s v="Debit"/>
    <x v="0"/>
    <s v="D000678"/>
    <s v="172.111.76.65"/>
    <s v="M056"/>
    <s v="Online"/>
    <n v="27"/>
    <s v="Engineer"/>
    <n v="36"/>
    <n v="1"/>
    <n v="7868.19"/>
    <d v="2024-11-04T08:10:01"/>
    <n v="17"/>
    <s v="Tuesday"/>
    <n v="1.5231099293553301"/>
    <b v="0"/>
    <b v="0"/>
    <b v="1"/>
    <n v="0"/>
    <m/>
    <n v="0"/>
    <m/>
  </r>
  <r>
    <s v="TX001935"/>
    <s v="AC00051"/>
    <n v="256.8"/>
    <d v="2023-02-24T16:49:51"/>
    <s v="Debit"/>
    <x v="27"/>
    <s v="D000143"/>
    <s v="173.232.121.213"/>
    <s v="M014"/>
    <s v="ATM"/>
    <n v="26"/>
    <s v="Student"/>
    <n v="80"/>
    <n v="1"/>
    <n v="1128.3800000000001"/>
    <d v="2024-11-04T08:09:22"/>
    <n v="16"/>
    <s v="Friday"/>
    <n v="-0.139730442815823"/>
    <b v="0"/>
    <b v="0"/>
    <b v="1"/>
    <n v="0"/>
    <m/>
    <n v="0"/>
    <m/>
  </r>
  <r>
    <s v="TX001936"/>
    <s v="AC00328"/>
    <n v="378.68"/>
    <d v="2023-01-06T17:23:59"/>
    <s v="Debit"/>
    <x v="18"/>
    <s v="D000653"/>
    <s v="31.75.105.19"/>
    <s v="M095"/>
    <s v="ATM"/>
    <n v="60"/>
    <s v="Doctor"/>
    <n v="239"/>
    <n v="1"/>
    <n v="7627.04"/>
    <d v="2024-11-04T08:07:11"/>
    <n v="17"/>
    <s v="Friday"/>
    <n v="0.27774367361029001"/>
    <b v="0"/>
    <b v="0"/>
    <b v="1"/>
    <n v="0"/>
    <m/>
    <n v="0"/>
    <m/>
  </r>
  <r>
    <s v="TX001937"/>
    <s v="AC00064"/>
    <n v="571.92999999999995"/>
    <d v="2023-09-20T17:44:37"/>
    <s v="Debit"/>
    <x v="38"/>
    <s v="D000230"/>
    <s v="113.137.153.101"/>
    <s v="M048"/>
    <s v="Online"/>
    <n v="52"/>
    <s v="Retired"/>
    <n v="119"/>
    <n v="1"/>
    <n v="4026.03"/>
    <d v="2024-11-04T08:06:42"/>
    <n v="17"/>
    <s v="Wednesday"/>
    <n v="0.93968060337191095"/>
    <b v="0"/>
    <b v="0"/>
    <b v="1"/>
    <n v="0"/>
    <m/>
    <n v="0"/>
    <m/>
  </r>
  <r>
    <s v="TX001938"/>
    <s v="AC00231"/>
    <n v="26.31"/>
    <d v="2023-08-11T16:38:16"/>
    <s v="Credit"/>
    <x v="14"/>
    <s v="D000392"/>
    <s v="187.199.178.27"/>
    <s v="M028"/>
    <s v="Online"/>
    <n v="77"/>
    <s v="Retired"/>
    <n v="163"/>
    <n v="1"/>
    <n v="7095.76"/>
    <d v="2024-11-04T08:06:54"/>
    <n v="16"/>
    <s v="Friday"/>
    <n v="-0.92922510227639799"/>
    <b v="0"/>
    <b v="0"/>
    <b v="1"/>
    <n v="0"/>
    <m/>
    <n v="0"/>
    <m/>
  </r>
  <r>
    <s v="TX001939"/>
    <s v="AC00362"/>
    <n v="205.58"/>
    <d v="2023-08-16T17:49:13"/>
    <s v="Debit"/>
    <x v="42"/>
    <s v="D000547"/>
    <s v="221.206.44.63"/>
    <s v="M005"/>
    <s v="Online"/>
    <n v="20"/>
    <s v="Student"/>
    <n v="159"/>
    <n v="1"/>
    <n v="1501.95"/>
    <d v="2024-11-04T08:07:55"/>
    <n v="17"/>
    <s v="Wednesday"/>
    <n v="-0.315173700473729"/>
    <b v="0"/>
    <b v="0"/>
    <b v="1"/>
    <n v="0"/>
    <m/>
    <n v="0"/>
    <m/>
  </r>
  <r>
    <s v="TX001940"/>
    <s v="AC00363"/>
    <n v="533.61"/>
    <d v="2023-12-20T16:17:11"/>
    <s v="Debit"/>
    <x v="2"/>
    <s v="D000324"/>
    <s v="66.255.7.16"/>
    <s v="M043"/>
    <s v="Online"/>
    <n v="48"/>
    <s v="Engineer"/>
    <n v="115"/>
    <n v="1"/>
    <n v="3656.93"/>
    <d v="2024-11-04T08:11:43"/>
    <n v="16"/>
    <s v="Wednesday"/>
    <n v="0.80842356250016301"/>
    <b v="0"/>
    <b v="0"/>
    <b v="1"/>
    <n v="0"/>
    <m/>
    <n v="0"/>
    <m/>
  </r>
  <r>
    <s v="TX001941"/>
    <s v="AC00196"/>
    <n v="428.62"/>
    <d v="2023-06-05T16:02:04"/>
    <s v="Debit"/>
    <x v="3"/>
    <s v="D000039"/>
    <s v="71.93.189.160"/>
    <s v="M028"/>
    <s v="Branch"/>
    <n v="55"/>
    <s v="Retired"/>
    <n v="72"/>
    <n v="1"/>
    <n v="3473.24"/>
    <d v="2024-11-04T08:10:24"/>
    <n v="16"/>
    <s v="Monday"/>
    <n v="0.44880256247080902"/>
    <b v="0"/>
    <b v="0"/>
    <b v="1"/>
    <n v="0"/>
    <m/>
    <n v="0"/>
    <m/>
  </r>
  <r>
    <s v="TX001942"/>
    <s v="AC00360"/>
    <n v="361.22"/>
    <d v="2023-04-17T17:58:55"/>
    <s v="Debit"/>
    <x v="3"/>
    <s v="D000338"/>
    <s v="173.135.78.201"/>
    <s v="M028"/>
    <s v="ATM"/>
    <n v="64"/>
    <s v="Retired"/>
    <n v="167"/>
    <n v="1"/>
    <n v="7061.73"/>
    <d v="2024-11-04T08:10:24"/>
    <n v="17"/>
    <s v="Monday"/>
    <n v="0.21793814298344399"/>
    <b v="0"/>
    <b v="0"/>
    <b v="1"/>
    <n v="0"/>
    <m/>
    <n v="0"/>
    <m/>
  </r>
  <r>
    <s v="TX001943"/>
    <s v="AC00499"/>
    <n v="837.29"/>
    <d v="2023-11-27T16:14:25"/>
    <s v="Debit"/>
    <x v="37"/>
    <s v="D000189"/>
    <s v="217.233.219.196"/>
    <s v="M002"/>
    <s v="Branch"/>
    <n v="25"/>
    <s v="Student"/>
    <n v="216"/>
    <n v="1"/>
    <n v="6012.67"/>
    <d v="2024-11-04T08:07:12"/>
    <n v="16"/>
    <s v="Monday"/>
    <n v="1.8486150596800299"/>
    <b v="0"/>
    <b v="0"/>
    <b v="1"/>
    <n v="0"/>
    <m/>
    <n v="0"/>
    <m/>
  </r>
  <r>
    <s v="TX001944"/>
    <s v="AC00213"/>
    <n v="117.25"/>
    <d v="2023-04-03T16:35:30"/>
    <s v="Credit"/>
    <x v="4"/>
    <s v="D000280"/>
    <s v="98.39.212.221"/>
    <s v="M091"/>
    <s v="Online"/>
    <n v="31"/>
    <s v="Doctor"/>
    <n v="73"/>
    <n v="1"/>
    <n v="13694.68"/>
    <d v="2024-11-04T08:08:29"/>
    <n v="16"/>
    <s v="Monday"/>
    <n v="-0.617729400374603"/>
    <b v="0"/>
    <b v="0"/>
    <b v="1"/>
    <n v="0"/>
    <m/>
    <n v="0"/>
    <m/>
  </r>
  <r>
    <s v="TX001945"/>
    <s v="AC00165"/>
    <n v="135.27000000000001"/>
    <d v="2023-08-10T16:16:41"/>
    <s v="Debit"/>
    <x v="4"/>
    <s v="D000526"/>
    <s v="166.79.195.157"/>
    <s v="M050"/>
    <s v="ATM"/>
    <n v="48"/>
    <s v="Doctor"/>
    <n v="131"/>
    <n v="1"/>
    <n v="9410.51"/>
    <d v="2024-11-04T08:09:32"/>
    <n v="16"/>
    <s v="Thursday"/>
    <n v="-0.55600570839890096"/>
    <b v="0"/>
    <b v="0"/>
    <b v="1"/>
    <n v="0"/>
    <m/>
    <n v="0"/>
    <m/>
  </r>
  <r>
    <s v="TX001946"/>
    <s v="AC00299"/>
    <n v="185.1"/>
    <d v="2023-08-08T16:21:01"/>
    <s v="Debit"/>
    <x v="10"/>
    <s v="D000664"/>
    <s v="211.97.88.141"/>
    <s v="M005"/>
    <s v="Branch"/>
    <n v="53"/>
    <s v="Retired"/>
    <n v="23"/>
    <n v="1"/>
    <n v="6115.63"/>
    <d v="2024-11-04T08:10:41"/>
    <n v="16"/>
    <s v="Tuesday"/>
    <n v="-0.38532360123190701"/>
    <b v="0"/>
    <b v="0"/>
    <b v="1"/>
    <n v="0"/>
    <m/>
    <n v="0"/>
    <m/>
  </r>
  <r>
    <s v="TX001947"/>
    <s v="AC00119"/>
    <n v="113.54"/>
    <d v="2023-09-22T16:42:46"/>
    <s v="Debit"/>
    <x v="15"/>
    <s v="D000006"/>
    <s v="155.19.119.0"/>
    <s v="M036"/>
    <s v="Online"/>
    <n v="38"/>
    <s v="Engineer"/>
    <n v="273"/>
    <n v="1"/>
    <n v="5581.21"/>
    <d v="2024-11-04T08:08:45"/>
    <n v="16"/>
    <s v="Friday"/>
    <n v="-0.63043721931077701"/>
    <b v="0"/>
    <b v="0"/>
    <b v="1"/>
    <n v="0"/>
    <m/>
    <n v="0"/>
    <m/>
  </r>
  <r>
    <s v="TX001948"/>
    <s v="AC00409"/>
    <n v="354.96"/>
    <d v="2023-11-29T16:27:38"/>
    <s v="Debit"/>
    <x v="18"/>
    <s v="D000282"/>
    <s v="5.50.152.168"/>
    <s v="M014"/>
    <s v="Online"/>
    <n v="69"/>
    <s v="Doctor"/>
    <n v="96"/>
    <n v="1"/>
    <n v="6712.94"/>
    <d v="2024-11-04T08:08:19"/>
    <n v="16"/>
    <s v="Wednesday"/>
    <n v="0.196495839333727"/>
    <b v="0"/>
    <b v="0"/>
    <b v="1"/>
    <n v="0"/>
    <m/>
    <n v="0"/>
    <m/>
  </r>
  <r>
    <s v="TX001949"/>
    <s v="AC00100"/>
    <n v="224.22"/>
    <d v="2023-01-23T18:45:00"/>
    <s v="Debit"/>
    <x v="41"/>
    <s v="D000421"/>
    <s v="148.234.210.167"/>
    <s v="M086"/>
    <s v="Branch"/>
    <n v="53"/>
    <s v="Doctor"/>
    <n v="37"/>
    <n v="1"/>
    <n v="8400.8700000000008"/>
    <d v="2024-11-04T08:12:18"/>
    <n v="18"/>
    <s v="Monday"/>
    <n v="-0.25132632986179299"/>
    <b v="0"/>
    <b v="0"/>
    <b v="1"/>
    <n v="0"/>
    <m/>
    <n v="0"/>
    <m/>
  </r>
  <r>
    <s v="TX001950"/>
    <s v="AC00244"/>
    <n v="737.1"/>
    <d v="2023-07-19T16:11:01"/>
    <s v="Debit"/>
    <x v="38"/>
    <s v="D000637"/>
    <s v="146.250.144.172"/>
    <s v="M032"/>
    <s v="ATM"/>
    <n v="60"/>
    <s v="Retired"/>
    <n v="92"/>
    <n v="1"/>
    <n v="4644.1899999999996"/>
    <d v="2024-11-04T08:11:08"/>
    <n v="16"/>
    <s v="Wednesday"/>
    <n v="1.50543544264087"/>
    <b v="0"/>
    <b v="0"/>
    <b v="1"/>
    <n v="0"/>
    <m/>
    <n v="0"/>
    <m/>
  </r>
  <r>
    <s v="TX001951"/>
    <s v="AC00382"/>
    <n v="223.22"/>
    <d v="2023-07-17T16:20:27"/>
    <s v="Debit"/>
    <x v="18"/>
    <s v="D000397"/>
    <s v="66.255.7.16"/>
    <s v="M018"/>
    <s v="ATM"/>
    <n v="27"/>
    <s v="Student"/>
    <n v="96"/>
    <n v="1"/>
    <n v="1734.22"/>
    <d v="2024-11-04T08:08:15"/>
    <n v="16"/>
    <s v="Monday"/>
    <n v="-0.25475161798475099"/>
    <b v="0"/>
    <b v="0"/>
    <b v="1"/>
    <n v="0"/>
    <m/>
    <n v="0"/>
    <m/>
  </r>
  <r>
    <s v="TX001952"/>
    <s v="AC00389"/>
    <n v="557.26"/>
    <d v="2023-10-04T17:06:57"/>
    <s v="Debit"/>
    <x v="24"/>
    <s v="D000184"/>
    <s v="197.23.128.119"/>
    <s v="M076"/>
    <s v="ATM"/>
    <n v="69"/>
    <s v="Doctor"/>
    <n v="53"/>
    <n v="1"/>
    <n v="5237.12"/>
    <d v="2024-11-04T08:09:49"/>
    <n v="17"/>
    <s v="Wednesday"/>
    <n v="0.88943162660811803"/>
    <b v="0"/>
    <b v="0"/>
    <b v="1"/>
    <n v="0"/>
    <m/>
    <n v="0"/>
    <m/>
  </r>
  <r>
    <s v="TX001953"/>
    <s v="AC00350"/>
    <n v="1496.57"/>
    <d v="2023-02-27T16:18:28"/>
    <s v="Debit"/>
    <x v="11"/>
    <s v="D000139"/>
    <s v="182.84.41.229"/>
    <s v="M092"/>
    <s v="Online"/>
    <n v="33"/>
    <s v="Engineer"/>
    <n v="95"/>
    <n v="1"/>
    <n v="969.06"/>
    <d v="2024-11-04T08:06:37"/>
    <n v="16"/>
    <s v="Monday"/>
    <n v="4.1068390133837402"/>
    <b v="1"/>
    <b v="0"/>
    <b v="1"/>
    <n v="1"/>
    <m/>
    <n v="1"/>
    <m/>
  </r>
  <r>
    <s v="TX001954"/>
    <s v="AC00275"/>
    <n v="27.44"/>
    <d v="2023-11-06T17:23:43"/>
    <s v="Debit"/>
    <x v="35"/>
    <s v="D000451"/>
    <s v="177.172.184.163"/>
    <s v="M057"/>
    <s v="ATM"/>
    <n v="62"/>
    <s v="Retired"/>
    <n v="164"/>
    <n v="1"/>
    <n v="5950.48"/>
    <d v="2024-11-04T08:08:43"/>
    <n v="17"/>
    <s v="Monday"/>
    <n v="-0.92535452669745599"/>
    <b v="0"/>
    <b v="0"/>
    <b v="1"/>
    <n v="0"/>
    <m/>
    <n v="0"/>
    <m/>
  </r>
  <r>
    <s v="TX001955"/>
    <s v="AC00231"/>
    <n v="310.08999999999997"/>
    <d v="2023-11-24T16:49:29"/>
    <s v="Debit"/>
    <x v="8"/>
    <s v="D000405"/>
    <s v="89.18.54.235"/>
    <s v="M068"/>
    <s v="Branch"/>
    <n v="36"/>
    <s v="Doctor"/>
    <n v="166"/>
    <n v="1"/>
    <n v="9962.5"/>
    <d v="2024-11-04T08:10:52"/>
    <n v="16"/>
    <s v="Friday"/>
    <n v="4.2803161256605E-2"/>
    <b v="0"/>
    <b v="0"/>
    <b v="1"/>
    <n v="0"/>
    <m/>
    <n v="0"/>
    <m/>
  </r>
  <r>
    <s v="TX001956"/>
    <s v="AC00449"/>
    <n v="80.38"/>
    <d v="2023-03-06T16:25:52"/>
    <s v="Debit"/>
    <x v="31"/>
    <s v="D000686"/>
    <s v="1.238.163.61"/>
    <s v="M064"/>
    <s v="Online"/>
    <n v="52"/>
    <s v="Doctor"/>
    <n v="116"/>
    <n v="1"/>
    <n v="9662.8799999999992"/>
    <d v="2024-11-04T08:09:54"/>
    <n v="16"/>
    <s v="Monday"/>
    <n v="-0.74401977346806303"/>
    <b v="0"/>
    <b v="0"/>
    <b v="1"/>
    <n v="0"/>
    <m/>
    <n v="0"/>
    <m/>
  </r>
  <r>
    <s v="TX001957"/>
    <s v="AC00248"/>
    <n v="26.1"/>
    <d v="2023-12-01T17:45:05"/>
    <s v="Credit"/>
    <x v="8"/>
    <s v="D000017"/>
    <s v="170.154.69.105"/>
    <s v="M032"/>
    <s v="Branch"/>
    <n v="66"/>
    <s v="Doctor"/>
    <n v="115"/>
    <n v="1"/>
    <n v="5243"/>
    <d v="2024-11-04T08:10:24"/>
    <n v="17"/>
    <s v="Friday"/>
    <n v="-0.92994441278221995"/>
    <b v="0"/>
    <b v="0"/>
    <b v="1"/>
    <n v="0"/>
    <m/>
    <n v="0"/>
    <m/>
  </r>
  <r>
    <s v="TX001958"/>
    <s v="AC00301"/>
    <n v="845.14"/>
    <d v="2023-01-09T16:21:35"/>
    <s v="Credit"/>
    <x v="5"/>
    <s v="D000154"/>
    <s v="8.244.162.185"/>
    <s v="M026"/>
    <s v="Branch"/>
    <n v="73"/>
    <s v="Retired"/>
    <n v="183"/>
    <n v="1"/>
    <n v="1702.65"/>
    <d v="2024-11-04T08:11:10"/>
    <n v="16"/>
    <s v="Monday"/>
    <n v="1.8755035714452499"/>
    <b v="0"/>
    <b v="0"/>
    <b v="1"/>
    <n v="0"/>
    <m/>
    <n v="0"/>
    <m/>
  </r>
  <r>
    <s v="TX001959"/>
    <s v="AC00023"/>
    <n v="59.73"/>
    <d v="2023-05-22T16:38:39"/>
    <s v="Debit"/>
    <x v="41"/>
    <s v="D000681"/>
    <s v="186.57.149.225"/>
    <s v="M019"/>
    <s v="ATM"/>
    <n v="27"/>
    <s v="Student"/>
    <n v="56"/>
    <n v="1"/>
    <n v="800.93"/>
    <d v="2024-11-04T08:10:10"/>
    <n v="16"/>
    <s v="Monday"/>
    <n v="-0.81475197320714399"/>
    <b v="0"/>
    <b v="0"/>
    <b v="1"/>
    <n v="0"/>
    <m/>
    <n v="0"/>
    <m/>
  </r>
  <r>
    <s v="TX001960"/>
    <s v="AC00272"/>
    <n v="758.77"/>
    <d v="2023-06-23T16:12:15"/>
    <s v="Debit"/>
    <x v="25"/>
    <s v="D000332"/>
    <s v="163.69.89.200"/>
    <s v="M009"/>
    <s v="ATM"/>
    <n v="60"/>
    <s v="Engineer"/>
    <n v="114"/>
    <n v="1"/>
    <n v="7231.47"/>
    <d v="2024-11-04T08:08:24"/>
    <n v="16"/>
    <s v="Friday"/>
    <n v="1.57966143626537"/>
    <b v="0"/>
    <b v="0"/>
    <b v="1"/>
    <n v="0"/>
    <m/>
    <n v="0"/>
    <m/>
  </r>
  <r>
    <s v="TX001961"/>
    <s v="AC00377"/>
    <n v="301.51"/>
    <d v="2023-02-24T16:33:33"/>
    <s v="Debit"/>
    <x v="27"/>
    <s v="D000509"/>
    <s v="193.190.29.63"/>
    <s v="M089"/>
    <s v="ATM"/>
    <n v="22"/>
    <s v="Student"/>
    <n v="284"/>
    <n v="1"/>
    <n v="1052.31"/>
    <d v="2024-11-04T08:11:09"/>
    <n v="16"/>
    <s v="Friday"/>
    <n v="1.34141891616259E-2"/>
    <b v="0"/>
    <b v="0"/>
    <b v="1"/>
    <n v="0"/>
    <m/>
    <n v="0"/>
    <m/>
  </r>
  <r>
    <s v="TX001962"/>
    <s v="AC00276"/>
    <n v="418.03"/>
    <d v="2023-09-04T17:46:40"/>
    <s v="Debit"/>
    <x v="14"/>
    <s v="D000391"/>
    <s v="47.167.178.158"/>
    <s v="M051"/>
    <s v="Online"/>
    <n v="58"/>
    <s v="Doctor"/>
    <n v="161"/>
    <n v="1"/>
    <n v="10721.29"/>
    <d v="2024-11-04T08:08:43"/>
    <n v="17"/>
    <s v="Monday"/>
    <n v="0.41252876124868498"/>
    <b v="0"/>
    <b v="0"/>
    <b v="1"/>
    <n v="0"/>
    <m/>
    <n v="0"/>
    <m/>
  </r>
  <r>
    <s v="TX001963"/>
    <s v="AC00427"/>
    <n v="118.06"/>
    <d v="2023-05-24T17:07:57"/>
    <s v="Credit"/>
    <x v="17"/>
    <s v="D000441"/>
    <s v="7.146.35.122"/>
    <s v="M082"/>
    <s v="Branch"/>
    <n v="32"/>
    <s v="Doctor"/>
    <n v="31"/>
    <n v="1"/>
    <n v="13560.63"/>
    <d v="2024-11-04T08:07:10"/>
    <n v="17"/>
    <s v="Wednesday"/>
    <n v="-0.61495491699500704"/>
    <b v="0"/>
    <b v="0"/>
    <b v="1"/>
    <n v="0"/>
    <m/>
    <n v="0"/>
    <m/>
  </r>
  <r>
    <s v="TX001964"/>
    <s v="AC00220"/>
    <n v="483.92"/>
    <d v="2023-10-16T18:57:30"/>
    <s v="Debit"/>
    <x v="22"/>
    <s v="D000046"/>
    <s v="145.179.219.57"/>
    <s v="M092"/>
    <s v="ATM"/>
    <n v="70"/>
    <s v="Retired"/>
    <n v="115"/>
    <n v="1"/>
    <n v="3138"/>
    <d v="2024-11-04T08:06:59"/>
    <n v="18"/>
    <s v="Monday"/>
    <n v="0.63822099567038304"/>
    <b v="0"/>
    <b v="0"/>
    <b v="1"/>
    <n v="0"/>
    <m/>
    <n v="0"/>
    <m/>
  </r>
  <r>
    <s v="TX001965"/>
    <s v="AC00370"/>
    <n v="78.930000000000007"/>
    <d v="2023-02-17T16:41:31"/>
    <s v="Debit"/>
    <x v="2"/>
    <s v="D000602"/>
    <s v="211.45.75.44"/>
    <s v="M099"/>
    <s v="ATM"/>
    <n v="38"/>
    <s v="Doctor"/>
    <n v="145"/>
    <n v="1"/>
    <n v="9916.24"/>
    <d v="2024-11-04T08:12:17"/>
    <n v="16"/>
    <s v="Friday"/>
    <n v="-0.74898644124635205"/>
    <b v="0"/>
    <b v="0"/>
    <b v="1"/>
    <n v="0"/>
    <m/>
    <n v="0"/>
    <m/>
  </r>
  <r>
    <s v="TX001966"/>
    <s v="AC00187"/>
    <n v="36.630000000000003"/>
    <d v="2023-05-04T17:02:55"/>
    <s v="Debit"/>
    <x v="19"/>
    <s v="D000560"/>
    <s v="16.94.155.46"/>
    <s v="M094"/>
    <s v="ATM"/>
    <n v="75"/>
    <s v="Retired"/>
    <n v="261"/>
    <n v="1"/>
    <n v="7941.73"/>
    <d v="2024-11-04T08:07:35"/>
    <n v="17"/>
    <s v="Thursday"/>
    <n v="-0.89387612884747203"/>
    <b v="0"/>
    <b v="0"/>
    <b v="1"/>
    <n v="0"/>
    <m/>
    <n v="0"/>
    <m/>
  </r>
  <r>
    <s v="TX001967"/>
    <s v="AC00293"/>
    <n v="87.85"/>
    <d v="2023-12-13T17:25:54"/>
    <s v="Debit"/>
    <x v="40"/>
    <s v="D000654"/>
    <s v="184.146.10.88"/>
    <s v="M062"/>
    <s v="Branch"/>
    <n v="49"/>
    <s v="Engineer"/>
    <n v="63"/>
    <n v="1"/>
    <n v="3753.24"/>
    <d v="2024-11-04T08:07:16"/>
    <n v="17"/>
    <s v="Wednesday"/>
    <n v="-0.718432871189567"/>
    <b v="0"/>
    <b v="0"/>
    <b v="1"/>
    <n v="0"/>
    <m/>
    <n v="0"/>
    <m/>
  </r>
  <r>
    <s v="TX001968"/>
    <s v="AC00203"/>
    <n v="1001.83"/>
    <d v="2023-07-17T17:46:06"/>
    <s v="Debit"/>
    <x v="26"/>
    <s v="D000220"/>
    <s v="89.18.54.235"/>
    <s v="M051"/>
    <s v="Online"/>
    <n v="31"/>
    <s v="Doctor"/>
    <n v="55"/>
    <n v="1"/>
    <n v="9733.83"/>
    <d v="2024-11-04T08:11:43"/>
    <n v="17"/>
    <s v="Monday"/>
    <n v="2.4122119674315301"/>
    <b v="1"/>
    <b v="0"/>
    <b v="1"/>
    <n v="1"/>
    <m/>
    <n v="1"/>
    <m/>
  </r>
  <r>
    <s v="TX001969"/>
    <s v="AC00016"/>
    <n v="705.34"/>
    <d v="2023-09-12T18:52:56"/>
    <s v="Debit"/>
    <x v="38"/>
    <s v="D000562"/>
    <s v="63.67.150.226"/>
    <s v="M026"/>
    <s v="Online"/>
    <n v="59"/>
    <s v="Doctor"/>
    <n v="124"/>
    <n v="1"/>
    <n v="5003.22"/>
    <d v="2024-11-04T08:12:18"/>
    <n v="18"/>
    <s v="Tuesday"/>
    <n v="1.3966482918557299"/>
    <b v="0"/>
    <b v="0"/>
    <b v="1"/>
    <n v="0"/>
    <m/>
    <n v="0"/>
    <m/>
  </r>
  <r>
    <s v="TX001970"/>
    <s v="AC00189"/>
    <n v="146.55000000000001"/>
    <d v="2023-08-03T18:35:54"/>
    <s v="Debit"/>
    <x v="33"/>
    <s v="D000163"/>
    <s v="82.75.200.117"/>
    <s v="M002"/>
    <s v="Online"/>
    <n v="54"/>
    <s v="Retired"/>
    <n v="124"/>
    <n v="5"/>
    <n v="4087.44"/>
    <d v="2024-11-04T08:07:38"/>
    <n v="18"/>
    <s v="Thursday"/>
    <n v="-0.51736845837193601"/>
    <b v="0"/>
    <b v="1"/>
    <b v="1"/>
    <n v="1"/>
    <m/>
    <n v="0"/>
    <m/>
  </r>
  <r>
    <s v="TX001971"/>
    <s v="AC00005"/>
    <n v="116.89"/>
    <d v="2023-11-20T16:31:15"/>
    <s v="Debit"/>
    <x v="15"/>
    <s v="D000328"/>
    <s v="146.250.144.172"/>
    <s v="M064"/>
    <s v="Online"/>
    <n v="71"/>
    <s v="Retired"/>
    <n v="226"/>
    <n v="1"/>
    <n v="4880.3100000000004"/>
    <d v="2024-11-04T08:06:37"/>
    <n v="16"/>
    <s v="Monday"/>
    <n v="-0.61896250409886799"/>
    <b v="0"/>
    <b v="0"/>
    <b v="1"/>
    <n v="0"/>
    <m/>
    <n v="0"/>
    <m/>
  </r>
  <r>
    <s v="TX001972"/>
    <s v="AC00190"/>
    <n v="106.41"/>
    <d v="2023-01-16T16:37:34"/>
    <s v="Debit"/>
    <x v="16"/>
    <s v="D000473"/>
    <s v="84.237.126.96"/>
    <s v="M063"/>
    <s v="Branch"/>
    <n v="57"/>
    <s v="Retired"/>
    <n v="87"/>
    <n v="1"/>
    <n v="1310.3800000000001"/>
    <d v="2024-11-04T08:07:01"/>
    <n v="16"/>
    <s v="Monday"/>
    <n v="-0.65485952362746702"/>
    <b v="0"/>
    <b v="0"/>
    <b v="1"/>
    <n v="0"/>
    <m/>
    <n v="0"/>
    <m/>
  </r>
  <r>
    <s v="TX001973"/>
    <s v="AC00480"/>
    <n v="1087.9000000000001"/>
    <d v="2023-03-27T18:06:17"/>
    <s v="Debit"/>
    <x v="35"/>
    <s v="D000549"/>
    <s v="112.86.148.212"/>
    <s v="M053"/>
    <s v="ATM"/>
    <n v="78"/>
    <s v="Retired"/>
    <n v="103"/>
    <n v="1"/>
    <n v="2513.5100000000002"/>
    <d v="2024-11-04T08:12:04"/>
    <n v="18"/>
    <s v="Monday"/>
    <n v="2.7070265161745199"/>
    <b v="1"/>
    <b v="0"/>
    <b v="1"/>
    <n v="1"/>
    <m/>
    <n v="1"/>
    <m/>
  </r>
  <r>
    <s v="TX001974"/>
    <s v="AC00407"/>
    <n v="584.41"/>
    <d v="2023-01-02T16:51:47"/>
    <s v="Debit"/>
    <x v="17"/>
    <s v="D000326"/>
    <s v="124.180.225.109"/>
    <s v="M051"/>
    <s v="ATM"/>
    <n v="23"/>
    <s v="Student"/>
    <n v="41"/>
    <n v="1"/>
    <n v="4475.22"/>
    <d v="2024-11-04T08:11:29"/>
    <n v="16"/>
    <s v="Monday"/>
    <n v="0.98242819914642598"/>
    <b v="0"/>
    <b v="0"/>
    <b v="1"/>
    <n v="0"/>
    <m/>
    <n v="0"/>
    <m/>
  </r>
  <r>
    <s v="TX001975"/>
    <s v="AC00195"/>
    <n v="584.98"/>
    <d v="2023-06-12T16:25:22"/>
    <s v="Credit"/>
    <x v="29"/>
    <s v="D000175"/>
    <s v="201.95.180.152"/>
    <s v="M093"/>
    <s v="Branch"/>
    <n v="55"/>
    <s v="Retired"/>
    <n v="121"/>
    <n v="1"/>
    <n v="6521.05"/>
    <d v="2024-11-04T08:07:59"/>
    <n v="16"/>
    <s v="Monday"/>
    <n v="0.98438061337651295"/>
    <b v="0"/>
    <b v="0"/>
    <b v="1"/>
    <n v="0"/>
    <m/>
    <n v="0"/>
    <m/>
  </r>
  <r>
    <s v="TX001976"/>
    <s v="AC00260"/>
    <n v="79.209999999999994"/>
    <d v="2023-11-24T17:52:34"/>
    <s v="Debit"/>
    <x v="40"/>
    <s v="D000014"/>
    <s v="165.143.173.165"/>
    <s v="M055"/>
    <s v="Branch"/>
    <n v="56"/>
    <s v="Retired"/>
    <n v="140"/>
    <n v="1"/>
    <n v="1615.04"/>
    <d v="2024-11-04T08:07:01"/>
    <n v="17"/>
    <s v="Friday"/>
    <n v="-0.74802736057192398"/>
    <b v="0"/>
    <b v="0"/>
    <b v="1"/>
    <n v="0"/>
    <m/>
    <n v="0"/>
    <m/>
  </r>
  <r>
    <s v="TX001977"/>
    <s v="AC00006"/>
    <n v="173.13"/>
    <d v="2023-10-05T16:46:31"/>
    <s v="Credit"/>
    <x v="4"/>
    <s v="D000485"/>
    <s v="5.50.152.168"/>
    <s v="M044"/>
    <s v="Online"/>
    <n v="20"/>
    <s v="Student"/>
    <n v="288"/>
    <n v="1"/>
    <n v="1490.34"/>
    <d v="2024-11-04T08:07:24"/>
    <n v="16"/>
    <s v="Thursday"/>
    <n v="-0.42632430006371402"/>
    <b v="0"/>
    <b v="0"/>
    <b v="1"/>
    <n v="0"/>
    <m/>
    <n v="0"/>
    <m/>
  </r>
  <r>
    <s v="TX001978"/>
    <s v="AC00294"/>
    <n v="335.7"/>
    <d v="2023-01-30T17:47:41"/>
    <s v="Debit"/>
    <x v="39"/>
    <s v="D000180"/>
    <s v="184.57.159.204"/>
    <s v="M012"/>
    <s v="ATM"/>
    <n v="80"/>
    <s v="Retired"/>
    <n v="57"/>
    <n v="1"/>
    <n v="6601.44"/>
    <d v="2024-11-04T08:10:11"/>
    <n v="17"/>
    <s v="Monday"/>
    <n v="0.13052479008555701"/>
    <b v="0"/>
    <b v="0"/>
    <b v="1"/>
    <n v="0"/>
    <m/>
    <n v="0"/>
    <m/>
  </r>
  <r>
    <s v="TX001979"/>
    <s v="AC00327"/>
    <n v="1225.5"/>
    <d v="2023-11-27T16:02:08"/>
    <s v="Credit"/>
    <x v="17"/>
    <s v="D000507"/>
    <s v="156.187.182.236"/>
    <s v="M066"/>
    <s v="Online"/>
    <n v="50"/>
    <s v="Doctor"/>
    <n v="109"/>
    <n v="1"/>
    <n v="8611.17"/>
    <d v="2024-11-04T08:11:41"/>
    <n v="16"/>
    <s v="Monday"/>
    <n v="3.17834616189353"/>
    <b v="1"/>
    <b v="0"/>
    <b v="1"/>
    <n v="1"/>
    <m/>
    <n v="1"/>
    <m/>
  </r>
  <r>
    <s v="TX001980"/>
    <s v="AC00013"/>
    <n v="422.81"/>
    <d v="2023-11-20T16:07:20"/>
    <s v="Debit"/>
    <x v="16"/>
    <s v="D000050"/>
    <s v="77.92.193.22"/>
    <s v="M036"/>
    <s v="Branch"/>
    <n v="28"/>
    <s v="Student"/>
    <n v="193"/>
    <n v="1"/>
    <n v="1929.28"/>
    <d v="2024-11-04T08:10:28"/>
    <n v="16"/>
    <s v="Monday"/>
    <n v="0.42890163847642399"/>
    <b v="0"/>
    <b v="0"/>
    <b v="1"/>
    <n v="0"/>
    <m/>
    <n v="0"/>
    <m/>
  </r>
  <r>
    <s v="TX001981"/>
    <s v="AC00386"/>
    <n v="135.43"/>
    <d v="2023-10-06T16:14:51"/>
    <s v="Debit"/>
    <x v="24"/>
    <s v="D000626"/>
    <s v="120.170.93.69"/>
    <s v="M031"/>
    <s v="ATM"/>
    <n v="57"/>
    <s v="Retired"/>
    <n v="92"/>
    <n v="1"/>
    <n v="5315.83"/>
    <d v="2024-11-04T08:08:57"/>
    <n v="16"/>
    <s v="Friday"/>
    <n v="-0.55545766229922799"/>
    <b v="0"/>
    <b v="0"/>
    <b v="1"/>
    <n v="0"/>
    <m/>
    <n v="0"/>
    <m/>
  </r>
  <r>
    <s v="TX001982"/>
    <s v="AC00256"/>
    <n v="584.88"/>
    <d v="2023-12-19T17:19:47"/>
    <s v="Debit"/>
    <x v="26"/>
    <s v="D000202"/>
    <s v="91.204.200.167"/>
    <s v="M042"/>
    <s v="ATM"/>
    <n v="26"/>
    <s v="Student"/>
    <n v="121"/>
    <n v="1"/>
    <n v="548.45000000000005"/>
    <d v="2024-11-04T08:11:03"/>
    <n v="17"/>
    <s v="Tuesday"/>
    <n v="0.98403808456421704"/>
    <b v="0"/>
    <b v="0"/>
    <b v="1"/>
    <n v="0"/>
    <m/>
    <n v="0"/>
    <m/>
  </r>
  <r>
    <s v="TX001983"/>
    <s v="AC00439"/>
    <n v="308.94"/>
    <d v="2023-04-03T16:35:29"/>
    <s v="Debit"/>
    <x v="16"/>
    <s v="D000650"/>
    <s v="49.20.211.229"/>
    <s v="M092"/>
    <s v="Online"/>
    <n v="25"/>
    <s v="Student"/>
    <n v="167"/>
    <n v="1"/>
    <n v="1931.66"/>
    <d v="2024-11-04T08:07:47"/>
    <n v="16"/>
    <s v="Monday"/>
    <n v="3.8864079915203402E-2"/>
    <b v="0"/>
    <b v="0"/>
    <b v="1"/>
    <n v="0"/>
    <m/>
    <n v="0"/>
    <m/>
  </r>
  <r>
    <s v="TX001984"/>
    <s v="AC00088"/>
    <n v="295.93"/>
    <d v="2023-02-20T17:26:39"/>
    <s v="Debit"/>
    <x v="35"/>
    <s v="D000414"/>
    <s v="145.179.219.57"/>
    <s v="M021"/>
    <s v="Branch"/>
    <n v="36"/>
    <s v="Doctor"/>
    <n v="117"/>
    <n v="1"/>
    <n v="1050.6300000000001"/>
    <d v="2024-11-04T08:09:56"/>
    <n v="17"/>
    <s v="Monday"/>
    <n v="-5.6989185644792696E-3"/>
    <b v="0"/>
    <b v="0"/>
    <b v="1"/>
    <n v="0"/>
    <m/>
    <n v="0"/>
    <m/>
  </r>
  <r>
    <s v="TX001985"/>
    <s v="AC00303"/>
    <n v="1512.99"/>
    <d v="2023-08-08T17:15:50"/>
    <s v="Debit"/>
    <x v="26"/>
    <s v="D000032"/>
    <s v="195.164.171.146"/>
    <s v="M071"/>
    <s v="Online"/>
    <n v="19"/>
    <s v="Student"/>
    <n v="50"/>
    <n v="1"/>
    <n v="9963.39"/>
    <d v="2024-11-04T08:09:45"/>
    <n v="17"/>
    <s v="Tuesday"/>
    <n v="4.1630822443627098"/>
    <b v="1"/>
    <b v="0"/>
    <b v="1"/>
    <n v="1"/>
    <m/>
    <n v="1"/>
    <m/>
  </r>
  <r>
    <s v="TX001986"/>
    <s v="AC00245"/>
    <n v="77.44"/>
    <d v="2023-06-26T16:28:59"/>
    <s v="Debit"/>
    <x v="38"/>
    <s v="D000218"/>
    <s v="195.164.171.146"/>
    <s v="M011"/>
    <s v="Branch"/>
    <n v="58"/>
    <s v="Retired"/>
    <n v="268"/>
    <n v="1"/>
    <n v="1950.63"/>
    <d v="2024-11-04T08:10:59"/>
    <n v="16"/>
    <s v="Monday"/>
    <n v="-0.75409012054955904"/>
    <b v="0"/>
    <b v="0"/>
    <b v="1"/>
    <n v="0"/>
    <m/>
    <n v="0"/>
    <m/>
  </r>
  <r>
    <s v="TX001987"/>
    <s v="AC00188"/>
    <n v="92.5"/>
    <d v="2023-09-25T16:22:10"/>
    <s v="Credit"/>
    <x v="6"/>
    <s v="D000520"/>
    <s v="113.137.153.101"/>
    <s v="M080"/>
    <s v="Online"/>
    <n v="40"/>
    <s v="Engineer"/>
    <n v="70"/>
    <n v="1"/>
    <n v="6295.45"/>
    <d v="2024-11-04T08:08:25"/>
    <n v="16"/>
    <s v="Monday"/>
    <n v="-0.70250528141781199"/>
    <b v="0"/>
    <b v="0"/>
    <b v="1"/>
    <n v="0"/>
    <m/>
    <n v="0"/>
    <m/>
  </r>
  <r>
    <s v="TX001988"/>
    <s v="AC00225"/>
    <n v="97.74"/>
    <d v="2023-09-04T16:46:29"/>
    <s v="Credit"/>
    <x v="16"/>
    <s v="D000211"/>
    <s v="218.238.171.184"/>
    <s v="M046"/>
    <s v="Online"/>
    <n v="41"/>
    <s v="Engineer"/>
    <n v="137"/>
    <n v="1"/>
    <n v="4113.63"/>
    <d v="2024-11-04T08:07:15"/>
    <n v="16"/>
    <s v="Monday"/>
    <n v="-0.68455677165351303"/>
    <b v="0"/>
    <b v="0"/>
    <b v="1"/>
    <n v="0"/>
    <m/>
    <n v="0"/>
    <m/>
  </r>
  <r>
    <s v="TX001989"/>
    <s v="AC00278"/>
    <n v="291.68"/>
    <d v="2023-08-07T18:07:57"/>
    <s v="Debit"/>
    <x v="15"/>
    <s v="D000021"/>
    <s v="72.128.135.172"/>
    <s v="M058"/>
    <s v="ATM"/>
    <n v="21"/>
    <s v="Student"/>
    <n v="90"/>
    <n v="1"/>
    <n v="1451.02"/>
    <d v="2024-11-04T08:11:59"/>
    <n v="18"/>
    <s v="Monday"/>
    <n v="-2.02563930870505E-2"/>
    <b v="0"/>
    <b v="0"/>
    <b v="1"/>
    <n v="0"/>
    <m/>
    <n v="0"/>
    <m/>
  </r>
  <r>
    <s v="TX001990"/>
    <s v="AC00311"/>
    <n v="56.96"/>
    <d v="2023-06-26T17:38:30"/>
    <s v="Debit"/>
    <x v="10"/>
    <s v="D000379"/>
    <s v="70.130.169.235"/>
    <s v="M011"/>
    <s v="ATM"/>
    <n v="22"/>
    <s v="Student"/>
    <n v="135"/>
    <n v="1"/>
    <n v="1597.85"/>
    <d v="2024-11-04T08:07:18"/>
    <n v="17"/>
    <s v="Monday"/>
    <n v="-0.82424002130773799"/>
    <b v="0"/>
    <b v="0"/>
    <b v="1"/>
    <n v="0"/>
    <m/>
    <n v="0"/>
    <m/>
  </r>
  <r>
    <s v="TX001991"/>
    <s v="AC00206"/>
    <n v="436.8"/>
    <d v="2023-07-03T16:15:11"/>
    <s v="Debit"/>
    <x v="6"/>
    <s v="D000619"/>
    <s v="19.228.76.177"/>
    <s v="M082"/>
    <s v="Online"/>
    <n v="27"/>
    <s v="Student"/>
    <n v="92"/>
    <n v="1"/>
    <n v="1256.33"/>
    <d v="2024-11-04T08:10:00"/>
    <n v="16"/>
    <s v="Monday"/>
    <n v="0.47682141931660499"/>
    <b v="0"/>
    <b v="0"/>
    <b v="1"/>
    <n v="0"/>
    <m/>
    <n v="0"/>
    <m/>
  </r>
  <r>
    <s v="TX001992"/>
    <s v="AC00329"/>
    <n v="259.49"/>
    <d v="2023-06-09T16:31:56"/>
    <s v="Debit"/>
    <x v="14"/>
    <s v="D000433"/>
    <s v="162.151.179.167"/>
    <s v="M045"/>
    <s v="Online"/>
    <n v="72"/>
    <s v="Retired"/>
    <n v="292"/>
    <n v="1"/>
    <n v="7320.61"/>
    <d v="2024-11-04T08:07:31"/>
    <n v="16"/>
    <s v="Friday"/>
    <n v="-0.13051641776506601"/>
    <b v="0"/>
    <b v="0"/>
    <b v="1"/>
    <n v="0"/>
    <m/>
    <n v="0"/>
    <m/>
  </r>
  <r>
    <s v="TX001993"/>
    <s v="AC00338"/>
    <n v="726.26"/>
    <d v="2023-02-13T17:13:49"/>
    <s v="Debit"/>
    <x v="32"/>
    <s v="D000386"/>
    <s v="69.160.14.157"/>
    <s v="M035"/>
    <s v="Online"/>
    <n v="57"/>
    <s v="Retired"/>
    <n v="147"/>
    <n v="1"/>
    <n v="2150.38"/>
    <d v="2024-11-04T08:06:49"/>
    <n v="17"/>
    <s v="Monday"/>
    <n v="1.46830531938801"/>
    <b v="0"/>
    <b v="0"/>
    <b v="1"/>
    <n v="0"/>
    <m/>
    <n v="0"/>
    <m/>
  </r>
  <r>
    <s v="TX001994"/>
    <s v="AC00409"/>
    <n v="568.67999999999995"/>
    <d v="2023-04-25T18:47:16"/>
    <s v="Debit"/>
    <x v="1"/>
    <s v="D000283"/>
    <s v="189.248.139.91"/>
    <s v="M075"/>
    <s v="ATM"/>
    <n v="72"/>
    <s v="Retired"/>
    <n v="101"/>
    <n v="1"/>
    <n v="2940.04"/>
    <d v="2024-11-04T08:08:39"/>
    <n v="18"/>
    <s v="Tuesday"/>
    <n v="0.92854841697229795"/>
    <b v="0"/>
    <b v="0"/>
    <b v="1"/>
    <n v="0"/>
    <m/>
    <n v="0"/>
    <m/>
  </r>
  <r>
    <s v="TX001995"/>
    <s v="AC00114"/>
    <n v="77.569999999999993"/>
    <d v="2023-12-13T17:02:21"/>
    <s v="Debit"/>
    <x v="4"/>
    <s v="D000441"/>
    <s v="136.104.90.223"/>
    <s v="M091"/>
    <s v="Online"/>
    <n v="49"/>
    <s v="Doctor"/>
    <n v="225"/>
    <n v="1"/>
    <n v="12801.93"/>
    <d v="2024-11-04T08:07:54"/>
    <n v="17"/>
    <s v="Wednesday"/>
    <n v="-0.753644833093574"/>
    <b v="0"/>
    <b v="0"/>
    <b v="1"/>
    <n v="0"/>
    <m/>
    <n v="0"/>
    <m/>
  </r>
  <r>
    <s v="TX001996"/>
    <s v="AC00460"/>
    <n v="999.28"/>
    <d v="2023-05-22T17:45:50"/>
    <s v="Debit"/>
    <x v="35"/>
    <s v="D000032"/>
    <s v="125.89.163.224"/>
    <s v="M050"/>
    <s v="Online"/>
    <n v="29"/>
    <s v="Engineer"/>
    <n v="40"/>
    <n v="1"/>
    <n v="4272.41"/>
    <d v="2024-11-04T08:12:15"/>
    <n v="17"/>
    <s v="Monday"/>
    <n v="2.4034774827179799"/>
    <b v="1"/>
    <b v="0"/>
    <b v="1"/>
    <n v="1"/>
    <m/>
    <n v="1"/>
    <m/>
  </r>
  <r>
    <s v="TX001997"/>
    <s v="AC00373"/>
    <n v="14.16"/>
    <d v="2023-01-09T16:49:07"/>
    <s v="Credit"/>
    <x v="5"/>
    <s v="D000665"/>
    <s v="12.240.113.200"/>
    <s v="M076"/>
    <s v="Branch"/>
    <n v="74"/>
    <s v="Retired"/>
    <n v="290"/>
    <n v="1"/>
    <n v="5399.76"/>
    <d v="2024-11-04T08:10:20"/>
    <n v="16"/>
    <s v="Monday"/>
    <n v="-0.97084235297033705"/>
    <b v="0"/>
    <b v="0"/>
    <b v="1"/>
    <n v="0"/>
    <m/>
    <n v="0"/>
    <m/>
  </r>
  <r>
    <s v="TX001998"/>
    <s v="AC00021"/>
    <n v="1142.83"/>
    <d v="2023-07-14T17:44:23"/>
    <s v="Credit"/>
    <x v="32"/>
    <s v="D000493"/>
    <s v="219.98.242.240"/>
    <s v="M028"/>
    <s v="Branch"/>
    <n v="61"/>
    <s v="Retired"/>
    <n v="48"/>
    <n v="1"/>
    <n v="2467.39"/>
    <d v="2024-11-04T08:11:26"/>
    <n v="17"/>
    <s v="Friday"/>
    <n v="2.8951775927685901"/>
    <b v="1"/>
    <b v="0"/>
    <b v="1"/>
    <n v="1"/>
    <m/>
    <n v="1"/>
    <m/>
  </r>
  <r>
    <s v="TX001999"/>
    <s v="AC00235"/>
    <n v="61.33"/>
    <d v="2023-09-20T18:18:00"/>
    <s v="Debit"/>
    <x v="3"/>
    <s v="D000201"/>
    <s v="167.95.191.52"/>
    <s v="M018"/>
    <s v="ATM"/>
    <n v="27"/>
    <s v="Engineer"/>
    <n v="129"/>
    <n v="1"/>
    <n v="7537.4"/>
    <d v="2024-11-04T08:06:27"/>
    <n v="18"/>
    <s v="Wednesday"/>
    <n v="-0.80927151221041105"/>
    <b v="0"/>
    <b v="0"/>
    <b v="1"/>
    <n v="0"/>
    <m/>
    <n v="0"/>
    <m/>
  </r>
  <r>
    <s v="TX002000"/>
    <s v="AC00261"/>
    <n v="27.64"/>
    <d v="2023-06-09T17:14:26"/>
    <s v="Debit"/>
    <x v="22"/>
    <s v="D000044"/>
    <s v="208.142.57.37"/>
    <s v="M065"/>
    <s v="Online"/>
    <n v="54"/>
    <s v="Engineer"/>
    <n v="23"/>
    <n v="1"/>
    <n v="7498.51"/>
    <d v="2024-11-04T08:08:22"/>
    <n v="17"/>
    <s v="Friday"/>
    <n v="-0.92466946907286396"/>
    <b v="0"/>
    <b v="0"/>
    <b v="1"/>
    <n v="0"/>
    <m/>
    <n v="0"/>
    <m/>
  </r>
  <r>
    <s v="TX002001"/>
    <s v="AC00456"/>
    <n v="3.85"/>
    <d v="2023-04-17T16:27:27"/>
    <s v="Debit"/>
    <x v="24"/>
    <s v="D000058"/>
    <s v="72.192.101.196"/>
    <s v="M025"/>
    <s v="ATM"/>
    <n v="29"/>
    <s v="Doctor"/>
    <n v="32"/>
    <n v="1"/>
    <n v="10506.41"/>
    <d v="2024-11-04T08:08:51"/>
    <n v="16"/>
    <s v="Monday"/>
    <n v="-1.0061570735180301"/>
    <b v="0"/>
    <b v="0"/>
    <b v="1"/>
    <n v="0"/>
    <m/>
    <n v="0"/>
    <m/>
  </r>
  <r>
    <s v="TX002002"/>
    <s v="AC00332"/>
    <n v="431.22"/>
    <d v="2023-04-21T16:25:49"/>
    <s v="Credit"/>
    <x v="14"/>
    <s v="D000301"/>
    <s v="111.226.226.202"/>
    <s v="M051"/>
    <s v="Branch"/>
    <n v="73"/>
    <s v="Retired"/>
    <n v="129"/>
    <n v="1"/>
    <n v="6505.98"/>
    <d v="2024-11-04T08:07:30"/>
    <n v="16"/>
    <s v="Friday"/>
    <n v="0.45770831159050002"/>
    <b v="0"/>
    <b v="0"/>
    <b v="1"/>
    <n v="0"/>
    <m/>
    <n v="0"/>
    <m/>
  </r>
  <r>
    <s v="TX002003"/>
    <s v="AC00245"/>
    <n v="178.55"/>
    <d v="2023-12-15T16:16:30"/>
    <s v="Debit"/>
    <x v="1"/>
    <s v="D000630"/>
    <s v="16.250.113.156"/>
    <s v="M076"/>
    <s v="Branch"/>
    <n v="55"/>
    <s v="Engineer"/>
    <n v="67"/>
    <n v="1"/>
    <n v="7568.4"/>
    <d v="2024-11-04T08:12:21"/>
    <n v="16"/>
    <s v="Friday"/>
    <n v="-0.40775923843728201"/>
    <b v="0"/>
    <b v="0"/>
    <b v="1"/>
    <n v="0"/>
    <m/>
    <n v="0"/>
    <m/>
  </r>
  <r>
    <s v="TX002004"/>
    <s v="AC00388"/>
    <n v="248.76"/>
    <d v="2023-05-24T16:12:18"/>
    <s v="Debit"/>
    <x v="13"/>
    <s v="D000334"/>
    <s v="80.75.92.66"/>
    <s v="M091"/>
    <s v="ATM"/>
    <n v="18"/>
    <s v="Student"/>
    <n v="56"/>
    <n v="1"/>
    <n v="546.46"/>
    <d v="2024-11-04T08:06:33"/>
    <n v="16"/>
    <s v="Wednesday"/>
    <n v="-0.16726975932440499"/>
    <b v="0"/>
    <b v="0"/>
    <b v="1"/>
    <n v="0"/>
    <m/>
    <n v="0"/>
    <m/>
  </r>
  <r>
    <s v="TX002005"/>
    <s v="AC00008"/>
    <n v="76.16"/>
    <d v="2023-11-21T16:45:29"/>
    <s v="Debit"/>
    <x v="23"/>
    <s v="D000539"/>
    <s v="100.128.70.210"/>
    <s v="M060"/>
    <s v="ATM"/>
    <n v="23"/>
    <s v="Student"/>
    <n v="99"/>
    <n v="1"/>
    <n v="1072.25"/>
    <d v="2024-11-04T08:12:04"/>
    <n v="16"/>
    <s v="Tuesday"/>
    <n v="-0.75847448934694495"/>
    <b v="0"/>
    <b v="0"/>
    <b v="1"/>
    <n v="0"/>
    <m/>
    <n v="0"/>
    <m/>
  </r>
  <r>
    <s v="TX002006"/>
    <s v="AC00066"/>
    <n v="347.25"/>
    <d v="2023-01-30T18:49:52"/>
    <s v="Debit"/>
    <x v="7"/>
    <s v="D000646"/>
    <s v="33.28.138.82"/>
    <s v="M062"/>
    <s v="ATM"/>
    <n v="69"/>
    <s v="Doctor"/>
    <n v="250"/>
    <n v="1"/>
    <n v="7273.55"/>
    <d v="2024-11-04T08:08:01"/>
    <n v="18"/>
    <s v="Monday"/>
    <n v="0.170086867905722"/>
    <b v="0"/>
    <b v="0"/>
    <b v="1"/>
    <n v="0"/>
    <m/>
    <n v="0"/>
    <m/>
  </r>
  <r>
    <s v="TX002007"/>
    <s v="AC00227"/>
    <n v="28.04"/>
    <d v="2023-02-15T16:37:09"/>
    <s v="Debit"/>
    <x v="16"/>
    <s v="D000101"/>
    <s v="114.223.129.47"/>
    <s v="M008"/>
    <s v="ATM"/>
    <n v="57"/>
    <s v="Doctor"/>
    <n v="146"/>
    <n v="5"/>
    <n v="11197.54"/>
    <d v="2024-11-04T08:12:17"/>
    <n v="16"/>
    <s v="Wednesday"/>
    <n v="-0.923299353823681"/>
    <b v="0"/>
    <b v="1"/>
    <b v="1"/>
    <n v="1"/>
    <m/>
    <n v="0"/>
    <m/>
  </r>
  <r>
    <s v="TX002008"/>
    <s v="AC00352"/>
    <n v="325.98"/>
    <d v="2023-07-20T16:58:39"/>
    <s v="Debit"/>
    <x v="38"/>
    <s v="D000232"/>
    <s v="141.241.241.128"/>
    <s v="M086"/>
    <s v="ATM"/>
    <n v="19"/>
    <s v="Student"/>
    <n v="277"/>
    <n v="1"/>
    <n v="782.35"/>
    <d v="2024-11-04T08:08:23"/>
    <n v="16"/>
    <s v="Thursday"/>
    <n v="9.7230989530406806E-2"/>
    <b v="0"/>
    <b v="0"/>
    <b v="1"/>
    <n v="0"/>
    <m/>
    <n v="0"/>
    <m/>
  </r>
  <r>
    <s v="TX002009"/>
    <s v="AC00481"/>
    <n v="249.56"/>
    <d v="2023-11-20T16:05:05"/>
    <s v="Debit"/>
    <x v="22"/>
    <s v="D000617"/>
    <s v="49.10.93.200"/>
    <s v="M083"/>
    <s v="Branch"/>
    <n v="76"/>
    <s v="Retired"/>
    <n v="246"/>
    <n v="1"/>
    <n v="4444.95"/>
    <d v="2024-11-04T08:11:08"/>
    <n v="16"/>
    <s v="Monday"/>
    <n v="-0.164529528826038"/>
    <b v="0"/>
    <b v="0"/>
    <b v="1"/>
    <n v="0"/>
    <m/>
    <n v="0"/>
    <m/>
  </r>
  <r>
    <s v="TX002010"/>
    <s v="AC00341"/>
    <n v="17.43"/>
    <d v="2023-02-23T16:21:38"/>
    <s v="Debit"/>
    <x v="10"/>
    <s v="D000574"/>
    <s v="155.19.119.0"/>
    <s v="M042"/>
    <s v="ATM"/>
    <n v="56"/>
    <s v="Doctor"/>
    <n v="33"/>
    <n v="1"/>
    <n v="10658.88"/>
    <d v="2024-11-04T08:08:36"/>
    <n v="16"/>
    <s v="Thursday"/>
    <n v="-0.95964166080826496"/>
    <b v="0"/>
    <b v="0"/>
    <b v="1"/>
    <n v="0"/>
    <m/>
    <n v="0"/>
    <m/>
  </r>
  <r>
    <s v="TX002011"/>
    <s v="AC00065"/>
    <n v="198.01"/>
    <d v="2023-04-24T17:46:41"/>
    <s v="Credit"/>
    <x v="14"/>
    <s v="D000145"/>
    <s v="83.80.89.29"/>
    <s v="M005"/>
    <s v="Branch"/>
    <n v="26"/>
    <s v="Student"/>
    <n v="40"/>
    <n v="1"/>
    <n v="250.93"/>
    <d v="2024-11-04T08:10:09"/>
    <n v="17"/>
    <s v="Monday"/>
    <n v="-0.34110313156451999"/>
    <b v="0"/>
    <b v="0"/>
    <b v="1"/>
    <n v="0"/>
    <m/>
    <n v="0"/>
    <m/>
  </r>
  <r>
    <s v="TX002012"/>
    <s v="AC00248"/>
    <n v="585.58000000000004"/>
    <d v="2023-09-04T16:13:40"/>
    <s v="Debit"/>
    <x v="3"/>
    <s v="D000580"/>
    <s v="175.166.115.182"/>
    <s v="M091"/>
    <s v="Branch"/>
    <n v="23"/>
    <s v="Student"/>
    <n v="55"/>
    <n v="1"/>
    <n v="1729.02"/>
    <d v="2024-11-04T08:09:16"/>
    <n v="16"/>
    <s v="Monday"/>
    <n v="0.98643578625028705"/>
    <b v="0"/>
    <b v="0"/>
    <b v="1"/>
    <n v="0"/>
    <m/>
    <n v="0"/>
    <m/>
  </r>
  <r>
    <s v="TX002013"/>
    <s v="AC00177"/>
    <n v="434.67"/>
    <d v="2023-12-05T18:33:02"/>
    <s v="Credit"/>
    <x v="33"/>
    <s v="D000107"/>
    <s v="13.149.61.4"/>
    <s v="M024"/>
    <s v="Online"/>
    <n v="27"/>
    <s v="Student"/>
    <n v="124"/>
    <n v="1"/>
    <n v="1298.1300000000001"/>
    <d v="2024-11-04T08:10:09"/>
    <n v="18"/>
    <s v="Tuesday"/>
    <n v="0.46952555561470499"/>
    <b v="0"/>
    <b v="0"/>
    <b v="1"/>
    <n v="0"/>
    <m/>
    <n v="0"/>
    <m/>
  </r>
  <r>
    <s v="TX002014"/>
    <s v="AC00139"/>
    <n v="510.7"/>
    <d v="2023-06-07T16:35:27"/>
    <s v="Credit"/>
    <x v="9"/>
    <s v="D000167"/>
    <s v="156.96.135.18"/>
    <s v="M040"/>
    <s v="Online"/>
    <n v="27"/>
    <s v="Student"/>
    <n v="294"/>
    <n v="1"/>
    <n v="5828.48"/>
    <d v="2024-11-04T08:07:57"/>
    <n v="16"/>
    <s v="Wednesday"/>
    <n v="0.72995021160319695"/>
    <b v="0"/>
    <b v="0"/>
    <b v="1"/>
    <n v="0"/>
    <m/>
    <n v="0"/>
    <m/>
  </r>
  <r>
    <s v="TX002015"/>
    <s v="AC00252"/>
    <n v="331.98"/>
    <d v="2023-08-28T16:40:01"/>
    <s v="Debit"/>
    <x v="13"/>
    <s v="D000302"/>
    <s v="60.153.124.80"/>
    <s v="M047"/>
    <s v="ATM"/>
    <n v="74"/>
    <s v="Retired"/>
    <n v="12"/>
    <n v="1"/>
    <n v="7600.99"/>
    <d v="2024-11-04T08:09:26"/>
    <n v="16"/>
    <s v="Monday"/>
    <n v="0.11778271826815399"/>
    <b v="0"/>
    <b v="0"/>
    <b v="1"/>
    <n v="0"/>
    <m/>
    <n v="0"/>
    <m/>
  </r>
  <r>
    <s v="TX002016"/>
    <s v="AC00286"/>
    <n v="199.54"/>
    <d v="2023-10-10T17:24:33"/>
    <s v="Debit"/>
    <x v="42"/>
    <s v="D000631"/>
    <s v="16.250.113.156"/>
    <s v="M070"/>
    <s v="Online"/>
    <n v="56"/>
    <s v="Engineer"/>
    <n v="268"/>
    <n v="1"/>
    <n v="9603.73"/>
    <d v="2024-11-04T08:10:49"/>
    <n v="17"/>
    <s v="Tuesday"/>
    <n v="-0.33586244073639498"/>
    <b v="0"/>
    <b v="0"/>
    <b v="1"/>
    <n v="0"/>
    <m/>
    <n v="0"/>
    <m/>
  </r>
  <r>
    <s v="TX002017"/>
    <s v="AC00001"/>
    <n v="212.97"/>
    <d v="2023-11-14T16:56:34"/>
    <s v="Debit"/>
    <x v="4"/>
    <s v="D000492"/>
    <s v="45.241.13.208"/>
    <s v="M003"/>
    <s v="Online"/>
    <n v="59"/>
    <s v="Engineer"/>
    <n v="178"/>
    <n v="1"/>
    <n v="4180.3999999999996"/>
    <d v="2024-11-04T08:10:42"/>
    <n v="16"/>
    <s v="Tuesday"/>
    <n v="-0.28986082124506901"/>
    <b v="0"/>
    <b v="0"/>
    <b v="1"/>
    <n v="0"/>
    <m/>
    <n v="0"/>
    <m/>
  </r>
  <r>
    <s v="TX002018"/>
    <s v="AC00453"/>
    <n v="270.56"/>
    <d v="2023-02-17T16:57:32"/>
    <s v="Debit"/>
    <x v="26"/>
    <s v="D000203"/>
    <s v="57.166.147.242"/>
    <s v="M038"/>
    <s v="Online"/>
    <n v="23"/>
    <s v="Student"/>
    <n v="139"/>
    <n v="1"/>
    <n v="1268.44"/>
    <d v="2024-11-04T08:08:05"/>
    <n v="16"/>
    <s v="Friday"/>
    <n v="-9.25984782439222E-2"/>
    <b v="0"/>
    <b v="0"/>
    <b v="1"/>
    <n v="0"/>
    <m/>
    <n v="0"/>
    <m/>
  </r>
  <r>
    <s v="TX002019"/>
    <s v="AC00291"/>
    <n v="306.37"/>
    <d v="2023-06-27T18:26:08"/>
    <s v="Debit"/>
    <x v="40"/>
    <s v="D000484"/>
    <s v="21.122.39.207"/>
    <s v="M015"/>
    <s v="ATM"/>
    <n v="26"/>
    <s v="Engineer"/>
    <n v="120"/>
    <n v="1"/>
    <n v="9609.67"/>
    <d v="2024-11-04T08:07:43"/>
    <n v="18"/>
    <s v="Tuesday"/>
    <n v="3.0061089439201601E-2"/>
    <b v="0"/>
    <b v="0"/>
    <b v="1"/>
    <n v="0"/>
    <m/>
    <n v="0"/>
    <m/>
  </r>
  <r>
    <s v="TX002020"/>
    <s v="AC00113"/>
    <n v="643.02"/>
    <d v="2023-10-02T17:47:19"/>
    <s v="Credit"/>
    <x v="8"/>
    <s v="D000534"/>
    <s v="34.125.226.63"/>
    <s v="M065"/>
    <s v="ATM"/>
    <n v="38"/>
    <s v="Doctor"/>
    <n v="85"/>
    <n v="1"/>
    <n v="11989.39"/>
    <d v="2024-11-04T08:07:01"/>
    <n v="17"/>
    <s v="Monday"/>
    <n v="1.1831843360329899"/>
    <b v="0"/>
    <b v="0"/>
    <b v="1"/>
    <n v="0"/>
    <m/>
    <n v="0"/>
    <m/>
  </r>
  <r>
    <s v="TX002021"/>
    <s v="AC00390"/>
    <n v="98.48"/>
    <d v="2023-02-16T17:14:41"/>
    <s v="Debit"/>
    <x v="19"/>
    <s v="D000440"/>
    <s v="202.194.199.70"/>
    <s v="M090"/>
    <s v="Branch"/>
    <n v="47"/>
    <s v="Engineer"/>
    <n v="12"/>
    <n v="1"/>
    <n v="9538.92"/>
    <d v="2024-11-04T08:11:29"/>
    <n v="17"/>
    <s v="Thursday"/>
    <n v="-0.68202205844252395"/>
    <b v="0"/>
    <b v="0"/>
    <b v="1"/>
    <n v="0"/>
    <m/>
    <n v="0"/>
    <m/>
  </r>
  <r>
    <s v="TX002022"/>
    <s v="AC00345"/>
    <n v="889.01"/>
    <d v="2023-08-29T17:55:07"/>
    <s v="Debit"/>
    <x v="33"/>
    <s v="D000299"/>
    <s v="198.166.198.233"/>
    <s v="M030"/>
    <s v="Online"/>
    <n v="36"/>
    <s v="Engineer"/>
    <n v="169"/>
    <n v="1"/>
    <n v="4826.88"/>
    <d v="2024-11-04T08:11:23"/>
    <n v="17"/>
    <s v="Tuesday"/>
    <n v="2.0257709613994099"/>
    <b v="0"/>
    <b v="0"/>
    <b v="1"/>
    <n v="0"/>
    <m/>
    <n v="0"/>
    <m/>
  </r>
  <r>
    <s v="TX002023"/>
    <s v="AC00011"/>
    <n v="537.86"/>
    <d v="2023-09-19T16:44:21"/>
    <s v="Debit"/>
    <x v="31"/>
    <s v="D000159"/>
    <s v="144.228.168.6"/>
    <s v="M001"/>
    <s v="Online"/>
    <n v="27"/>
    <s v="Student"/>
    <n v="134"/>
    <n v="1"/>
    <n v="293.06"/>
    <d v="2024-11-04T08:09:27"/>
    <n v="16"/>
    <s v="Tuesday"/>
    <n v="0.82298103702273495"/>
    <b v="0"/>
    <b v="0"/>
    <b v="1"/>
    <n v="0"/>
    <m/>
    <n v="0"/>
    <m/>
  </r>
  <r>
    <s v="TX002024"/>
    <s v="AC00106"/>
    <n v="241.18"/>
    <d v="2023-05-30T18:29:15"/>
    <s v="Debit"/>
    <x v="2"/>
    <s v="D000616"/>
    <s v="12.240.113.200"/>
    <s v="M025"/>
    <s v="ATM"/>
    <n v="25"/>
    <s v="Student"/>
    <n v="162"/>
    <n v="1"/>
    <n v="1445.53"/>
    <d v="2024-11-04T08:06:56"/>
    <n v="18"/>
    <s v="Tuesday"/>
    <n v="-0.193233443296426"/>
    <b v="0"/>
    <b v="0"/>
    <b v="1"/>
    <n v="0"/>
    <m/>
    <n v="0"/>
    <m/>
  </r>
  <r>
    <s v="TX002025"/>
    <s v="AC00087"/>
    <n v="130.54"/>
    <d v="2023-04-05T17:20:36"/>
    <s v="Debit"/>
    <x v="4"/>
    <s v="D000544"/>
    <s v="173.135.78.201"/>
    <s v="M074"/>
    <s v="ATM"/>
    <n v="64"/>
    <s v="Doctor"/>
    <n v="94"/>
    <n v="1"/>
    <n v="11204.62"/>
    <d v="2024-11-04T08:09:50"/>
    <n v="17"/>
    <s v="Wednesday"/>
    <n v="-0.572207321220492"/>
    <b v="0"/>
    <b v="0"/>
    <b v="1"/>
    <n v="0"/>
    <m/>
    <n v="0"/>
    <m/>
  </r>
  <r>
    <s v="TX002026"/>
    <s v="AC00441"/>
    <n v="800.29"/>
    <d v="2023-12-04T16:25:27"/>
    <s v="Credit"/>
    <x v="0"/>
    <s v="D000400"/>
    <s v="115.196.150.105"/>
    <s v="M033"/>
    <s v="Branch"/>
    <n v="20"/>
    <s v="Student"/>
    <n v="84"/>
    <n v="1"/>
    <n v="693.4"/>
    <d v="2024-11-04T08:11:42"/>
    <n v="16"/>
    <s v="Monday"/>
    <n v="1.7218793991305801"/>
    <b v="0"/>
    <b v="0"/>
    <b v="1"/>
    <n v="0"/>
    <m/>
    <n v="0"/>
    <m/>
  </r>
  <r>
    <s v="TX002027"/>
    <s v="AC00069"/>
    <n v="8.81"/>
    <d v="2023-05-22T16:57:30"/>
    <s v="Debit"/>
    <x v="34"/>
    <s v="D000462"/>
    <s v="35.67.21.23"/>
    <s v="M046"/>
    <s v="Online"/>
    <n v="57"/>
    <s v="Doctor"/>
    <n v="165"/>
    <n v="1"/>
    <n v="13523.65"/>
    <d v="2024-11-04T08:09:40"/>
    <n v="16"/>
    <s v="Monday"/>
    <n v="-0.98916764442816196"/>
    <b v="0"/>
    <b v="0"/>
    <b v="1"/>
    <n v="0"/>
    <m/>
    <n v="0"/>
    <m/>
  </r>
  <r>
    <s v="TX002028"/>
    <s v="AC00020"/>
    <n v="28.52"/>
    <d v="2023-06-02T16:54:12"/>
    <s v="Debit"/>
    <x v="8"/>
    <s v="D000700"/>
    <s v="40.10.25.102"/>
    <s v="M021"/>
    <s v="ATM"/>
    <n v="20"/>
    <s v="Student"/>
    <n v="163"/>
    <n v="1"/>
    <n v="662.51"/>
    <d v="2024-11-04T08:08:28"/>
    <n v="16"/>
    <s v="Friday"/>
    <n v="-0.92165521552466101"/>
    <b v="0"/>
    <b v="0"/>
    <b v="1"/>
    <n v="0"/>
    <m/>
    <n v="0"/>
    <m/>
  </r>
  <r>
    <s v="TX002029"/>
    <s v="AC00172"/>
    <n v="431.31"/>
    <d v="2023-05-01T16:18:16"/>
    <s v="Credit"/>
    <x v="4"/>
    <s v="D000363"/>
    <s v="223.189.165.37"/>
    <s v="M021"/>
    <s v="Online"/>
    <n v="23"/>
    <s v="Student"/>
    <n v="99"/>
    <n v="1"/>
    <n v="342.73"/>
    <d v="2024-11-04T08:09:29"/>
    <n v="16"/>
    <s v="Monday"/>
    <n v="0.45801658752156599"/>
    <b v="0"/>
    <b v="0"/>
    <b v="1"/>
    <n v="0"/>
    <m/>
    <n v="0"/>
    <m/>
  </r>
  <r>
    <s v="TX002030"/>
    <s v="AC00237"/>
    <n v="885.33"/>
    <d v="2023-08-22T18:41:50"/>
    <s v="Credit"/>
    <x v="3"/>
    <s v="D000413"/>
    <s v="40.226.196.34"/>
    <s v="M025"/>
    <s v="ATM"/>
    <n v="47"/>
    <s v="Engineer"/>
    <n v="59"/>
    <n v="1"/>
    <n v="7764.16"/>
    <d v="2024-11-04T08:10:03"/>
    <n v="18"/>
    <s v="Tuesday"/>
    <n v="2.0131659011069298"/>
    <b v="0"/>
    <b v="0"/>
    <b v="1"/>
    <n v="0"/>
    <m/>
    <n v="0"/>
    <m/>
  </r>
  <r>
    <s v="TX002031"/>
    <s v="AC00186"/>
    <n v="199.23"/>
    <d v="2023-09-04T16:04:27"/>
    <s v="Debit"/>
    <x v="28"/>
    <s v="D000183"/>
    <s v="24.148.92.177"/>
    <s v="M052"/>
    <s v="ATM"/>
    <n v="29"/>
    <s v="Engineer"/>
    <n v="54"/>
    <n v="1"/>
    <n v="9834"/>
    <d v="2024-11-04T08:07:46"/>
    <n v="16"/>
    <s v="Monday"/>
    <n v="-0.33692428005451203"/>
    <b v="0"/>
    <b v="0"/>
    <b v="1"/>
    <n v="0"/>
    <m/>
    <n v="0"/>
    <m/>
  </r>
  <r>
    <s v="TX002032"/>
    <s v="AC00165"/>
    <n v="42.26"/>
    <d v="2023-10-26T16:19:25"/>
    <s v="Debit"/>
    <x v="3"/>
    <s v="D000214"/>
    <s v="59.132.247.252"/>
    <s v="M080"/>
    <s v="ATM"/>
    <n v="44"/>
    <s v="Doctor"/>
    <n v="171"/>
    <n v="1"/>
    <n v="268.77"/>
    <d v="2024-11-04T08:09:35"/>
    <n v="16"/>
    <s v="Thursday"/>
    <n v="-0.87459175671521905"/>
    <b v="0"/>
    <b v="0"/>
    <b v="1"/>
    <n v="0"/>
    <m/>
    <n v="0"/>
    <m/>
  </r>
  <r>
    <s v="TX002033"/>
    <s v="AC00438"/>
    <n v="166.06"/>
    <d v="2023-07-14T16:06:06"/>
    <s v="Debit"/>
    <x v="7"/>
    <s v="D000195"/>
    <s v="85.239.236.80"/>
    <s v="M020"/>
    <s v="ATM"/>
    <n v="30"/>
    <s v="Engineer"/>
    <n v="172"/>
    <n v="1"/>
    <n v="5397.68"/>
    <d v="2024-11-04T08:07:04"/>
    <n v="16"/>
    <s v="Friday"/>
    <n v="-0.45054108709302598"/>
    <b v="0"/>
    <b v="0"/>
    <b v="1"/>
    <n v="0"/>
    <m/>
    <n v="0"/>
    <m/>
  </r>
  <r>
    <s v="TX002034"/>
    <s v="AC00435"/>
    <n v="357.72"/>
    <d v="2023-08-07T17:29:48"/>
    <s v="Debit"/>
    <x v="19"/>
    <s v="D000334"/>
    <s v="3.70.1.133"/>
    <s v="M082"/>
    <s v="ATM"/>
    <n v="53"/>
    <s v="Retired"/>
    <n v="25"/>
    <n v="1"/>
    <n v="7659.5"/>
    <d v="2024-11-04T08:11:19"/>
    <n v="17"/>
    <s v="Monday"/>
    <n v="0.20594963455309101"/>
    <b v="0"/>
    <b v="0"/>
    <b v="1"/>
    <n v="0"/>
    <m/>
    <n v="0"/>
    <m/>
  </r>
  <r>
    <s v="TX002035"/>
    <s v="AC00472"/>
    <n v="588.37"/>
    <d v="2023-01-05T17:48:29"/>
    <s v="Debit"/>
    <x v="34"/>
    <s v="D000482"/>
    <s v="49.20.211.229"/>
    <s v="M100"/>
    <s v="Online"/>
    <n v="28"/>
    <s v="Student"/>
    <n v="284"/>
    <n v="1"/>
    <n v="1926.08"/>
    <d v="2024-11-04T08:07:39"/>
    <n v="17"/>
    <s v="Thursday"/>
    <n v="0.99599234011334004"/>
    <b v="0"/>
    <b v="0"/>
    <b v="1"/>
    <n v="0"/>
    <m/>
    <n v="0"/>
    <m/>
  </r>
  <r>
    <s v="TX002036"/>
    <s v="AC00446"/>
    <n v="72.819999999999993"/>
    <d v="2023-11-10T16:50:35"/>
    <s v="Debit"/>
    <x v="1"/>
    <s v="D000453"/>
    <s v="25.188.196.47"/>
    <s v="M063"/>
    <s v="Online"/>
    <n v="68"/>
    <s v="Doctor"/>
    <n v="127"/>
    <n v="1"/>
    <n v="6911.62"/>
    <d v="2024-11-04T08:06:49"/>
    <n v="16"/>
    <s v="Friday"/>
    <n v="-0.76991495167762503"/>
    <b v="0"/>
    <b v="0"/>
    <b v="1"/>
    <n v="0"/>
    <m/>
    <n v="0"/>
    <m/>
  </r>
  <r>
    <s v="TX002037"/>
    <s v="AC00427"/>
    <n v="162.36000000000001"/>
    <d v="2023-11-22T16:10:32"/>
    <s v="Debit"/>
    <x v="28"/>
    <s v="D000315"/>
    <s v="125.89.163.224"/>
    <s v="M069"/>
    <s v="Online"/>
    <n v="36"/>
    <s v="Engineer"/>
    <n v="147"/>
    <n v="1"/>
    <n v="7527.04"/>
    <d v="2024-11-04T08:09:02"/>
    <n v="16"/>
    <s v="Wednesday"/>
    <n v="-0.463214653147971"/>
    <b v="0"/>
    <b v="0"/>
    <b v="1"/>
    <n v="0"/>
    <m/>
    <n v="0"/>
    <m/>
  </r>
  <r>
    <s v="TX002038"/>
    <s v="AC00230"/>
    <n v="584.82000000000005"/>
    <d v="2023-10-17T16:11:26"/>
    <s v="Credit"/>
    <x v="9"/>
    <s v="D000594"/>
    <s v="201.114.165.141"/>
    <s v="M057"/>
    <s v="Online"/>
    <n v="43"/>
    <s v="Doctor"/>
    <n v="109"/>
    <n v="1"/>
    <n v="12071.1"/>
    <d v="2024-11-04T08:09:47"/>
    <n v="16"/>
    <s v="Tuesday"/>
    <n v="0.98383256727683899"/>
    <b v="0"/>
    <b v="0"/>
    <b v="1"/>
    <n v="0"/>
    <m/>
    <n v="0"/>
    <m/>
  </r>
  <r>
    <s v="TX002039"/>
    <s v="AC00172"/>
    <n v="38.15"/>
    <d v="2023-10-06T16:37:16"/>
    <s v="Credit"/>
    <x v="5"/>
    <s v="D000682"/>
    <s v="110.235.207.187"/>
    <s v="M065"/>
    <s v="Online"/>
    <n v="72"/>
    <s v="Retired"/>
    <n v="129"/>
    <n v="1"/>
    <n v="1425.47"/>
    <d v="2024-11-04T08:12:23"/>
    <n v="16"/>
    <s v="Friday"/>
    <n v="-0.88866969090057601"/>
    <b v="0"/>
    <b v="0"/>
    <b v="1"/>
    <n v="0"/>
    <m/>
    <n v="0"/>
    <m/>
  </r>
  <r>
    <s v="TX002040"/>
    <s v="AC00103"/>
    <n v="477.54"/>
    <d v="2023-08-21T17:20:05"/>
    <s v="Credit"/>
    <x v="23"/>
    <s v="D000386"/>
    <s v="29.168.185.63"/>
    <s v="M063"/>
    <s v="ATM"/>
    <n v="23"/>
    <s v="Student"/>
    <n v="52"/>
    <n v="1"/>
    <n v="1598.63"/>
    <d v="2024-11-04T08:06:48"/>
    <n v="17"/>
    <s v="Monday"/>
    <n v="0.61636765744591204"/>
    <b v="0"/>
    <b v="0"/>
    <b v="1"/>
    <n v="0"/>
    <m/>
    <n v="0"/>
    <m/>
  </r>
  <r>
    <s v="TX002041"/>
    <s v="AC00467"/>
    <n v="639.57000000000005"/>
    <d v="2023-12-18T16:25:18"/>
    <s v="Debit"/>
    <x v="26"/>
    <s v="D000166"/>
    <s v="189.183.50.147"/>
    <s v="M013"/>
    <s v="Branch"/>
    <n v="60"/>
    <s v="Doctor"/>
    <n v="43"/>
    <n v="1"/>
    <n v="11726.47"/>
    <d v="2024-11-04T08:12:02"/>
    <n v="16"/>
    <s v="Monday"/>
    <n v="1.17136709200878"/>
    <b v="0"/>
    <b v="0"/>
    <b v="1"/>
    <n v="0"/>
    <m/>
    <n v="0"/>
    <m/>
  </r>
  <r>
    <s v="TX002042"/>
    <s v="AC00094"/>
    <n v="58.23"/>
    <d v="2023-07-26T17:25:23"/>
    <s v="Debit"/>
    <x v="37"/>
    <s v="D000504"/>
    <s v="200.22.195.243"/>
    <s v="M068"/>
    <s v="Online"/>
    <n v="28"/>
    <s v="Student"/>
    <n v="34"/>
    <n v="1"/>
    <n v="9189.76"/>
    <d v="2024-11-04T08:09:59"/>
    <n v="17"/>
    <s v="Wednesday"/>
    <n v="-0.81988990539158102"/>
    <b v="0"/>
    <b v="0"/>
    <b v="1"/>
    <n v="0"/>
    <m/>
    <n v="0"/>
    <m/>
  </r>
  <r>
    <s v="TX002043"/>
    <s v="AC00231"/>
    <n v="776.21"/>
    <d v="2023-02-22T17:15:20"/>
    <s v="Credit"/>
    <x v="3"/>
    <s v="D000656"/>
    <s v="213.15.9.253"/>
    <s v="M036"/>
    <s v="Online"/>
    <n v="78"/>
    <s v="Retired"/>
    <n v="99"/>
    <n v="1"/>
    <n v="4895.87"/>
    <d v="2024-11-04T08:06:38"/>
    <n v="17"/>
    <s v="Wednesday"/>
    <n v="1.6393984611297501"/>
    <b v="0"/>
    <b v="0"/>
    <b v="1"/>
    <n v="0"/>
    <m/>
    <n v="0"/>
    <m/>
  </r>
  <r>
    <s v="TX002044"/>
    <s v="AC00032"/>
    <n v="248.76"/>
    <d v="2023-03-20T18:51:53"/>
    <s v="Debit"/>
    <x v="42"/>
    <s v="D000390"/>
    <s v="149.46.124.220"/>
    <s v="M070"/>
    <s v="Branch"/>
    <n v="21"/>
    <s v="Student"/>
    <n v="117"/>
    <n v="1"/>
    <n v="6178.77"/>
    <d v="2024-11-04T08:09:07"/>
    <n v="18"/>
    <s v="Monday"/>
    <n v="-0.16726975932440499"/>
    <b v="0"/>
    <b v="0"/>
    <b v="1"/>
    <n v="0"/>
    <m/>
    <n v="0"/>
    <m/>
  </r>
  <r>
    <s v="TX002045"/>
    <s v="AC00241"/>
    <n v="188.61"/>
    <d v="2024-01-01T17:16:23"/>
    <s v="Debit"/>
    <x v="35"/>
    <s v="D000451"/>
    <s v="107.248.120.12"/>
    <s v="M083"/>
    <s v="Online"/>
    <n v="67"/>
    <s v="Retired"/>
    <n v="26"/>
    <n v="1"/>
    <n v="7167.57"/>
    <d v="2024-11-04T08:06:23"/>
    <n v="17"/>
    <s v="Monday"/>
    <n v="-0.37330083992032498"/>
    <b v="0"/>
    <b v="0"/>
    <b v="1"/>
    <n v="0"/>
    <m/>
    <n v="0"/>
    <m/>
  </r>
  <r>
    <s v="TX002046"/>
    <s v="AC00263"/>
    <n v="675.37"/>
    <d v="2023-12-29T16:45:06"/>
    <s v="Credit"/>
    <x v="36"/>
    <s v="D000508"/>
    <s v="10.223.224.50"/>
    <s v="M001"/>
    <s v="Online"/>
    <n v="56"/>
    <s v="Retired"/>
    <n v="31"/>
    <n v="1"/>
    <n v="4704.91"/>
    <d v="2024-11-04T08:11:11"/>
    <n v="16"/>
    <s v="Friday"/>
    <n v="1.2939924068106801"/>
    <b v="0"/>
    <b v="0"/>
    <b v="1"/>
    <n v="0"/>
    <m/>
    <n v="0"/>
    <m/>
  </r>
  <r>
    <s v="TX002047"/>
    <s v="AC00012"/>
    <n v="94.82"/>
    <d v="2023-03-21T16:36:30"/>
    <s v="Credit"/>
    <x v="15"/>
    <s v="D000123"/>
    <s v="175.230.206.232"/>
    <s v="M011"/>
    <s v="Branch"/>
    <n v="67"/>
    <s v="Retired"/>
    <n v="56"/>
    <n v="1"/>
    <n v="1267.72"/>
    <d v="2024-11-04T08:12:17"/>
    <n v="16"/>
    <s v="Tuesday"/>
    <n v="-0.69455861297254995"/>
    <b v="0"/>
    <b v="0"/>
    <b v="1"/>
    <n v="0"/>
    <m/>
    <n v="0"/>
    <m/>
  </r>
  <r>
    <s v="TX002048"/>
    <s v="AC00009"/>
    <n v="425.18"/>
    <d v="2023-02-20T16:16:39"/>
    <s v="Credit"/>
    <x v="41"/>
    <s v="D000270"/>
    <s v="27.93.195.98"/>
    <s v="M057"/>
    <s v="Online"/>
    <n v="59"/>
    <s v="Engineer"/>
    <n v="135"/>
    <n v="1"/>
    <n v="5790.55"/>
    <d v="2024-11-04T08:11:26"/>
    <n v="16"/>
    <s v="Monday"/>
    <n v="0.43701957132783398"/>
    <b v="0"/>
    <b v="0"/>
    <b v="1"/>
    <n v="0"/>
    <m/>
    <n v="0"/>
    <m/>
  </r>
  <r>
    <s v="TX002049"/>
    <s v="AC00041"/>
    <n v="50.28"/>
    <d v="2023-02-02T16:20:28"/>
    <s v="Debit"/>
    <x v="5"/>
    <s v="D000544"/>
    <s v="196.244.194.198"/>
    <s v="M057"/>
    <s v="Branch"/>
    <n v="60"/>
    <s v="Engineer"/>
    <n v="65"/>
    <n v="1"/>
    <n v="5729.1"/>
    <d v="2024-11-04T08:06:46"/>
    <n v="16"/>
    <s v="Thursday"/>
    <n v="-0.84712094596909704"/>
    <b v="0"/>
    <b v="0"/>
    <b v="1"/>
    <n v="0"/>
    <m/>
    <n v="0"/>
    <m/>
  </r>
  <r>
    <s v="TX002050"/>
    <s v="AC00317"/>
    <n v="864.72"/>
    <d v="2023-08-25T16:35:39"/>
    <s v="Credit"/>
    <x v="8"/>
    <s v="D000622"/>
    <s v="161.71.2.223"/>
    <s v="M018"/>
    <s v="Branch"/>
    <n v="34"/>
    <s v="Engineer"/>
    <n v="58"/>
    <n v="1"/>
    <n v="7379.38"/>
    <d v="2024-11-04T08:11:10"/>
    <n v="16"/>
    <s v="Friday"/>
    <n v="1.9425707128927601"/>
    <b v="0"/>
    <b v="0"/>
    <b v="1"/>
    <n v="0"/>
    <m/>
    <n v="0"/>
    <m/>
  </r>
  <r>
    <s v="TX002051"/>
    <s v="AC00475"/>
    <n v="70.680000000000007"/>
    <d v="2023-11-22T17:01:08"/>
    <s v="Debit"/>
    <x v="39"/>
    <s v="D000138"/>
    <s v="13.88.251.53"/>
    <s v="M016"/>
    <s v="Online"/>
    <n v="25"/>
    <s v="Student"/>
    <n v="105"/>
    <n v="1"/>
    <n v="1478.41"/>
    <d v="2024-11-04T08:10:55"/>
    <n v="17"/>
    <s v="Wednesday"/>
    <n v="-0.77724506826075501"/>
    <b v="0"/>
    <b v="0"/>
    <b v="1"/>
    <n v="0"/>
    <m/>
    <n v="0"/>
    <m/>
  </r>
  <r>
    <s v="TX002052"/>
    <s v="AC00181"/>
    <n v="261.77"/>
    <d v="2023-01-12T18:07:21"/>
    <s v="Debit"/>
    <x v="29"/>
    <s v="D000026"/>
    <s v="82.75.200.117"/>
    <s v="M004"/>
    <s v="Online"/>
    <n v="28"/>
    <s v="Student"/>
    <n v="46"/>
    <n v="1"/>
    <n v="824.71"/>
    <d v="2024-11-04T08:11:48"/>
    <n v="18"/>
    <s v="Thursday"/>
    <n v="-0.122706760844722"/>
    <b v="0"/>
    <b v="0"/>
    <b v="1"/>
    <n v="0"/>
    <m/>
    <n v="0"/>
    <m/>
  </r>
  <r>
    <s v="TX002053"/>
    <s v="AC00120"/>
    <n v="183.22"/>
    <d v="2023-10-05T18:40:15"/>
    <s v="Debit"/>
    <x v="20"/>
    <s v="D000290"/>
    <s v="64.15.0.66"/>
    <s v="M099"/>
    <s v="ATM"/>
    <n v="27"/>
    <s v="Student"/>
    <n v="63"/>
    <n v="1"/>
    <n v="1024.42"/>
    <d v="2024-11-04T08:07:27"/>
    <n v="18"/>
    <s v="Thursday"/>
    <n v="-0.39176314290306802"/>
    <b v="0"/>
    <b v="0"/>
    <b v="1"/>
    <n v="0"/>
    <m/>
    <n v="0"/>
    <m/>
  </r>
  <r>
    <s v="TX002054"/>
    <s v="AC00331"/>
    <n v="58.32"/>
    <d v="2023-07-31T16:21:15"/>
    <s v="Credit"/>
    <x v="12"/>
    <s v="D000135"/>
    <s v="87.50.72.69"/>
    <s v="M011"/>
    <s v="Branch"/>
    <n v="29"/>
    <s v="Engineer"/>
    <n v="275"/>
    <n v="4"/>
    <n v="6027.49"/>
    <d v="2024-11-04T08:06:58"/>
    <n v="16"/>
    <s v="Monday"/>
    <n v="-0.81958162946051505"/>
    <b v="0"/>
    <b v="1"/>
    <b v="1"/>
    <n v="1"/>
    <m/>
    <n v="0"/>
    <m/>
  </r>
  <r>
    <s v="TX002055"/>
    <s v="AC00500"/>
    <n v="156.86000000000001"/>
    <d v="2023-01-30T16:37:53"/>
    <s v="Debit"/>
    <x v="27"/>
    <s v="D000168"/>
    <s v="11.167.243.171"/>
    <s v="M099"/>
    <s v="ATM"/>
    <n v="51"/>
    <s v="Doctor"/>
    <n v="102"/>
    <n v="1"/>
    <n v="14453.35"/>
    <d v="2024-11-04T08:10:27"/>
    <n v="16"/>
    <s v="Monday"/>
    <n v="-0.48205373782423899"/>
    <b v="0"/>
    <b v="0"/>
    <b v="1"/>
    <n v="0"/>
    <m/>
    <n v="0"/>
    <m/>
  </r>
  <r>
    <s v="TX002056"/>
    <s v="AC00292"/>
    <n v="120.67"/>
    <d v="2023-12-25T18:16:39"/>
    <s v="Debit"/>
    <x v="40"/>
    <s v="D000119"/>
    <s v="214.247.164.80"/>
    <s v="M040"/>
    <s v="ATM"/>
    <n v="42"/>
    <s v="Doctor"/>
    <n v="233"/>
    <n v="1"/>
    <n v="5374.54"/>
    <d v="2024-11-04T08:12:08"/>
    <n v="18"/>
    <s v="Monday"/>
    <n v="-0.606014914994087"/>
    <b v="0"/>
    <b v="0"/>
    <b v="1"/>
    <n v="0"/>
    <m/>
    <n v="0"/>
    <m/>
  </r>
  <r>
    <s v="TX002057"/>
    <s v="AC00436"/>
    <n v="308.62"/>
    <d v="2023-10-06T18:59:06"/>
    <s v="Credit"/>
    <x v="30"/>
    <s v="D000482"/>
    <s v="61.95.76.233"/>
    <s v="M047"/>
    <s v="Branch"/>
    <n v="59"/>
    <s v="Engineer"/>
    <n v="101"/>
    <n v="1"/>
    <n v="9148.08"/>
    <d v="2024-11-04T08:06:47"/>
    <n v="18"/>
    <s v="Friday"/>
    <n v="3.7767987715856897E-2"/>
    <b v="0"/>
    <b v="0"/>
    <b v="1"/>
    <n v="0"/>
    <m/>
    <n v="0"/>
    <m/>
  </r>
  <r>
    <s v="TX002058"/>
    <s v="AC00476"/>
    <n v="506.81"/>
    <d v="2023-12-20T16:17:24"/>
    <s v="Debit"/>
    <x v="20"/>
    <s v="D000650"/>
    <s v="138.220.61.84"/>
    <s v="M091"/>
    <s v="ATM"/>
    <n v="59"/>
    <s v="Engineer"/>
    <n v="41"/>
    <n v="1"/>
    <n v="2757.23"/>
    <d v="2024-11-04T08:08:00"/>
    <n v="16"/>
    <s v="Wednesday"/>
    <n v="0.71662584080489"/>
    <b v="0"/>
    <b v="0"/>
    <b v="1"/>
    <n v="0"/>
    <m/>
    <n v="0"/>
    <m/>
  </r>
  <r>
    <s v="TX002059"/>
    <s v="AC00391"/>
    <n v="328.39"/>
    <d v="2023-11-09T16:47:01"/>
    <s v="Debit"/>
    <x v="22"/>
    <s v="D000396"/>
    <s v="110.150.1.201"/>
    <s v="M013"/>
    <s v="ATM"/>
    <n v="41"/>
    <s v="Engineer"/>
    <n v="108"/>
    <n v="1"/>
    <n v="2523.83"/>
    <d v="2024-11-04T08:11:57"/>
    <n v="16"/>
    <s v="Thursday"/>
    <n v="0.105485933906735"/>
    <b v="0"/>
    <b v="0"/>
    <b v="1"/>
    <n v="0"/>
    <m/>
    <n v="0"/>
    <m/>
  </r>
  <r>
    <s v="TX002060"/>
    <s v="AC00267"/>
    <n v="796.3"/>
    <d v="2023-03-22T16:03:01"/>
    <s v="Debit"/>
    <x v="14"/>
    <s v="D000225"/>
    <s v="93.160.83.196"/>
    <s v="M062"/>
    <s v="Branch"/>
    <n v="67"/>
    <s v="Retired"/>
    <n v="64"/>
    <n v="1"/>
    <n v="1498.79"/>
    <d v="2024-11-04T08:08:32"/>
    <n v="16"/>
    <s v="Wednesday"/>
    <n v="1.7082124995199801"/>
    <b v="0"/>
    <b v="0"/>
    <b v="1"/>
    <n v="0"/>
    <m/>
    <n v="0"/>
    <m/>
  </r>
  <r>
    <s v="TX002061"/>
    <s v="AC00034"/>
    <n v="72.47"/>
    <d v="2023-10-17T18:02:43"/>
    <s v="Debit"/>
    <x v="35"/>
    <s v="D000066"/>
    <s v="89.18.54.235"/>
    <s v="M083"/>
    <s v="Online"/>
    <n v="29"/>
    <s v="Doctor"/>
    <n v="72"/>
    <n v="1"/>
    <n v="1305.56"/>
    <d v="2024-11-04T08:11:10"/>
    <n v="18"/>
    <s v="Tuesday"/>
    <n v="-0.77111380252065997"/>
    <b v="0"/>
    <b v="0"/>
    <b v="1"/>
    <n v="0"/>
    <m/>
    <n v="0"/>
    <m/>
  </r>
  <r>
    <s v="TX002062"/>
    <s v="AC00425"/>
    <n v="279.60000000000002"/>
    <d v="2023-05-31T16:28:06"/>
    <s v="Debit"/>
    <x v="18"/>
    <s v="D000452"/>
    <s v="182.84.41.229"/>
    <s v="M097"/>
    <s v="ATM"/>
    <n v="25"/>
    <s v="Student"/>
    <n v="131"/>
    <n v="1"/>
    <n v="1910.9"/>
    <d v="2024-11-04T08:06:53"/>
    <n v="16"/>
    <s v="Wednesday"/>
    <n v="-6.1633873612382303E-2"/>
    <b v="0"/>
    <b v="0"/>
    <b v="1"/>
    <n v="0"/>
    <m/>
    <n v="0"/>
    <m/>
  </r>
  <r>
    <s v="TX002063"/>
    <s v="AC00048"/>
    <n v="304.2"/>
    <d v="2023-06-08T16:06:13"/>
    <s v="Debit"/>
    <x v="7"/>
    <s v="D000652"/>
    <s v="11.188.75.155"/>
    <s v="M083"/>
    <s v="Online"/>
    <n v="25"/>
    <s v="Student"/>
    <n v="102"/>
    <n v="1"/>
    <n v="423.64"/>
    <d v="2024-11-04T08:10:19"/>
    <n v="16"/>
    <s v="Thursday"/>
    <n v="2.26282142123828E-2"/>
    <b v="0"/>
    <b v="0"/>
    <b v="1"/>
    <n v="0"/>
    <m/>
    <n v="0"/>
    <m/>
  </r>
  <r>
    <s v="TX002064"/>
    <s v="AC00110"/>
    <n v="351.38"/>
    <d v="2023-06-26T18:41:55"/>
    <s v="Debit"/>
    <x v="22"/>
    <s v="D000254"/>
    <s v="47.82.77.181"/>
    <s v="M026"/>
    <s v="Branch"/>
    <n v="64"/>
    <s v="Retired"/>
    <n v="21"/>
    <n v="1"/>
    <n v="7606.63"/>
    <d v="2024-11-04T08:06:32"/>
    <n v="18"/>
    <s v="Monday"/>
    <n v="0.184233307853538"/>
    <b v="0"/>
    <b v="0"/>
    <b v="1"/>
    <n v="0"/>
    <m/>
    <n v="0"/>
    <m/>
  </r>
  <r>
    <s v="TX002065"/>
    <s v="AC00427"/>
    <n v="86.07"/>
    <d v="2023-11-20T18:40:45"/>
    <s v="Debit"/>
    <x v="34"/>
    <s v="D000355"/>
    <s v="192.163.114.167"/>
    <s v="M078"/>
    <s v="Branch"/>
    <n v="31"/>
    <s v="Doctor"/>
    <n v="23"/>
    <n v="1"/>
    <n v="842.56"/>
    <d v="2024-11-04T08:12:19"/>
    <n v="18"/>
    <s v="Monday"/>
    <n v="-0.72452988404843199"/>
    <b v="0"/>
    <b v="0"/>
    <b v="1"/>
    <n v="0"/>
    <m/>
    <n v="0"/>
    <m/>
  </r>
  <r>
    <s v="TX002066"/>
    <s v="AC00483"/>
    <n v="604.5"/>
    <d v="2023-08-08T18:39:24"/>
    <s v="Debit"/>
    <x v="42"/>
    <s v="D000501"/>
    <s v="31.127.129.152"/>
    <s v="M073"/>
    <s v="ATM"/>
    <n v="28"/>
    <s v="Student"/>
    <n v="80"/>
    <n v="1"/>
    <n v="709.42"/>
    <d v="2024-11-04T08:06:32"/>
    <n v="18"/>
    <s v="Tuesday"/>
    <n v="1.0512422375366499"/>
    <b v="0"/>
    <b v="0"/>
    <b v="1"/>
    <n v="0"/>
    <m/>
    <n v="0"/>
    <m/>
  </r>
  <r>
    <s v="TX002067"/>
    <s v="AC00310"/>
    <n v="258.7"/>
    <d v="2023-02-22T17:12:15"/>
    <s v="Debit"/>
    <x v="27"/>
    <s v="D000285"/>
    <s v="161.71.2.223"/>
    <s v="M035"/>
    <s v="ATM"/>
    <n v="27"/>
    <s v="Student"/>
    <n v="123"/>
    <n v="1"/>
    <n v="1358.37"/>
    <d v="2024-11-04T08:06:36"/>
    <n v="17"/>
    <s v="Wednesday"/>
    <n v="-0.13322239538220301"/>
    <b v="0"/>
    <b v="0"/>
    <b v="1"/>
    <n v="0"/>
    <m/>
    <n v="0"/>
    <m/>
  </r>
  <r>
    <s v="TX002068"/>
    <s v="AC00179"/>
    <n v="994.63"/>
    <d v="2023-06-21T16:00:07"/>
    <s v="Debit"/>
    <x v="14"/>
    <s v="D000345"/>
    <s v="147.119.62.178"/>
    <s v="M030"/>
    <s v="Online"/>
    <n v="61"/>
    <s v="Doctor"/>
    <n v="158"/>
    <n v="1"/>
    <n v="13538.14"/>
    <d v="2024-11-04T08:09:25"/>
    <n v="16"/>
    <s v="Wednesday"/>
    <n v="2.3875498929462302"/>
    <b v="1"/>
    <b v="0"/>
    <b v="1"/>
    <n v="1"/>
    <m/>
    <n v="1"/>
    <m/>
  </r>
  <r>
    <s v="TX002069"/>
    <s v="AC00363"/>
    <n v="11.46"/>
    <d v="2023-01-31T17:14:32"/>
    <s v="Credit"/>
    <x v="14"/>
    <s v="D000232"/>
    <s v="179.43.245.131"/>
    <s v="M027"/>
    <s v="Branch"/>
    <n v="75"/>
    <s v="Retired"/>
    <n v="64"/>
    <n v="1"/>
    <n v="7258.33"/>
    <d v="2024-11-04T08:08:10"/>
    <n v="17"/>
    <s v="Tuesday"/>
    <n v="-0.98009063090232396"/>
    <b v="0"/>
    <b v="0"/>
    <b v="1"/>
    <n v="0"/>
    <m/>
    <n v="0"/>
    <m/>
  </r>
  <r>
    <s v="TX002070"/>
    <s v="AC00080"/>
    <n v="63.76"/>
    <d v="2023-06-27T17:44:24"/>
    <s v="Debit"/>
    <x v="25"/>
    <s v="D000211"/>
    <s v="134.222.122.238"/>
    <s v="M002"/>
    <s v="ATM"/>
    <n v="69"/>
    <s v="Retired"/>
    <n v="100"/>
    <n v="1"/>
    <n v="4980.26"/>
    <d v="2024-11-04T08:10:22"/>
    <n v="17"/>
    <s v="Tuesday"/>
    <n v="-0.80094806207162395"/>
    <b v="0"/>
    <b v="0"/>
    <b v="1"/>
    <n v="0"/>
    <m/>
    <n v="0"/>
    <m/>
  </r>
  <r>
    <s v="TX002071"/>
    <s v="AC00158"/>
    <n v="446.83"/>
    <d v="2023-06-26T18:51:31"/>
    <s v="Credit"/>
    <x v="19"/>
    <s v="D000378"/>
    <s v="77.92.193.22"/>
    <s v="M051"/>
    <s v="Branch"/>
    <n v="55"/>
    <s v="Retired"/>
    <n v="143"/>
    <n v="1"/>
    <n v="1623.5"/>
    <d v="2024-11-04T08:09:33"/>
    <n v="18"/>
    <s v="Monday"/>
    <n v="0.511177059189873"/>
    <b v="0"/>
    <b v="0"/>
    <b v="1"/>
    <n v="0"/>
    <m/>
    <n v="0"/>
    <m/>
  </r>
  <r>
    <s v="TX002072"/>
    <s v="AC00033"/>
    <n v="63.54"/>
    <d v="2023-05-22T18:23:18"/>
    <s v="Debit"/>
    <x v="34"/>
    <s v="D000195"/>
    <s v="51.250.122.123"/>
    <s v="M045"/>
    <s v="ATM"/>
    <n v="26"/>
    <s v="Engineer"/>
    <n v="136"/>
    <n v="1"/>
    <n v="4401.78"/>
    <d v="2024-11-04T08:07:31"/>
    <n v="18"/>
    <s v="Monday"/>
    <n v="-0.80170162545867396"/>
    <b v="0"/>
    <b v="0"/>
    <b v="1"/>
    <n v="0"/>
    <m/>
    <n v="0"/>
    <m/>
  </r>
  <r>
    <s v="TX002073"/>
    <s v="AC00492"/>
    <n v="81.11"/>
    <d v="2023-10-16T18:07:26"/>
    <s v="Debit"/>
    <x v="27"/>
    <s v="D000402"/>
    <s v="51.250.46.149"/>
    <s v="M044"/>
    <s v="Online"/>
    <n v="48"/>
    <s v="Engineer"/>
    <n v="110"/>
    <n v="1"/>
    <n v="2051.37"/>
    <d v="2024-11-04T08:07:46"/>
    <n v="18"/>
    <s v="Monday"/>
    <n v="-0.74151931313830299"/>
    <b v="0"/>
    <b v="0"/>
    <b v="1"/>
    <n v="0"/>
    <m/>
    <n v="0"/>
    <m/>
  </r>
  <r>
    <s v="TX002074"/>
    <s v="AC00228"/>
    <n v="441.26"/>
    <d v="2023-02-27T16:07:46"/>
    <s v="Credit"/>
    <x v="28"/>
    <s v="D000490"/>
    <s v="92.180.81.50"/>
    <s v="M074"/>
    <s v="Branch"/>
    <n v="58"/>
    <s v="Doctor"/>
    <n v="87"/>
    <n v="5"/>
    <n v="13704.92"/>
    <d v="2024-11-04T08:11:41"/>
    <n v="16"/>
    <s v="Monday"/>
    <n v="0.49209820434499701"/>
    <b v="0"/>
    <b v="1"/>
    <b v="1"/>
    <n v="1"/>
    <m/>
    <n v="0"/>
    <m/>
  </r>
  <r>
    <s v="TX002075"/>
    <s v="AC00058"/>
    <n v="170.96"/>
    <d v="2023-12-28T16:46:46"/>
    <s v="Debit"/>
    <x v="38"/>
    <s v="D000644"/>
    <s v="96.24.89.146"/>
    <s v="M083"/>
    <s v="Branch"/>
    <n v="64"/>
    <s v="Doctor"/>
    <n v="69"/>
    <n v="1"/>
    <n v="13374.89"/>
    <d v="2024-11-04T08:06:53"/>
    <n v="16"/>
    <s v="Thursday"/>
    <n v="-0.43375717529053198"/>
    <b v="0"/>
    <b v="0"/>
    <b v="1"/>
    <n v="0"/>
    <m/>
    <n v="0"/>
    <m/>
  </r>
  <r>
    <s v="TX002076"/>
    <s v="AC00427"/>
    <n v="48.51"/>
    <d v="2023-01-09T17:22:18"/>
    <s v="Debit"/>
    <x v="14"/>
    <s v="D000443"/>
    <s v="81.67.222.238"/>
    <s v="M009"/>
    <s v="Branch"/>
    <n v="22"/>
    <s v="Student"/>
    <n v="69"/>
    <n v="1"/>
    <n v="3363.23"/>
    <d v="2024-11-04T08:10:53"/>
    <n v="17"/>
    <s v="Monday"/>
    <n v="-0.85318370594673199"/>
    <b v="0"/>
    <b v="0"/>
    <b v="1"/>
    <n v="0"/>
    <m/>
    <n v="0"/>
    <m/>
  </r>
  <r>
    <s v="TX002077"/>
    <s v="AC00236"/>
    <n v="325.02999999999997"/>
    <d v="2023-01-11T17:04:19"/>
    <s v="Debit"/>
    <x v="36"/>
    <s v="D000289"/>
    <s v="111.226.226.202"/>
    <s v="M098"/>
    <s v="Branch"/>
    <n v="60"/>
    <s v="Doctor"/>
    <n v="106"/>
    <n v="1"/>
    <n v="13521.76"/>
    <d v="2024-11-04T08:10:08"/>
    <n v="17"/>
    <s v="Wednesday"/>
    <n v="9.3976965813596602E-2"/>
    <b v="0"/>
    <b v="0"/>
    <b v="1"/>
    <n v="0"/>
    <m/>
    <n v="0"/>
    <m/>
  </r>
  <r>
    <s v="TX002078"/>
    <s v="AC00144"/>
    <n v="125.83"/>
    <d v="2023-05-29T17:14:03"/>
    <s v="Debit"/>
    <x v="16"/>
    <s v="D000608"/>
    <s v="113.137.153.101"/>
    <s v="M001"/>
    <s v="ATM"/>
    <n v="57"/>
    <s v="Retired"/>
    <n v="138"/>
    <n v="1"/>
    <n v="6109.86"/>
    <d v="2024-11-04T08:11:30"/>
    <n v="17"/>
    <s v="Monday"/>
    <n v="-0.58834042827962396"/>
    <b v="0"/>
    <b v="0"/>
    <b v="1"/>
    <n v="0"/>
    <m/>
    <n v="0"/>
    <m/>
  </r>
  <r>
    <s v="TX002079"/>
    <s v="AC00256"/>
    <n v="506.83"/>
    <d v="2023-04-24T17:27:12"/>
    <s v="Debit"/>
    <x v="7"/>
    <s v="D000410"/>
    <s v="116.43.88.219"/>
    <s v="M064"/>
    <s v="Branch"/>
    <n v="37"/>
    <s v="Engineer"/>
    <n v="45"/>
    <n v="1"/>
    <n v="9975.7900000000009"/>
    <d v="2024-11-04T08:07:31"/>
    <n v="17"/>
    <s v="Monday"/>
    <n v="0.71669434656734998"/>
    <b v="0"/>
    <b v="0"/>
    <b v="1"/>
    <n v="0"/>
    <m/>
    <n v="0"/>
    <m/>
  </r>
  <r>
    <s v="TX002080"/>
    <s v="AC00054"/>
    <n v="738.94"/>
    <d v="2023-10-09T18:54:21"/>
    <s v="Debit"/>
    <x v="26"/>
    <s v="D000165"/>
    <s v="44.67.137.125"/>
    <s v="M085"/>
    <s v="Branch"/>
    <n v="41"/>
    <s v="Doctor"/>
    <n v="173"/>
    <n v="1"/>
    <n v="13856.18"/>
    <d v="2024-11-04T08:08:51"/>
    <n v="18"/>
    <s v="Monday"/>
    <n v="1.5117379727871101"/>
    <b v="0"/>
    <b v="0"/>
    <b v="1"/>
    <n v="0"/>
    <m/>
    <n v="0"/>
    <m/>
  </r>
  <r>
    <s v="TX002081"/>
    <s v="AC00492"/>
    <n v="180.36"/>
    <d v="2023-05-30T16:12:10"/>
    <s v="Credit"/>
    <x v="5"/>
    <s v="D000451"/>
    <s v="184.185.209.72"/>
    <s v="M021"/>
    <s v="Online"/>
    <n v="33"/>
    <s v="Engineer"/>
    <n v="55"/>
    <n v="1"/>
    <n v="9905.23"/>
    <d v="2024-11-04T08:06:40"/>
    <n v="16"/>
    <s v="Tuesday"/>
    <n v="-0.40155946693472799"/>
    <b v="0"/>
    <b v="0"/>
    <b v="1"/>
    <n v="0"/>
    <m/>
    <n v="0"/>
    <m/>
  </r>
  <r>
    <s v="TX002082"/>
    <s v="AC00498"/>
    <n v="225.1"/>
    <d v="2023-12-11T17:28:44"/>
    <s v="Debit"/>
    <x v="35"/>
    <s v="D000047"/>
    <s v="217.82.46.37"/>
    <s v="M082"/>
    <s v="ATM"/>
    <n v="28"/>
    <s v="Student"/>
    <n v="35"/>
    <n v="1"/>
    <n v="1547.71"/>
    <d v="2024-11-04T08:07:08"/>
    <n v="17"/>
    <s v="Monday"/>
    <n v="-0.24831207631359001"/>
    <b v="0"/>
    <b v="0"/>
    <b v="1"/>
    <n v="0"/>
    <m/>
    <n v="0"/>
    <m/>
  </r>
  <r>
    <s v="TX002083"/>
    <s v="AC00005"/>
    <n v="359.51"/>
    <d v="2023-11-30T18:08:39"/>
    <s v="Debit"/>
    <x v="27"/>
    <s v="D000144"/>
    <s v="32.169.88.41"/>
    <s v="M010"/>
    <s v="Online"/>
    <n v="79"/>
    <s v="Retired"/>
    <n v="157"/>
    <n v="1"/>
    <n v="7153.72"/>
    <d v="2024-11-04T08:12:11"/>
    <n v="18"/>
    <s v="Thursday"/>
    <n v="0.21208090029318599"/>
    <b v="0"/>
    <b v="0"/>
    <b v="1"/>
    <n v="0"/>
    <m/>
    <n v="0"/>
    <m/>
  </r>
  <r>
    <s v="TX002084"/>
    <s v="AC00204"/>
    <n v="720.46"/>
    <d v="2023-12-07T16:10:40"/>
    <s v="Debit"/>
    <x v="28"/>
    <s v="D000280"/>
    <s v="19.20.13.234"/>
    <s v="M068"/>
    <s v="Branch"/>
    <n v="54"/>
    <s v="Retired"/>
    <n v="44"/>
    <n v="1"/>
    <n v="3101.54"/>
    <d v="2024-11-04T08:08:35"/>
    <n v="16"/>
    <s v="Thursday"/>
    <n v="1.4484386482748499"/>
    <b v="0"/>
    <b v="0"/>
    <b v="1"/>
    <n v="0"/>
    <m/>
    <n v="0"/>
    <m/>
  </r>
  <r>
    <s v="TX002085"/>
    <s v="AC00428"/>
    <n v="1116.57"/>
    <d v="2023-02-23T16:54:09"/>
    <s v="Debit"/>
    <x v="28"/>
    <s v="D000204"/>
    <s v="135.73.131.111"/>
    <s v="M005"/>
    <s v="ATM"/>
    <n v="56"/>
    <s v="Retired"/>
    <n v="104"/>
    <n v="1"/>
    <n v="1393.14"/>
    <d v="2024-11-04T08:07:14"/>
    <n v="16"/>
    <s v="Thursday"/>
    <n v="2.80522952665972"/>
    <b v="1"/>
    <b v="0"/>
    <b v="1"/>
    <n v="1"/>
    <m/>
    <n v="1"/>
    <m/>
  </r>
  <r>
    <s v="TX002086"/>
    <s v="AC00019"/>
    <n v="291.45999999999998"/>
    <d v="2023-02-08T16:29:56"/>
    <s v="Debit"/>
    <x v="19"/>
    <s v="D000665"/>
    <s v="149.84.108.18"/>
    <s v="M046"/>
    <s v="ATM"/>
    <n v="57"/>
    <s v="Retired"/>
    <n v="135"/>
    <n v="1"/>
    <n v="7142.53"/>
    <d v="2024-11-04T08:10:03"/>
    <n v="16"/>
    <s v="Wednesday"/>
    <n v="-2.10099564741013E-2"/>
    <b v="0"/>
    <b v="0"/>
    <b v="1"/>
    <n v="0"/>
    <m/>
    <n v="0"/>
    <m/>
  </r>
  <r>
    <s v="TX002087"/>
    <s v="AC00029"/>
    <n v="1192.95"/>
    <d v="2023-12-04T18:30:00"/>
    <s v="Debit"/>
    <x v="17"/>
    <s v="D000227"/>
    <s v="71.93.189.160"/>
    <s v="M068"/>
    <s v="Branch"/>
    <n v="23"/>
    <s v="Student"/>
    <n v="73"/>
    <n v="1"/>
    <n v="325.14999999999998"/>
    <d v="2024-11-04T08:08:01"/>
    <n v="18"/>
    <s v="Monday"/>
    <n v="3.0668530334912498"/>
    <b v="1"/>
    <b v="0"/>
    <b v="1"/>
    <n v="1"/>
    <m/>
    <n v="1"/>
    <m/>
  </r>
  <r>
    <s v="TX002088"/>
    <s v="AC00449"/>
    <n v="98.24"/>
    <d v="2023-04-10T17:58:46"/>
    <s v="Debit"/>
    <x v="2"/>
    <s v="D000005"/>
    <s v="193.190.29.63"/>
    <s v="M031"/>
    <s v="Online"/>
    <n v="28"/>
    <s v="Student"/>
    <n v="148"/>
    <n v="1"/>
    <n v="580.66"/>
    <d v="2024-11-04T08:08:58"/>
    <n v="17"/>
    <s v="Monday"/>
    <n v="-0.68284412759203394"/>
    <b v="0"/>
    <b v="0"/>
    <b v="1"/>
    <n v="0"/>
    <m/>
    <n v="0"/>
    <m/>
  </r>
  <r>
    <s v="TX002089"/>
    <s v="AC00213"/>
    <n v="100.48"/>
    <d v="2023-02-17T16:53:25"/>
    <s v="Credit"/>
    <x v="20"/>
    <s v="D000139"/>
    <s v="136.172.149.77"/>
    <s v="M100"/>
    <s v="Branch"/>
    <n v="18"/>
    <s v="Student"/>
    <n v="104"/>
    <n v="1"/>
    <n v="6149.81"/>
    <d v="2024-11-04T08:12:12"/>
    <n v="16"/>
    <s v="Friday"/>
    <n v="-0.67517148219660805"/>
    <b v="0"/>
    <b v="0"/>
    <b v="1"/>
    <n v="0"/>
    <m/>
    <n v="0"/>
    <m/>
  </r>
  <r>
    <s v="TX002090"/>
    <s v="AC00076"/>
    <n v="45.9"/>
    <d v="2023-07-04T18:55:57"/>
    <s v="Debit"/>
    <x v="15"/>
    <s v="D000565"/>
    <s v="221.169.49.152"/>
    <s v="M002"/>
    <s v="Branch"/>
    <n v="56"/>
    <s v="Engineer"/>
    <n v="264"/>
    <n v="1"/>
    <n v="5698.25"/>
    <d v="2024-11-04T08:07:45"/>
    <n v="18"/>
    <s v="Tuesday"/>
    <n v="-0.86212370794765203"/>
    <b v="0"/>
    <b v="0"/>
    <b v="1"/>
    <n v="0"/>
    <m/>
    <n v="0"/>
    <m/>
  </r>
  <r>
    <s v="TX002091"/>
    <s v="AC00442"/>
    <n v="258.20999999999998"/>
    <d v="2023-11-27T17:19:31"/>
    <s v="Debit"/>
    <x v="25"/>
    <s v="D000530"/>
    <s v="68.254.244.208"/>
    <s v="M014"/>
    <s v="Online"/>
    <n v="39"/>
    <s v="Doctor"/>
    <n v="225"/>
    <n v="1"/>
    <n v="9562.41"/>
    <d v="2024-11-04T08:10:11"/>
    <n v="17"/>
    <s v="Monday"/>
    <n v="-0.134900786562452"/>
    <b v="0"/>
    <b v="0"/>
    <b v="1"/>
    <n v="0"/>
    <m/>
    <n v="0"/>
    <m/>
  </r>
  <r>
    <s v="TX002092"/>
    <s v="AC00228"/>
    <n v="1079.1099999999999"/>
    <d v="2023-05-05T16:42:25"/>
    <s v="Debit"/>
    <x v="17"/>
    <s v="D000203"/>
    <s v="209.214.250.164"/>
    <s v="M042"/>
    <s v="Online"/>
    <n v="53"/>
    <s v="Engineer"/>
    <n v="211"/>
    <n v="1"/>
    <n v="2038.31"/>
    <d v="2024-11-04T08:07:41"/>
    <n v="16"/>
    <s v="Friday"/>
    <n v="2.6769182335737098"/>
    <b v="1"/>
    <b v="0"/>
    <b v="1"/>
    <n v="1"/>
    <m/>
    <n v="1"/>
    <m/>
  </r>
  <r>
    <s v="TX002093"/>
    <s v="AC00081"/>
    <n v="287.51"/>
    <d v="2023-05-22T16:57:31"/>
    <s v="Debit"/>
    <x v="39"/>
    <s v="D000698"/>
    <s v="189.20.224.220"/>
    <s v="M016"/>
    <s v="Online"/>
    <n v="22"/>
    <s v="Student"/>
    <n v="255"/>
    <n v="1"/>
    <n v="187.65"/>
    <d v="2024-11-04T08:08:19"/>
    <n v="16"/>
    <s v="Monday"/>
    <n v="-3.45398445597851E-2"/>
    <b v="0"/>
    <b v="0"/>
    <b v="1"/>
    <n v="0"/>
    <m/>
    <n v="0"/>
    <m/>
  </r>
  <r>
    <s v="TX002094"/>
    <s v="AC00072"/>
    <n v="501.3"/>
    <d v="2023-05-22T18:27:37"/>
    <s v="Credit"/>
    <x v="25"/>
    <s v="D000428"/>
    <s v="197.187.216.106"/>
    <s v="M020"/>
    <s v="Online"/>
    <n v="26"/>
    <s v="Engineer"/>
    <n v="146"/>
    <n v="1"/>
    <n v="8520.08"/>
    <d v="2024-11-04T08:08:07"/>
    <n v="18"/>
    <s v="Monday"/>
    <n v="0.69775250324739202"/>
    <b v="0"/>
    <b v="0"/>
    <b v="1"/>
    <n v="0"/>
    <m/>
    <n v="0"/>
    <m/>
  </r>
  <r>
    <s v="TX002095"/>
    <s v="AC00261"/>
    <n v="26.1"/>
    <d v="2023-02-17T16:21:21"/>
    <s v="Debit"/>
    <x v="2"/>
    <s v="D000353"/>
    <s v="77.92.193.22"/>
    <s v="M001"/>
    <s v="ATM"/>
    <n v="27"/>
    <s v="Student"/>
    <n v="32"/>
    <n v="1"/>
    <n v="1435.72"/>
    <d v="2024-11-04T08:07:09"/>
    <n v="16"/>
    <s v="Friday"/>
    <n v="-0.92994441278221995"/>
    <b v="0"/>
    <b v="0"/>
    <b v="1"/>
    <n v="0"/>
    <m/>
    <n v="0"/>
    <m/>
  </r>
  <r>
    <s v="TX002096"/>
    <s v="AC00082"/>
    <n v="436.77"/>
    <d v="2023-09-28T16:14:49"/>
    <s v="Debit"/>
    <x v="36"/>
    <s v="D000281"/>
    <s v="48.31.196.24"/>
    <s v="M075"/>
    <s v="ATM"/>
    <n v="20"/>
    <s v="Student"/>
    <n v="176"/>
    <n v="1"/>
    <n v="825.69"/>
    <d v="2024-11-04T08:09:11"/>
    <n v="16"/>
    <s v="Thursday"/>
    <n v="0.47671866067291602"/>
    <b v="0"/>
    <b v="0"/>
    <b v="1"/>
    <n v="0"/>
    <m/>
    <n v="0"/>
    <m/>
  </r>
  <r>
    <s v="TX002097"/>
    <s v="AC00334"/>
    <n v="292.38"/>
    <d v="2023-05-15T16:49:14"/>
    <s v="Debit"/>
    <x v="21"/>
    <s v="D000687"/>
    <s v="3.11.254.2"/>
    <s v="M001"/>
    <s v="ATM"/>
    <n v="68"/>
    <s v="Doctor"/>
    <n v="224"/>
    <n v="1"/>
    <n v="5803.89"/>
    <d v="2024-11-04T08:09:42"/>
    <n v="16"/>
    <s v="Monday"/>
    <n v="-1.7858691400979902E-2"/>
    <b v="0"/>
    <b v="0"/>
    <b v="1"/>
    <n v="0"/>
    <m/>
    <n v="0"/>
    <m/>
  </r>
  <r>
    <s v="TX002098"/>
    <s v="AC00251"/>
    <n v="1026.46"/>
    <d v="2023-06-21T16:40:17"/>
    <s v="Debit"/>
    <x v="26"/>
    <s v="D000292"/>
    <s v="131.41.45.13"/>
    <s v="M009"/>
    <s v="Branch"/>
    <n v="53"/>
    <s v="Retired"/>
    <n v="165"/>
    <n v="1"/>
    <n v="3134.47"/>
    <d v="2024-11-04T08:07:24"/>
    <n v="16"/>
    <s v="Wednesday"/>
    <n v="2.49657681389998"/>
    <b v="1"/>
    <b v="0"/>
    <b v="1"/>
    <n v="1"/>
    <m/>
    <n v="1"/>
    <m/>
  </r>
  <r>
    <s v="TX002099"/>
    <s v="AC00481"/>
    <n v="25.29"/>
    <d v="2023-07-27T18:34:19"/>
    <s v="Debit"/>
    <x v="19"/>
    <s v="D000111"/>
    <s v="41.82.55.163"/>
    <s v="M005"/>
    <s v="Online"/>
    <n v="50"/>
    <s v="Engineer"/>
    <n v="125"/>
    <n v="1"/>
    <n v="5374.69"/>
    <d v="2024-11-04T08:06:44"/>
    <n v="18"/>
    <s v="Thursday"/>
    <n v="-0.93271889616181503"/>
    <b v="0"/>
    <b v="0"/>
    <b v="1"/>
    <n v="0"/>
    <m/>
    <n v="0"/>
    <m/>
  </r>
  <r>
    <s v="TX002100"/>
    <s v="AC00239"/>
    <n v="123.35"/>
    <d v="2023-08-11T17:00:56"/>
    <s v="Credit"/>
    <x v="21"/>
    <s v="D000170"/>
    <s v="172.111.76.65"/>
    <s v="M070"/>
    <s v="Online"/>
    <n v="31"/>
    <s v="Doctor"/>
    <n v="10"/>
    <n v="1"/>
    <n v="6852.16"/>
    <d v="2024-11-04T08:09:58"/>
    <n v="17"/>
    <s v="Friday"/>
    <n v="-0.59683514282455996"/>
    <b v="0"/>
    <b v="0"/>
    <b v="1"/>
    <n v="0"/>
    <m/>
    <n v="0"/>
    <m/>
  </r>
  <r>
    <s v="TX002101"/>
    <s v="AC00394"/>
    <n v="139.52000000000001"/>
    <d v="2023-09-22T18:02:42"/>
    <s v="Debit"/>
    <x v="42"/>
    <s v="D000504"/>
    <s v="216.79.134.201"/>
    <s v="M025"/>
    <s v="Branch"/>
    <n v="23"/>
    <s v="Student"/>
    <n v="31"/>
    <n v="1"/>
    <n v="1570.22"/>
    <d v="2024-11-04T08:08:00"/>
    <n v="18"/>
    <s v="Friday"/>
    <n v="-0.54144823387633001"/>
    <b v="0"/>
    <b v="0"/>
    <b v="1"/>
    <n v="0"/>
    <m/>
    <n v="0"/>
    <m/>
  </r>
  <r>
    <s v="TX002102"/>
    <s v="AC00374"/>
    <n v="51.2"/>
    <d v="2023-03-13T18:45:47"/>
    <s v="Debit"/>
    <x v="28"/>
    <s v="D000105"/>
    <s v="21.97.154.92"/>
    <s v="M066"/>
    <s v="Online"/>
    <n v="18"/>
    <s v="Student"/>
    <n v="83"/>
    <n v="1"/>
    <n v="730.6"/>
    <d v="2024-11-04T08:06:44"/>
    <n v="18"/>
    <s v="Monday"/>
    <n v="-0.84396968089597502"/>
    <b v="0"/>
    <b v="0"/>
    <b v="1"/>
    <n v="0"/>
    <m/>
    <n v="0"/>
    <m/>
  </r>
  <r>
    <s v="TX002103"/>
    <s v="AC00054"/>
    <n v="122.85"/>
    <d v="2023-11-29T17:38:53"/>
    <s v="Credit"/>
    <x v="6"/>
    <s v="D000392"/>
    <s v="210.98.198.143"/>
    <s v="M069"/>
    <s v="Online"/>
    <n v="47"/>
    <s v="Doctor"/>
    <n v="127"/>
    <n v="3"/>
    <n v="13185.39"/>
    <d v="2024-11-04T08:07:00"/>
    <n v="17"/>
    <s v="Wednesday"/>
    <n v="-0.59854778688603905"/>
    <b v="0"/>
    <b v="1"/>
    <b v="1"/>
    <n v="1"/>
    <m/>
    <n v="0"/>
    <m/>
  </r>
  <r>
    <s v="TX002104"/>
    <s v="AC00281"/>
    <n v="161.38"/>
    <d v="2023-11-09T16:06:17"/>
    <s v="Credit"/>
    <x v="40"/>
    <s v="D000690"/>
    <s v="71.93.189.160"/>
    <s v="M019"/>
    <s v="Online"/>
    <n v="24"/>
    <s v="Student"/>
    <n v="101"/>
    <n v="1"/>
    <n v="3900.34"/>
    <d v="2024-11-04T08:10:55"/>
    <n v="16"/>
    <s v="Thursday"/>
    <n v="-0.46657143550847002"/>
    <b v="0"/>
    <b v="0"/>
    <b v="1"/>
    <n v="0"/>
    <m/>
    <n v="0"/>
    <m/>
  </r>
  <r>
    <s v="TX002105"/>
    <s v="AC00140"/>
    <n v="2.5099999999999998"/>
    <d v="2023-04-17T16:04:21"/>
    <s v="Debit"/>
    <x v="21"/>
    <s v="D000539"/>
    <s v="46.150.175.171"/>
    <s v="M099"/>
    <s v="Online"/>
    <n v="63"/>
    <s v="Retired"/>
    <n v="32"/>
    <n v="1"/>
    <n v="4891.5600000000004"/>
    <d v="2024-11-04T08:11:22"/>
    <n v="16"/>
    <s v="Monday"/>
    <n v="-1.01074695960279"/>
    <b v="0"/>
    <b v="0"/>
    <b v="1"/>
    <n v="0"/>
    <m/>
    <n v="0"/>
    <m/>
  </r>
  <r>
    <s v="TX002106"/>
    <s v="AC00058"/>
    <n v="22.62"/>
    <d v="2023-05-10T16:35:02"/>
    <s v="Debit"/>
    <x v="33"/>
    <s v="D000032"/>
    <s v="197.187.216.106"/>
    <s v="M075"/>
    <s v="ATM"/>
    <n v="64"/>
    <s v="Doctor"/>
    <n v="102"/>
    <n v="1"/>
    <n v="7682"/>
    <d v="2024-11-04T08:11:17"/>
    <n v="16"/>
    <s v="Wednesday"/>
    <n v="-0.94186441545011301"/>
    <b v="0"/>
    <b v="0"/>
    <b v="1"/>
    <n v="0"/>
    <m/>
    <n v="0"/>
    <m/>
  </r>
  <r>
    <s v="TX002107"/>
    <s v="AC00066"/>
    <n v="126.83"/>
    <d v="2023-02-20T16:40:25"/>
    <s v="Debit"/>
    <x v="14"/>
    <s v="D000593"/>
    <s v="21.122.39.207"/>
    <s v="M007"/>
    <s v="Branch"/>
    <n v="57"/>
    <s v="Retired"/>
    <n v="39"/>
    <n v="1"/>
    <n v="6100.98"/>
    <d v="2024-11-04T08:10:31"/>
    <n v="16"/>
    <s v="Monday"/>
    <n v="-0.58491514015666601"/>
    <b v="0"/>
    <b v="0"/>
    <b v="1"/>
    <n v="0"/>
    <m/>
    <n v="0"/>
    <m/>
  </r>
  <r>
    <s v="TX002108"/>
    <s v="AC00190"/>
    <n v="46.6"/>
    <d v="2023-08-30T17:54:55"/>
    <s v="Debit"/>
    <x v="8"/>
    <s v="D000029"/>
    <s v="147.227.81.224"/>
    <s v="M060"/>
    <s v="Online"/>
    <n v="55"/>
    <s v="Doctor"/>
    <n v="68"/>
    <n v="1"/>
    <n v="1562.9"/>
    <d v="2024-11-04T08:06:23"/>
    <n v="17"/>
    <s v="Wednesday"/>
    <n v="-0.85972600626158202"/>
    <b v="0"/>
    <b v="0"/>
    <b v="1"/>
    <n v="0"/>
    <m/>
    <n v="0"/>
    <m/>
  </r>
  <r>
    <s v="TX002109"/>
    <s v="AC00452"/>
    <n v="243.8"/>
    <d v="2023-01-03T16:42:41"/>
    <s v="Debit"/>
    <x v="23"/>
    <s v="D000550"/>
    <s v="64.15.0.66"/>
    <s v="M016"/>
    <s v="Branch"/>
    <n v="57"/>
    <s v="Doctor"/>
    <n v="48"/>
    <n v="1"/>
    <n v="13732.81"/>
    <d v="2024-11-04T08:10:09"/>
    <n v="16"/>
    <s v="Tuesday"/>
    <n v="-0.18425918841427599"/>
    <b v="0"/>
    <b v="0"/>
    <b v="1"/>
    <n v="0"/>
    <m/>
    <n v="0"/>
    <m/>
  </r>
  <r>
    <s v="TX002110"/>
    <s v="AC00099"/>
    <n v="231.51"/>
    <d v="2023-08-28T17:22:16"/>
    <s v="Credit"/>
    <x v="5"/>
    <s v="D000380"/>
    <s v="205.69.66.135"/>
    <s v="M008"/>
    <s v="Branch"/>
    <n v="60"/>
    <s v="Retired"/>
    <n v="96"/>
    <n v="1"/>
    <n v="5790.7"/>
    <d v="2024-11-04T08:12:09"/>
    <n v="17"/>
    <s v="Monday"/>
    <n v="-0.22635597944542901"/>
    <b v="0"/>
    <b v="0"/>
    <b v="1"/>
    <n v="0"/>
    <m/>
    <n v="0"/>
    <m/>
  </r>
  <r>
    <s v="TX002111"/>
    <s v="AC00126"/>
    <n v="175.05"/>
    <d v="2023-01-02T17:05:16"/>
    <s v="Debit"/>
    <x v="23"/>
    <s v="D000299"/>
    <s v="24.129.74.189"/>
    <s v="M068"/>
    <s v="Online"/>
    <n v="39"/>
    <s v="Engineer"/>
    <n v="34"/>
    <n v="1"/>
    <n v="1447.35"/>
    <d v="2024-11-04T08:08:09"/>
    <n v="17"/>
    <s v="Monday"/>
    <n v="-0.419747746867634"/>
    <b v="0"/>
    <b v="0"/>
    <b v="1"/>
    <n v="0"/>
    <m/>
    <n v="0"/>
    <m/>
  </r>
  <r>
    <s v="TX002112"/>
    <s v="AC00021"/>
    <n v="762.74"/>
    <d v="2023-05-02T17:24:54"/>
    <s v="Debit"/>
    <x v="16"/>
    <s v="D000196"/>
    <s v="8.136.178.116"/>
    <s v="M053"/>
    <s v="ATM"/>
    <n v="64"/>
    <s v="Doctor"/>
    <n v="244"/>
    <n v="1"/>
    <n v="207.1"/>
    <d v="2024-11-04T08:06:39"/>
    <n v="17"/>
    <s v="Tuesday"/>
    <n v="1.5932598301135099"/>
    <b v="0"/>
    <b v="0"/>
    <b v="1"/>
    <n v="0"/>
    <m/>
    <n v="0"/>
    <m/>
  </r>
  <r>
    <s v="TX002113"/>
    <s v="AC00353"/>
    <n v="34.03"/>
    <d v="2023-05-22T17:09:30"/>
    <s v="Debit"/>
    <x v="16"/>
    <s v="D000133"/>
    <s v="141.241.241.128"/>
    <s v="M016"/>
    <s v="Branch"/>
    <n v="57"/>
    <s v="Engineer"/>
    <n v="38"/>
    <n v="1"/>
    <n v="3077.2"/>
    <d v="2024-11-04T08:09:59"/>
    <n v="17"/>
    <s v="Monday"/>
    <n v="-0.90278187796716303"/>
    <b v="0"/>
    <b v="0"/>
    <b v="1"/>
    <n v="0"/>
    <m/>
    <n v="0"/>
    <m/>
  </r>
  <r>
    <s v="TX002114"/>
    <s v="AC00482"/>
    <n v="15.95"/>
    <d v="2023-03-14T17:10:00"/>
    <s v="Debit"/>
    <x v="3"/>
    <s v="D000669"/>
    <s v="190.92.63.219"/>
    <s v="M048"/>
    <s v="Branch"/>
    <n v="25"/>
    <s v="Student"/>
    <n v="52"/>
    <n v="1"/>
    <n v="1983"/>
    <d v="2024-11-04T08:11:39"/>
    <n v="17"/>
    <s v="Tuesday"/>
    <n v="-0.96471108723024301"/>
    <b v="0"/>
    <b v="0"/>
    <b v="1"/>
    <n v="0"/>
    <m/>
    <n v="0"/>
    <m/>
  </r>
  <r>
    <s v="TX002115"/>
    <s v="AC00427"/>
    <n v="926.53"/>
    <d v="2023-11-24T17:24:24"/>
    <s v="Debit"/>
    <x v="20"/>
    <s v="D000294"/>
    <s v="147.125.143.41"/>
    <s v="M064"/>
    <s v="ATM"/>
    <n v="57"/>
    <s v="Engineer"/>
    <n v="107"/>
    <n v="1"/>
    <n v="3120.1"/>
    <d v="2024-11-04T08:06:24"/>
    <n v="17"/>
    <s v="Friday"/>
    <n v="2.1542877717727902"/>
    <b v="1"/>
    <b v="0"/>
    <b v="1"/>
    <n v="1"/>
    <m/>
    <n v="1"/>
    <m/>
  </r>
  <r>
    <s v="TX002116"/>
    <s v="AC00430"/>
    <n v="101.51"/>
    <d v="2023-03-23T16:17:51"/>
    <s v="Credit"/>
    <x v="28"/>
    <s v="D000055"/>
    <s v="28.149.72.129"/>
    <s v="M042"/>
    <s v="Online"/>
    <n v="46"/>
    <s v="Engineer"/>
    <n v="199"/>
    <n v="1"/>
    <n v="3052.47"/>
    <d v="2024-11-04T08:11:54"/>
    <n v="16"/>
    <s v="Thursday"/>
    <n v="-0.67164343542996097"/>
    <b v="0"/>
    <b v="0"/>
    <b v="1"/>
    <n v="0"/>
    <m/>
    <n v="0"/>
    <m/>
  </r>
  <r>
    <s v="TX002117"/>
    <s v="AC00043"/>
    <n v="309.42"/>
    <d v="2023-10-18T16:51:31"/>
    <s v="Debit"/>
    <x v="41"/>
    <s v="D000395"/>
    <s v="214.32.109.197"/>
    <s v="M089"/>
    <s v="Branch"/>
    <n v="27"/>
    <s v="Engineer"/>
    <n v="42"/>
    <n v="1"/>
    <n v="8564.4599999999991"/>
    <d v="2024-11-04T08:10:21"/>
    <n v="16"/>
    <s v="Wednesday"/>
    <n v="4.0508218214223297E-2"/>
    <b v="0"/>
    <b v="0"/>
    <b v="1"/>
    <n v="0"/>
    <m/>
    <n v="0"/>
    <m/>
  </r>
  <r>
    <s v="TX002118"/>
    <s v="AC00186"/>
    <n v="257.60000000000002"/>
    <d v="2023-12-18T16:30:46"/>
    <s v="Credit"/>
    <x v="18"/>
    <s v="D000576"/>
    <s v="40.244.94.218"/>
    <s v="M004"/>
    <s v="Online"/>
    <n v="59"/>
    <s v="Retired"/>
    <n v="293"/>
    <n v="1"/>
    <n v="7950.74"/>
    <d v="2024-11-04T08:09:57"/>
    <n v="16"/>
    <s v="Monday"/>
    <n v="-0.13699021231745701"/>
    <b v="0"/>
    <b v="0"/>
    <b v="1"/>
    <n v="0"/>
    <m/>
    <n v="0"/>
    <m/>
  </r>
  <r>
    <s v="TX002119"/>
    <s v="AC00248"/>
    <n v="746.78"/>
    <d v="2023-11-27T16:29:16"/>
    <s v="Credit"/>
    <x v="2"/>
    <s v="D000243"/>
    <s v="112.66.191.48"/>
    <s v="M001"/>
    <s v="Branch"/>
    <n v="21"/>
    <s v="Student"/>
    <n v="64"/>
    <n v="1"/>
    <n v="1699.81"/>
    <d v="2024-11-04T08:07:44"/>
    <n v="16"/>
    <s v="Monday"/>
    <n v="1.5385922316711"/>
    <b v="0"/>
    <b v="0"/>
    <b v="1"/>
    <n v="0"/>
    <m/>
    <n v="0"/>
    <m/>
  </r>
  <r>
    <s v="TX002120"/>
    <s v="AC00069"/>
    <n v="82.01"/>
    <d v="2023-12-25T17:27:57"/>
    <s v="Credit"/>
    <x v="30"/>
    <s v="D000447"/>
    <s v="210.98.198.143"/>
    <s v="M097"/>
    <s v="Branch"/>
    <n v="23"/>
    <s v="Student"/>
    <n v="156"/>
    <n v="1"/>
    <n v="287.45999999999998"/>
    <d v="2024-11-04T08:07:14"/>
    <n v="17"/>
    <s v="Monday"/>
    <n v="-0.73843655382764095"/>
    <b v="0"/>
    <b v="0"/>
    <b v="1"/>
    <n v="0"/>
    <m/>
    <n v="0"/>
    <m/>
  </r>
  <r>
    <s v="TX002121"/>
    <s v="AC00002"/>
    <n v="476.99"/>
    <d v="2023-01-10T16:00:32"/>
    <s v="Debit"/>
    <x v="0"/>
    <s v="D000594"/>
    <s v="113.137.153.101"/>
    <s v="M022"/>
    <s v="Online"/>
    <n v="23"/>
    <s v="Student"/>
    <n v="187"/>
    <n v="1"/>
    <n v="1154.48"/>
    <d v="2024-11-04T08:10:10"/>
    <n v="16"/>
    <s v="Tuesday"/>
    <n v="0.61448374897828495"/>
    <b v="0"/>
    <b v="0"/>
    <b v="1"/>
    <n v="0"/>
    <m/>
    <n v="0"/>
    <m/>
  </r>
  <r>
    <s v="TX002122"/>
    <s v="AC00090"/>
    <n v="320.11"/>
    <d v="2023-08-31T16:26:37"/>
    <s v="Debit"/>
    <x v="39"/>
    <s v="D000614"/>
    <s v="85.240.254.83"/>
    <s v="M025"/>
    <s v="Branch"/>
    <n v="23"/>
    <s v="Student"/>
    <n v="130"/>
    <n v="1"/>
    <n v="4076.48"/>
    <d v="2024-11-04T08:07:38"/>
    <n v="16"/>
    <s v="Thursday"/>
    <n v="7.7124548248643704E-2"/>
    <b v="0"/>
    <b v="0"/>
    <b v="1"/>
    <n v="0"/>
    <m/>
    <n v="0"/>
    <m/>
  </r>
  <r>
    <s v="TX002123"/>
    <s v="AC00210"/>
    <n v="333.39"/>
    <d v="2023-09-11T16:36:59"/>
    <s v="Debit"/>
    <x v="26"/>
    <s v="D000244"/>
    <s v="10.144.131.89"/>
    <s v="M015"/>
    <s v="ATM"/>
    <n v="68"/>
    <s v="Doctor"/>
    <n v="35"/>
    <n v="1"/>
    <n v="10628.59"/>
    <d v="2024-11-04T08:08:37"/>
    <n v="16"/>
    <s v="Monday"/>
    <n v="0.122612374521525"/>
    <b v="0"/>
    <b v="0"/>
    <b v="1"/>
    <n v="0"/>
    <m/>
    <n v="0"/>
    <m/>
  </r>
  <r>
    <s v="TX002124"/>
    <s v="AC00014"/>
    <n v="10.3"/>
    <d v="2023-12-07T16:59:06"/>
    <s v="Debit"/>
    <x v="41"/>
    <s v="D000494"/>
    <s v="150.231.20.169"/>
    <s v="M022"/>
    <s v="ATM"/>
    <n v="47"/>
    <s v="Engineer"/>
    <n v="197"/>
    <n v="1"/>
    <n v="7801.32"/>
    <d v="2024-11-04T08:10:12"/>
    <n v="16"/>
    <s v="Thursday"/>
    <n v="-0.98406396512495498"/>
    <b v="0"/>
    <b v="0"/>
    <b v="1"/>
    <n v="0"/>
    <m/>
    <n v="0"/>
    <m/>
  </r>
  <r>
    <s v="TX002125"/>
    <s v="AC00039"/>
    <n v="737.46"/>
    <d v="2023-01-03T16:28:03"/>
    <s v="Credit"/>
    <x v="10"/>
    <s v="D000443"/>
    <s v="202.194.199.70"/>
    <s v="M037"/>
    <s v="Branch"/>
    <n v="53"/>
    <s v="Doctor"/>
    <n v="75"/>
    <n v="4"/>
    <n v="634.16"/>
    <d v="2024-11-04T08:07:37"/>
    <n v="16"/>
    <s v="Tuesday"/>
    <n v="1.5066685463651299"/>
    <b v="0"/>
    <b v="1"/>
    <b v="1"/>
    <n v="1"/>
    <m/>
    <n v="0"/>
    <m/>
  </r>
  <r>
    <s v="TX002126"/>
    <s v="AC00021"/>
    <n v="416.55"/>
    <d v="2023-05-05T17:31:53"/>
    <s v="Debit"/>
    <x v="5"/>
    <s v="D000430"/>
    <s v="188.205.152.176"/>
    <s v="M038"/>
    <s v="Online"/>
    <n v="33"/>
    <s v="Engineer"/>
    <n v="73"/>
    <n v="1"/>
    <n v="922.96"/>
    <d v="2024-11-04T08:07:20"/>
    <n v="17"/>
    <s v="Friday"/>
    <n v="0.40745933482670699"/>
    <b v="0"/>
    <b v="0"/>
    <b v="1"/>
    <n v="0"/>
    <m/>
    <n v="0"/>
    <m/>
  </r>
  <r>
    <s v="TX002127"/>
    <s v="AC00242"/>
    <n v="84.91"/>
    <d v="2023-10-16T18:38:15"/>
    <s v="Debit"/>
    <x v="3"/>
    <s v="D000667"/>
    <s v="141.201.46.191"/>
    <s v="M034"/>
    <s v="Online"/>
    <n v="18"/>
    <s v="Student"/>
    <n v="68"/>
    <n v="1"/>
    <n v="1671.86"/>
    <d v="2024-11-04T08:06:59"/>
    <n v="18"/>
    <s v="Monday"/>
    <n v="-0.72850321827106301"/>
    <b v="0"/>
    <b v="0"/>
    <b v="1"/>
    <n v="0"/>
    <m/>
    <n v="0"/>
    <m/>
  </r>
  <r>
    <s v="TX002128"/>
    <s v="AC00413"/>
    <n v="98.95"/>
    <d v="2023-12-29T17:37:37"/>
    <s v="Debit"/>
    <x v="2"/>
    <s v="D000432"/>
    <s v="112.196.12.19"/>
    <s v="M084"/>
    <s v="Branch"/>
    <n v="75"/>
    <s v="Retired"/>
    <n v="73"/>
    <n v="1"/>
    <n v="5670.82"/>
    <d v="2024-11-04T08:07:52"/>
    <n v="17"/>
    <s v="Friday"/>
    <n v="-0.680412173024734"/>
    <b v="0"/>
    <b v="0"/>
    <b v="1"/>
    <n v="0"/>
    <m/>
    <n v="0"/>
    <m/>
  </r>
  <r>
    <s v="TX002129"/>
    <s v="AC00082"/>
    <n v="18.14"/>
    <d v="2023-02-17T18:46:59"/>
    <s v="Credit"/>
    <x v="20"/>
    <s v="D000579"/>
    <s v="99.205.173.118"/>
    <s v="M097"/>
    <s v="ATM"/>
    <n v="58"/>
    <s v="Retired"/>
    <n v="48"/>
    <n v="1"/>
    <n v="6020.85"/>
    <d v="2024-11-04T08:11:08"/>
    <n v="18"/>
    <s v="Friday"/>
    <n v="-0.95720970624096502"/>
    <b v="0"/>
    <b v="0"/>
    <b v="1"/>
    <n v="0"/>
    <m/>
    <n v="0"/>
    <m/>
  </r>
  <r>
    <s v="TX002130"/>
    <s v="AC00304"/>
    <n v="1154.79"/>
    <d v="2023-08-02T17:52:47"/>
    <s v="Debit"/>
    <x v="15"/>
    <s v="D000585"/>
    <s v="97.4.209.133"/>
    <s v="M006"/>
    <s v="ATM"/>
    <n v="51"/>
    <s v="Doctor"/>
    <n v="108"/>
    <n v="1"/>
    <n v="6180.3"/>
    <d v="2024-11-04T08:11:47"/>
    <n v="17"/>
    <s v="Wednesday"/>
    <n v="2.9361440387191702"/>
    <b v="1"/>
    <b v="0"/>
    <b v="1"/>
    <n v="1"/>
    <m/>
    <n v="1"/>
    <m/>
  </r>
  <r>
    <s v="TX002131"/>
    <s v="AC00098"/>
    <n v="215.13"/>
    <d v="2023-01-05T16:02:42"/>
    <s v="Debit"/>
    <x v="27"/>
    <s v="D000606"/>
    <s v="161.168.126.136"/>
    <s v="M016"/>
    <s v="Online"/>
    <n v="46"/>
    <s v="Engineer"/>
    <n v="114"/>
    <n v="1"/>
    <n v="3956.69"/>
    <d v="2024-11-04T08:08:16"/>
    <n v="16"/>
    <s v="Thursday"/>
    <n v="-0.28246219889947999"/>
    <b v="0"/>
    <b v="0"/>
    <b v="1"/>
    <n v="0"/>
    <m/>
    <n v="0"/>
    <m/>
  </r>
  <r>
    <s v="TX002132"/>
    <s v="AC00372"/>
    <n v="218.57"/>
    <d v="2023-10-16T16:30:38"/>
    <s v="Credit"/>
    <x v="11"/>
    <s v="D000095"/>
    <s v="110.64.1.201"/>
    <s v="M004"/>
    <s v="Branch"/>
    <n v="62"/>
    <s v="Doctor"/>
    <n v="102"/>
    <n v="1"/>
    <n v="13869.86"/>
    <d v="2024-11-04T08:08:19"/>
    <n v="16"/>
    <s v="Monday"/>
    <n v="-0.270679207756505"/>
    <b v="0"/>
    <b v="0"/>
    <b v="1"/>
    <n v="0"/>
    <m/>
    <n v="0"/>
    <m/>
  </r>
  <r>
    <s v="TX002133"/>
    <s v="AC00274"/>
    <n v="341.88"/>
    <d v="2023-06-14T16:34:43"/>
    <s v="Debit"/>
    <x v="14"/>
    <s v="D000321"/>
    <s v="3.11.254.2"/>
    <s v="M053"/>
    <s v="ATM"/>
    <n v="43"/>
    <s v="Engineer"/>
    <n v="89"/>
    <n v="1"/>
    <n v="4159.5200000000004"/>
    <d v="2024-11-04T08:11:00"/>
    <n v="16"/>
    <s v="Wednesday"/>
    <n v="0.151693070685438"/>
    <b v="0"/>
    <b v="0"/>
    <b v="1"/>
    <n v="0"/>
    <m/>
    <n v="0"/>
    <m/>
  </r>
  <r>
    <s v="TX002134"/>
    <s v="AC00080"/>
    <n v="691.92"/>
    <d v="2023-07-10T16:37:18"/>
    <s v="Debit"/>
    <x v="35"/>
    <s v="D000187"/>
    <s v="163.58.140.206"/>
    <s v="M010"/>
    <s v="Online"/>
    <n v="19"/>
    <s v="Student"/>
    <n v="61"/>
    <n v="1"/>
    <n v="1084.6500000000001"/>
    <d v="2024-11-04T08:12:13"/>
    <n v="16"/>
    <s v="Monday"/>
    <n v="1.35068092524563"/>
    <b v="0"/>
    <b v="0"/>
    <b v="1"/>
    <n v="0"/>
    <m/>
    <n v="0"/>
    <m/>
  </r>
  <r>
    <s v="TX002135"/>
    <s v="AC00064"/>
    <n v="50.43"/>
    <d v="2023-07-10T16:06:28"/>
    <s v="Debit"/>
    <x v="24"/>
    <s v="D000043"/>
    <s v="161.195.172.148"/>
    <s v="M057"/>
    <s v="Branch"/>
    <n v="32"/>
    <s v="Doctor"/>
    <n v="51"/>
    <n v="1"/>
    <n v="9794.26"/>
    <d v="2024-11-04T08:09:10"/>
    <n v="16"/>
    <s v="Monday"/>
    <n v="-0.84660715275065301"/>
    <b v="0"/>
    <b v="0"/>
    <b v="1"/>
    <n v="0"/>
    <m/>
    <n v="0"/>
    <m/>
  </r>
  <r>
    <s v="TX002136"/>
    <s v="AC00241"/>
    <n v="440.43"/>
    <d v="2023-09-21T17:41:34"/>
    <s v="Debit"/>
    <x v="40"/>
    <s v="D000614"/>
    <s v="111.226.226.202"/>
    <s v="M015"/>
    <s v="Branch"/>
    <n v="78"/>
    <s v="Retired"/>
    <n v="23"/>
    <n v="1"/>
    <n v="5123.24"/>
    <d v="2024-11-04T08:07:52"/>
    <n v="17"/>
    <s v="Thursday"/>
    <n v="0.48925521520294202"/>
    <b v="0"/>
    <b v="0"/>
    <b v="1"/>
    <n v="0"/>
    <m/>
    <n v="0"/>
    <m/>
  </r>
  <r>
    <s v="TX002137"/>
    <s v="AC00055"/>
    <n v="299.02999999999997"/>
    <d v="2023-01-19T17:27:01"/>
    <s v="Debit"/>
    <x v="15"/>
    <s v="D000383"/>
    <s v="193.221.15.59"/>
    <s v="M018"/>
    <s v="Branch"/>
    <n v="39"/>
    <s v="Engineer"/>
    <n v="52"/>
    <n v="1"/>
    <n v="1381.28"/>
    <d v="2024-11-04T08:10:02"/>
    <n v="17"/>
    <s v="Thursday"/>
    <n v="4.9194746166902198E-3"/>
    <b v="0"/>
    <b v="0"/>
    <b v="1"/>
    <n v="0"/>
    <m/>
    <n v="0"/>
    <m/>
  </r>
  <r>
    <s v="TX002138"/>
    <s v="AC00215"/>
    <n v="1.98"/>
    <d v="2023-12-25T17:41:33"/>
    <s v="Debit"/>
    <x v="6"/>
    <s v="D000690"/>
    <s v="45.241.13.208"/>
    <s v="M074"/>
    <s v="ATM"/>
    <n v="66"/>
    <s v="Doctor"/>
    <n v="170"/>
    <n v="1"/>
    <n v="11619.1"/>
    <d v="2024-11-04T08:10:47"/>
    <n v="17"/>
    <s v="Monday"/>
    <n v="-1.01256236230796"/>
    <b v="0"/>
    <b v="0"/>
    <b v="1"/>
    <n v="0"/>
    <m/>
    <n v="0"/>
    <m/>
  </r>
  <r>
    <s v="TX002139"/>
    <s v="AC00037"/>
    <n v="173.45"/>
    <d v="2023-12-25T16:25:43"/>
    <s v="Debit"/>
    <x v="26"/>
    <s v="D000053"/>
    <s v="136.250.159.93"/>
    <s v="M066"/>
    <s v="ATM"/>
    <n v="31"/>
    <s v="Engineer"/>
    <n v="161"/>
    <n v="1"/>
    <n v="9077.6200000000008"/>
    <d v="2024-11-04T08:07:11"/>
    <n v="16"/>
    <s v="Monday"/>
    <n v="-0.42522820786436699"/>
    <b v="0"/>
    <b v="0"/>
    <b v="1"/>
    <n v="0"/>
    <m/>
    <n v="0"/>
    <m/>
  </r>
  <r>
    <s v="TX002140"/>
    <s v="AC00325"/>
    <n v="438.76"/>
    <d v="2023-02-13T16:48:50"/>
    <s v="Debit"/>
    <x v="25"/>
    <s v="D000074"/>
    <s v="182.84.41.229"/>
    <s v="M072"/>
    <s v="Branch"/>
    <n v="22"/>
    <s v="Student"/>
    <n v="73"/>
    <n v="1"/>
    <n v="1824.19"/>
    <d v="2024-11-04T08:11:13"/>
    <n v="16"/>
    <s v="Monday"/>
    <n v="0.48353498403760298"/>
    <b v="0"/>
    <b v="0"/>
    <b v="1"/>
    <n v="0"/>
    <m/>
    <n v="0"/>
    <m/>
  </r>
  <r>
    <s v="TX002141"/>
    <s v="AC00394"/>
    <n v="519.62"/>
    <d v="2023-11-23T17:42:11"/>
    <s v="Credit"/>
    <x v="38"/>
    <s v="D000046"/>
    <s v="51.250.46.149"/>
    <s v="M026"/>
    <s v="Online"/>
    <n v="71"/>
    <s v="Retired"/>
    <n v="40"/>
    <n v="1"/>
    <n v="4159.33"/>
    <d v="2024-11-04T08:06:37"/>
    <n v="17"/>
    <s v="Thursday"/>
    <n v="0.760503781659982"/>
    <b v="0"/>
    <b v="0"/>
    <b v="1"/>
    <n v="0"/>
    <m/>
    <n v="0"/>
    <m/>
  </r>
  <r>
    <s v="TX002142"/>
    <s v="AC00164"/>
    <n v="738.68"/>
    <d v="2023-03-07T16:36:08"/>
    <s v="Debit"/>
    <x v="29"/>
    <s v="D000369"/>
    <s v="197.23.128.119"/>
    <s v="M096"/>
    <s v="Online"/>
    <n v="50"/>
    <s v="Doctor"/>
    <n v="124"/>
    <n v="1"/>
    <n v="14352.33"/>
    <d v="2024-11-04T08:11:40"/>
    <n v="16"/>
    <s v="Tuesday"/>
    <n v="1.51084739787514"/>
    <b v="0"/>
    <b v="0"/>
    <b v="1"/>
    <n v="0"/>
    <m/>
    <n v="0"/>
    <m/>
  </r>
  <r>
    <s v="TX002143"/>
    <s v="AC00096"/>
    <n v="151.13999999999999"/>
    <d v="2023-06-01T16:18:49"/>
    <s v="Debit"/>
    <x v="11"/>
    <s v="D000142"/>
    <s v="143.212.47.226"/>
    <s v="M004"/>
    <s v="Online"/>
    <n v="64"/>
    <s v="Retired"/>
    <n v="38"/>
    <n v="1"/>
    <n v="2156.54"/>
    <d v="2024-11-04T08:11:40"/>
    <n v="16"/>
    <s v="Thursday"/>
    <n v="-0.50164638588755905"/>
    <b v="0"/>
    <b v="0"/>
    <b v="1"/>
    <n v="0"/>
    <m/>
    <n v="0"/>
    <m/>
  </r>
  <r>
    <s v="TX002144"/>
    <s v="AC00402"/>
    <n v="75.77"/>
    <d v="2023-08-07T17:48:31"/>
    <s v="Debit"/>
    <x v="27"/>
    <s v="D000172"/>
    <s v="218.83.2.94"/>
    <s v="M090"/>
    <s v="Branch"/>
    <n v="51"/>
    <s v="Engineer"/>
    <n v="148"/>
    <n v="1"/>
    <n v="8361.7000000000007"/>
    <d v="2024-11-04T08:09:47"/>
    <n v="17"/>
    <s v="Monday"/>
    <n v="-0.75981035171489897"/>
    <b v="0"/>
    <b v="0"/>
    <b v="1"/>
    <n v="0"/>
    <m/>
    <n v="0"/>
    <m/>
  </r>
  <r>
    <s v="TX002145"/>
    <s v="AC00077"/>
    <n v="444.52"/>
    <d v="2023-04-04T16:11:34"/>
    <s v="Debit"/>
    <x v="12"/>
    <s v="D000540"/>
    <s v="214.67.148.245"/>
    <s v="M026"/>
    <s v="Online"/>
    <n v="27"/>
    <s v="Engineer"/>
    <n v="17"/>
    <n v="1"/>
    <n v="5424.6"/>
    <d v="2024-11-04T08:06:58"/>
    <n v="16"/>
    <s v="Tuesday"/>
    <n v="0.50326464362584"/>
    <b v="0"/>
    <b v="0"/>
    <b v="1"/>
    <n v="0"/>
    <m/>
    <n v="0"/>
    <m/>
  </r>
  <r>
    <s v="TX002146"/>
    <s v="AC00116"/>
    <n v="5.29"/>
    <d v="2023-03-08T18:51:57"/>
    <s v="Debit"/>
    <x v="7"/>
    <s v="D000479"/>
    <s v="23.92.205.75"/>
    <s v="M062"/>
    <s v="Online"/>
    <n v="52"/>
    <s v="Doctor"/>
    <n v="276"/>
    <n v="1"/>
    <n v="11263.89"/>
    <d v="2024-11-04T08:09:14"/>
    <n v="18"/>
    <s v="Wednesday"/>
    <n v="-1.0012246586209701"/>
    <b v="0"/>
    <b v="0"/>
    <b v="1"/>
    <n v="0"/>
    <m/>
    <n v="0"/>
    <m/>
  </r>
  <r>
    <s v="TX002147"/>
    <s v="AC00145"/>
    <n v="97.63"/>
    <d v="2023-05-15T16:05:06"/>
    <s v="Credit"/>
    <x v="20"/>
    <s v="D000236"/>
    <s v="101.90.40.193"/>
    <s v="M023"/>
    <s v="Online"/>
    <n v="48"/>
    <s v="Doctor"/>
    <n v="127"/>
    <n v="1"/>
    <n v="12467.31"/>
    <d v="2024-11-04T08:11:10"/>
    <n v="16"/>
    <s v="Monday"/>
    <n v="-0.68493355334703798"/>
    <b v="0"/>
    <b v="0"/>
    <b v="1"/>
    <n v="0"/>
    <m/>
    <n v="0"/>
    <m/>
  </r>
  <r>
    <s v="TX002148"/>
    <s v="AC00457"/>
    <n v="256.95"/>
    <d v="2023-05-04T16:37:21"/>
    <s v="Debit"/>
    <x v="0"/>
    <s v="D000672"/>
    <s v="49.172.82.247"/>
    <s v="M047"/>
    <s v="Branch"/>
    <n v="26"/>
    <s v="Engineer"/>
    <n v="71"/>
    <n v="1"/>
    <n v="2531.2399999999998"/>
    <d v="2024-11-04T08:08:10"/>
    <n v="16"/>
    <s v="Thursday"/>
    <n v="-0.13921664959737901"/>
    <b v="0"/>
    <b v="0"/>
    <b v="1"/>
    <n v="0"/>
    <m/>
    <n v="0"/>
    <m/>
  </r>
  <r>
    <s v="TX002149"/>
    <s v="AC00021"/>
    <n v="734.86"/>
    <d v="2023-12-08T16:36:30"/>
    <s v="Credit"/>
    <x v="35"/>
    <s v="D000198"/>
    <s v="134.140.85.231"/>
    <s v="M075"/>
    <s v="Branch"/>
    <n v="48"/>
    <s v="Engineer"/>
    <n v="290"/>
    <n v="1"/>
    <n v="6242.03"/>
    <d v="2024-11-04T08:08:49"/>
    <n v="16"/>
    <s v="Friday"/>
    <n v="1.4977627972454399"/>
    <b v="0"/>
    <b v="0"/>
    <b v="1"/>
    <n v="0"/>
    <m/>
    <n v="0"/>
    <m/>
  </r>
  <r>
    <s v="TX002150"/>
    <s v="AC00110"/>
    <n v="1250.94"/>
    <d v="2023-02-28T17:45:06"/>
    <s v="Debit"/>
    <x v="15"/>
    <s v="D000282"/>
    <s v="35.67.21.23"/>
    <s v="M054"/>
    <s v="ATM"/>
    <n v="36"/>
    <s v="Doctor"/>
    <n v="107"/>
    <n v="2"/>
    <n v="11565.97"/>
    <d v="2024-11-04T08:08:33"/>
    <n v="17"/>
    <s v="Tuesday"/>
    <n v="3.2654854917415799"/>
    <b v="1"/>
    <b v="1"/>
    <b v="1"/>
    <n v="2"/>
    <m/>
    <n v="1"/>
    <m/>
  </r>
  <r>
    <s v="TX002151"/>
    <s v="AC00284"/>
    <n v="84.28"/>
    <d v="2023-06-12T17:09:17"/>
    <s v="Debit"/>
    <x v="11"/>
    <s v="D000413"/>
    <s v="66.23.166.248"/>
    <s v="M087"/>
    <s v="Branch"/>
    <n v="39"/>
    <s v="Doctor"/>
    <n v="142"/>
    <n v="1"/>
    <n v="13586.06"/>
    <d v="2024-11-04T08:07:40"/>
    <n v="17"/>
    <s v="Monday"/>
    <n v="-0.73066114978852703"/>
    <b v="0"/>
    <b v="0"/>
    <b v="1"/>
    <n v="0"/>
    <m/>
    <n v="0"/>
    <m/>
  </r>
  <r>
    <s v="TX002152"/>
    <s v="AC00012"/>
    <n v="927.45"/>
    <d v="2023-08-07T18:52:42"/>
    <s v="Debit"/>
    <x v="14"/>
    <s v="D000210"/>
    <s v="176.96.83.253"/>
    <s v="M027"/>
    <s v="ATM"/>
    <n v="24"/>
    <s v="Student"/>
    <n v="95"/>
    <n v="1"/>
    <n v="1161.8399999999999"/>
    <d v="2024-11-04T08:07:13"/>
    <n v="18"/>
    <s v="Monday"/>
    <n v="2.15743903684591"/>
    <b v="1"/>
    <b v="0"/>
    <b v="1"/>
    <n v="1"/>
    <m/>
    <n v="1"/>
    <m/>
  </r>
  <r>
    <s v="TX002153"/>
    <s v="AC00065"/>
    <n v="202.49"/>
    <d v="2023-12-28T16:30:32"/>
    <s v="Credit"/>
    <x v="33"/>
    <s v="D000171"/>
    <s v="93.52.44.101"/>
    <s v="M050"/>
    <s v="ATM"/>
    <n v="48"/>
    <s v="Engineer"/>
    <n v="69"/>
    <n v="1"/>
    <n v="7447.1"/>
    <d v="2024-11-04T08:08:28"/>
    <n v="16"/>
    <s v="Thursday"/>
    <n v="-0.32575784077366898"/>
    <b v="0"/>
    <b v="0"/>
    <b v="1"/>
    <n v="0"/>
    <m/>
    <n v="0"/>
    <m/>
  </r>
  <r>
    <s v="TX002154"/>
    <s v="AC00439"/>
    <n v="154.99"/>
    <d v="2023-08-28T17:07:08"/>
    <s v="Debit"/>
    <x v="2"/>
    <s v="D000582"/>
    <s v="82.51.236.134"/>
    <s v="M025"/>
    <s v="Branch"/>
    <n v="25"/>
    <s v="Student"/>
    <n v="53"/>
    <n v="1"/>
    <n v="1419.31"/>
    <d v="2024-11-04T08:08:06"/>
    <n v="17"/>
    <s v="Monday"/>
    <n v="-0.48845902661417101"/>
    <b v="0"/>
    <b v="0"/>
    <b v="1"/>
    <n v="0"/>
    <m/>
    <n v="0"/>
    <m/>
  </r>
  <r>
    <s v="TX002155"/>
    <s v="AC00157"/>
    <n v="481.53"/>
    <d v="2023-09-12T17:21:48"/>
    <s v="Debit"/>
    <x v="4"/>
    <s v="D000142"/>
    <s v="221.169.49.152"/>
    <s v="M087"/>
    <s v="Branch"/>
    <n v="58"/>
    <s v="Retired"/>
    <n v="277"/>
    <n v="1"/>
    <n v="6142.54"/>
    <d v="2024-11-04T08:11:54"/>
    <n v="17"/>
    <s v="Tuesday"/>
    <n v="0.63003455705651401"/>
    <b v="0"/>
    <b v="0"/>
    <b v="1"/>
    <n v="0"/>
    <m/>
    <n v="0"/>
    <m/>
  </r>
  <r>
    <s v="TX002156"/>
    <s v="AC00013"/>
    <n v="172.92"/>
    <d v="2023-08-28T16:56:05"/>
    <s v="Debit"/>
    <x v="19"/>
    <s v="D000519"/>
    <s v="214.67.148.245"/>
    <s v="M052"/>
    <s v="Online"/>
    <n v="20"/>
    <s v="Student"/>
    <n v="212"/>
    <n v="1"/>
    <n v="416.37"/>
    <d v="2024-11-04T08:08:14"/>
    <n v="16"/>
    <s v="Monday"/>
    <n v="-0.42704361056953499"/>
    <b v="0"/>
    <b v="0"/>
    <b v="1"/>
    <n v="0"/>
    <m/>
    <n v="0"/>
    <m/>
  </r>
  <r>
    <s v="TX002157"/>
    <s v="AC00355"/>
    <n v="275.58999999999997"/>
    <d v="2023-10-10T16:49:03"/>
    <s v="Credit"/>
    <x v="26"/>
    <s v="D000243"/>
    <s v="132.127.5.187"/>
    <s v="M063"/>
    <s v="Branch"/>
    <n v="53"/>
    <s v="Retired"/>
    <n v="238"/>
    <n v="1"/>
    <n v="6313.22"/>
    <d v="2024-11-04T08:10:12"/>
    <n v="16"/>
    <s v="Tuesday"/>
    <n v="-7.5369278985443794E-2"/>
    <b v="0"/>
    <b v="0"/>
    <b v="1"/>
    <n v="0"/>
    <m/>
    <n v="0"/>
    <m/>
  </r>
  <r>
    <s v="TX002158"/>
    <s v="AC00155"/>
    <n v="207.2"/>
    <d v="2024-01-01T16:12:32"/>
    <s v="Debit"/>
    <x v="15"/>
    <s v="D000604"/>
    <s v="214.247.164.80"/>
    <s v="M028"/>
    <s v="Online"/>
    <n v="60"/>
    <s v="Engineer"/>
    <n v="133"/>
    <n v="1"/>
    <n v="8092.94"/>
    <d v="2024-11-04T08:06:23"/>
    <n v="16"/>
    <s v="Monday"/>
    <n v="-0.30962473371453703"/>
    <b v="0"/>
    <b v="0"/>
    <b v="1"/>
    <n v="0"/>
    <m/>
    <n v="0"/>
    <m/>
  </r>
  <r>
    <s v="TX002159"/>
    <s v="AC00105"/>
    <n v="136.82"/>
    <d v="2023-08-25T18:24:06"/>
    <s v="Debit"/>
    <x v="29"/>
    <s v="D000541"/>
    <s v="49.31.186.82"/>
    <s v="M091"/>
    <s v="Branch"/>
    <n v="31"/>
    <s v="Engineer"/>
    <n v="14"/>
    <n v="1"/>
    <n v="6229.13"/>
    <d v="2024-11-04T08:08:03"/>
    <n v="18"/>
    <s v="Friday"/>
    <n v="-0.55069651180831702"/>
    <b v="0"/>
    <b v="0"/>
    <b v="1"/>
    <n v="0"/>
    <m/>
    <n v="0"/>
    <m/>
  </r>
  <r>
    <s v="TX002160"/>
    <s v="AC00216"/>
    <n v="624"/>
    <d v="2023-02-16T17:34:34"/>
    <s v="Debit"/>
    <x v="1"/>
    <s v="D000207"/>
    <s v="113.137.153.101"/>
    <s v="M097"/>
    <s v="Branch"/>
    <n v="26"/>
    <s v="Engineer"/>
    <n v="132"/>
    <n v="5"/>
    <n v="4976.18"/>
    <d v="2024-11-04T08:11:42"/>
    <n v="17"/>
    <s v="Thursday"/>
    <n v="1.1180353559343299"/>
    <b v="0"/>
    <b v="1"/>
    <b v="1"/>
    <n v="1"/>
    <m/>
    <n v="0"/>
    <m/>
  </r>
  <r>
    <s v="TX002161"/>
    <s v="AC00297"/>
    <n v="179.38"/>
    <d v="2023-08-10T18:31:00"/>
    <s v="Debit"/>
    <x v="29"/>
    <s v="D000499"/>
    <s v="112.56.160.202"/>
    <s v="M074"/>
    <s v="Online"/>
    <n v="30"/>
    <s v="Engineer"/>
    <n v="28"/>
    <n v="1"/>
    <n v="8741.51"/>
    <d v="2024-11-04T08:08:34"/>
    <n v="18"/>
    <s v="Thursday"/>
    <n v="-0.40491624929522702"/>
    <b v="0"/>
    <b v="0"/>
    <b v="1"/>
    <n v="0"/>
    <m/>
    <n v="0"/>
    <m/>
  </r>
  <r>
    <s v="TX002162"/>
    <s v="AC00139"/>
    <n v="10.15"/>
    <d v="2023-02-23T16:51:34"/>
    <s v="Debit"/>
    <x v="14"/>
    <s v="D000531"/>
    <s v="55.139.104.163"/>
    <s v="M004"/>
    <s v="ATM"/>
    <n v="59"/>
    <s v="Doctor"/>
    <n v="58"/>
    <n v="5"/>
    <n v="7155.04"/>
    <d v="2024-11-04T08:11:00"/>
    <n v="16"/>
    <s v="Thursday"/>
    <n v="-0.984577758343399"/>
    <b v="0"/>
    <b v="1"/>
    <b v="1"/>
    <n v="1"/>
    <m/>
    <n v="0"/>
    <m/>
  </r>
  <r>
    <s v="TX002163"/>
    <s v="AC00205"/>
    <n v="26.3"/>
    <d v="2023-12-12T16:57:29"/>
    <s v="Debit"/>
    <x v="33"/>
    <s v="D000210"/>
    <s v="42.219.228.159"/>
    <s v="M029"/>
    <s v="ATM"/>
    <n v="32"/>
    <s v="Doctor"/>
    <n v="33"/>
    <n v="1"/>
    <n v="7473.73"/>
    <d v="2024-11-04T08:09:28"/>
    <n v="16"/>
    <s v="Tuesday"/>
    <n v="-0.92925935515762803"/>
    <b v="0"/>
    <b v="0"/>
    <b v="1"/>
    <n v="0"/>
    <m/>
    <n v="0"/>
    <m/>
  </r>
  <r>
    <s v="TX002164"/>
    <s v="AC00148"/>
    <n v="319.5"/>
    <d v="2023-06-09T16:03:24"/>
    <s v="Credit"/>
    <x v="33"/>
    <s v="D000513"/>
    <s v="54.252.249.33"/>
    <s v="M081"/>
    <s v="Branch"/>
    <n v="29"/>
    <s v="Engineer"/>
    <n v="69"/>
    <n v="1"/>
    <n v="2366.3000000000002"/>
    <d v="2024-11-04T08:10:45"/>
    <n v="16"/>
    <s v="Friday"/>
    <n v="7.5035122493639306E-2"/>
    <b v="0"/>
    <b v="0"/>
    <b v="1"/>
    <n v="0"/>
    <m/>
    <n v="0"/>
    <m/>
  </r>
  <r>
    <s v="TX002165"/>
    <s v="AC00064"/>
    <n v="182.42"/>
    <d v="2023-03-22T16:59:56"/>
    <s v="Debit"/>
    <x v="31"/>
    <s v="D000515"/>
    <s v="3.77.114.6"/>
    <s v="M080"/>
    <s v="Branch"/>
    <n v="51"/>
    <s v="Retired"/>
    <n v="137"/>
    <n v="1"/>
    <n v="3051.29"/>
    <d v="2024-11-04T08:10:41"/>
    <n v="16"/>
    <s v="Wednesday"/>
    <n v="-0.39450337340143499"/>
    <b v="0"/>
    <b v="0"/>
    <b v="1"/>
    <n v="0"/>
    <m/>
    <n v="0"/>
    <m/>
  </r>
  <r>
    <s v="TX002166"/>
    <s v="AC00344"/>
    <n v="716.62"/>
    <d v="2023-04-10T16:04:28"/>
    <s v="Debit"/>
    <x v="4"/>
    <s v="D000310"/>
    <s v="57.141.198.111"/>
    <s v="M084"/>
    <s v="ATM"/>
    <n v="44"/>
    <s v="Doctor"/>
    <n v="241"/>
    <n v="1"/>
    <n v="6987.4"/>
    <d v="2024-11-04T08:10:05"/>
    <n v="16"/>
    <s v="Monday"/>
    <n v="1.43528554188269"/>
    <b v="0"/>
    <b v="0"/>
    <b v="1"/>
    <n v="0"/>
    <m/>
    <n v="0"/>
    <m/>
  </r>
  <r>
    <s v="TX002167"/>
    <s v="AC00448"/>
    <n v="222.96"/>
    <d v="2023-03-23T17:26:31"/>
    <s v="Credit"/>
    <x v="41"/>
    <s v="D000328"/>
    <s v="203.245.215.62"/>
    <s v="M073"/>
    <s v="ATM"/>
    <n v="65"/>
    <s v="Doctor"/>
    <n v="150"/>
    <n v="1"/>
    <n v="7370.41"/>
    <d v="2024-11-04T08:12:21"/>
    <n v="17"/>
    <s v="Thursday"/>
    <n v="-0.25564219289672002"/>
    <b v="0"/>
    <b v="0"/>
    <b v="1"/>
    <n v="0"/>
    <m/>
    <n v="0"/>
    <m/>
  </r>
  <r>
    <s v="TX002168"/>
    <s v="AC00446"/>
    <n v="79.77"/>
    <d v="2023-01-23T16:50:55"/>
    <s v="Debit"/>
    <x v="23"/>
    <s v="D000390"/>
    <s v="51.250.46.149"/>
    <s v="M066"/>
    <s v="ATM"/>
    <n v="68"/>
    <s v="Retired"/>
    <n v="167"/>
    <n v="1"/>
    <n v="5010.3100000000004"/>
    <d v="2024-11-04T08:08:44"/>
    <n v="16"/>
    <s v="Monday"/>
    <n v="-0.74610919922306695"/>
    <b v="0"/>
    <b v="0"/>
    <b v="1"/>
    <n v="0"/>
    <m/>
    <n v="0"/>
    <m/>
  </r>
  <r>
    <s v="TX002169"/>
    <s v="AC00460"/>
    <n v="431.08"/>
    <d v="2023-07-17T18:24:15"/>
    <s v="Debit"/>
    <x v="10"/>
    <s v="D000339"/>
    <s v="145.179.219.57"/>
    <s v="M013"/>
    <s v="Branch"/>
    <n v="59"/>
    <s v="Retired"/>
    <n v="25"/>
    <n v="1"/>
    <n v="6760.22"/>
    <d v="2024-11-04T08:06:52"/>
    <n v="18"/>
    <s v="Monday"/>
    <n v="0.45722877125328598"/>
    <b v="0"/>
    <b v="0"/>
    <b v="1"/>
    <n v="0"/>
    <m/>
    <n v="0"/>
    <m/>
  </r>
  <r>
    <s v="TX002170"/>
    <s v="AC00020"/>
    <n v="592.24"/>
    <d v="2023-10-16T16:49:07"/>
    <s v="Debit"/>
    <x v="28"/>
    <s v="D000201"/>
    <s v="159.37.30.154"/>
    <s v="M034"/>
    <s v="ATM"/>
    <n v="52"/>
    <s v="Doctor"/>
    <n v="140"/>
    <n v="1"/>
    <n v="9817.0499999999993"/>
    <d v="2024-11-04T08:07:20"/>
    <n v="16"/>
    <s v="Monday"/>
    <n v="1.00924820514918"/>
    <b v="0"/>
    <b v="0"/>
    <b v="1"/>
    <n v="0"/>
    <m/>
    <n v="0"/>
    <m/>
  </r>
  <r>
    <s v="TX002171"/>
    <s v="AC00202"/>
    <n v="200.19"/>
    <d v="2023-07-18T18:11:40"/>
    <s v="Credit"/>
    <x v="25"/>
    <s v="D000398"/>
    <s v="177.172.184.163"/>
    <s v="M030"/>
    <s v="Branch"/>
    <n v="52"/>
    <s v="Retired"/>
    <n v="108"/>
    <n v="1"/>
    <n v="4389.96"/>
    <d v="2024-11-04T08:12:17"/>
    <n v="18"/>
    <s v="Tuesday"/>
    <n v="-0.33363600345647199"/>
    <b v="0"/>
    <b v="0"/>
    <b v="1"/>
    <n v="0"/>
    <m/>
    <n v="0"/>
    <m/>
  </r>
  <r>
    <s v="TX002172"/>
    <s v="AC00458"/>
    <n v="297.5"/>
    <d v="2023-03-27T17:16:41"/>
    <s v="Credit"/>
    <x v="31"/>
    <s v="D000320"/>
    <s v="211.42.9.0"/>
    <s v="M071"/>
    <s v="Branch"/>
    <n v="73"/>
    <s v="Retired"/>
    <n v="80"/>
    <n v="1"/>
    <n v="6768.14"/>
    <d v="2024-11-04T08:07:49"/>
    <n v="17"/>
    <s v="Monday"/>
    <n v="-3.2121621143532903E-4"/>
    <b v="0"/>
    <b v="0"/>
    <b v="1"/>
    <n v="0"/>
    <m/>
    <n v="0"/>
    <m/>
  </r>
  <r>
    <s v="TX002173"/>
    <s v="AC00139"/>
    <n v="345.86"/>
    <d v="2023-11-20T16:41:44"/>
    <s v="Debit"/>
    <x v="32"/>
    <s v="D000448"/>
    <s v="96.162.11.85"/>
    <s v="M069"/>
    <s v="ATM"/>
    <n v="51"/>
    <s v="Retired"/>
    <n v="145"/>
    <n v="1"/>
    <n v="1504.64"/>
    <d v="2024-11-04T08:09:26"/>
    <n v="16"/>
    <s v="Monday"/>
    <n v="0.16532571741481"/>
    <b v="0"/>
    <b v="0"/>
    <b v="1"/>
    <n v="0"/>
    <m/>
    <n v="0"/>
    <m/>
  </r>
  <r>
    <s v="TX002174"/>
    <s v="AC00210"/>
    <n v="343.88"/>
    <d v="2023-12-11T16:37:20"/>
    <s v="Debit"/>
    <x v="9"/>
    <s v="D000608"/>
    <s v="211.97.88.141"/>
    <s v="M068"/>
    <s v="Online"/>
    <n v="63"/>
    <s v="Retired"/>
    <n v="97"/>
    <n v="1"/>
    <n v="6486.18"/>
    <d v="2024-11-04T08:12:01"/>
    <n v="16"/>
    <s v="Monday"/>
    <n v="0.15854364693135301"/>
    <b v="0"/>
    <b v="0"/>
    <b v="1"/>
    <n v="0"/>
    <m/>
    <n v="0"/>
    <m/>
  </r>
  <r>
    <s v="TX002175"/>
    <s v="AC00399"/>
    <n v="16.52"/>
    <d v="2023-01-04T17:00:58"/>
    <s v="Credit"/>
    <x v="35"/>
    <s v="D000269"/>
    <s v="165.35.58.173"/>
    <s v="M093"/>
    <s v="Online"/>
    <n v="25"/>
    <s v="Student"/>
    <n v="135"/>
    <n v="1"/>
    <n v="835.53"/>
    <d v="2024-11-04T08:07:28"/>
    <n v="17"/>
    <s v="Wednesday"/>
    <n v="-0.96275867300015705"/>
    <b v="0"/>
    <b v="0"/>
    <b v="1"/>
    <n v="0"/>
    <m/>
    <n v="0"/>
    <m/>
  </r>
  <r>
    <s v="TX002176"/>
    <s v="AC00267"/>
    <n v="162.1"/>
    <d v="2023-12-06T17:34:01"/>
    <s v="Debit"/>
    <x v="20"/>
    <s v="D000418"/>
    <s v="83.80.89.29"/>
    <s v="M078"/>
    <s v="Branch"/>
    <n v="41"/>
    <s v="Engineer"/>
    <n v="151"/>
    <n v="1"/>
    <n v="8576.65"/>
    <d v="2024-11-04T08:08:09"/>
    <n v="17"/>
    <s v="Wednesday"/>
    <n v="-0.46410522805993998"/>
    <b v="0"/>
    <b v="0"/>
    <b v="1"/>
    <n v="0"/>
    <m/>
    <n v="0"/>
    <m/>
  </r>
  <r>
    <s v="TX002177"/>
    <s v="AC00414"/>
    <n v="36.119999999999997"/>
    <d v="2023-11-29T17:55:07"/>
    <s v="Debit"/>
    <x v="1"/>
    <s v="D000630"/>
    <s v="62.152.134.92"/>
    <s v="M085"/>
    <s v="Online"/>
    <n v="22"/>
    <s v="Student"/>
    <n v="234"/>
    <n v="1"/>
    <n v="1593.03"/>
    <d v="2024-11-04T08:08:11"/>
    <n v="17"/>
    <s v="Wednesday"/>
    <n v="-0.89562302579018105"/>
    <b v="0"/>
    <b v="0"/>
    <b v="1"/>
    <n v="0"/>
    <m/>
    <n v="0"/>
    <m/>
  </r>
  <r>
    <s v="TX002178"/>
    <s v="AC00272"/>
    <n v="354.91"/>
    <d v="2023-12-18T16:33:07"/>
    <s v="Debit"/>
    <x v="35"/>
    <s v="D000174"/>
    <s v="172.111.76.65"/>
    <s v="M086"/>
    <s v="ATM"/>
    <n v="74"/>
    <s v="Retired"/>
    <n v="191"/>
    <n v="1"/>
    <n v="3872.55"/>
    <d v="2024-11-04T08:09:08"/>
    <n v="16"/>
    <s v="Monday"/>
    <n v="0.19632457492757999"/>
    <b v="0"/>
    <b v="0"/>
    <b v="1"/>
    <n v="0"/>
    <m/>
    <n v="0"/>
    <m/>
  </r>
  <r>
    <s v="TX002179"/>
    <s v="AC00220"/>
    <n v="38.409999999999997"/>
    <d v="2023-04-11T16:06:20"/>
    <s v="Debit"/>
    <x v="13"/>
    <s v="D000449"/>
    <s v="158.135.64.240"/>
    <s v="M068"/>
    <s v="ATM"/>
    <n v="40"/>
    <s v="Doctor"/>
    <n v="117"/>
    <n v="1"/>
    <n v="9129.68"/>
    <d v="2024-11-04T08:07:27"/>
    <n v="16"/>
    <s v="Tuesday"/>
    <n v="-0.88777911598860704"/>
    <b v="0"/>
    <b v="0"/>
    <b v="1"/>
    <n v="0"/>
    <m/>
    <n v="0"/>
    <m/>
  </r>
  <r>
    <s v="TX002180"/>
    <s v="AC00276"/>
    <n v="53.52"/>
    <d v="2023-03-31T16:18:37"/>
    <s v="Debit"/>
    <x v="0"/>
    <s v="D000584"/>
    <s v="163.69.89.200"/>
    <s v="M066"/>
    <s v="Branch"/>
    <n v="49"/>
    <s v="Engineer"/>
    <n v="55"/>
    <n v="1"/>
    <n v="2227.4899999999998"/>
    <d v="2024-11-04T08:08:36"/>
    <n v="16"/>
    <s v="Friday"/>
    <n v="-0.83602301245071298"/>
    <b v="0"/>
    <b v="0"/>
    <b v="1"/>
    <n v="0"/>
    <m/>
    <n v="0"/>
    <m/>
  </r>
  <r>
    <s v="TX002181"/>
    <s v="AC00084"/>
    <n v="498.59"/>
    <d v="2023-10-23T18:41:35"/>
    <s v="Debit"/>
    <x v="26"/>
    <s v="D000553"/>
    <s v="143.212.47.226"/>
    <s v="M060"/>
    <s v="Online"/>
    <n v="57"/>
    <s v="Retired"/>
    <n v="138"/>
    <n v="1"/>
    <n v="2619.46"/>
    <d v="2024-11-04T08:11:11"/>
    <n v="18"/>
    <s v="Monday"/>
    <n v="0.68846997243417596"/>
    <b v="0"/>
    <b v="0"/>
    <b v="1"/>
    <n v="0"/>
    <m/>
    <n v="0"/>
    <m/>
  </r>
  <r>
    <s v="TX002182"/>
    <s v="AC00189"/>
    <n v="13.3"/>
    <d v="2023-06-06T16:36:30"/>
    <s v="Debit"/>
    <x v="25"/>
    <s v="D000167"/>
    <s v="144.228.168.6"/>
    <s v="M009"/>
    <s v="ATM"/>
    <n v="23"/>
    <s v="Student"/>
    <n v="63"/>
    <n v="1"/>
    <n v="213"/>
    <d v="2024-11-04T08:09:17"/>
    <n v="16"/>
    <s v="Tuesday"/>
    <n v="-0.97378810075608102"/>
    <b v="0"/>
    <b v="0"/>
    <b v="1"/>
    <n v="0"/>
    <m/>
    <n v="0"/>
    <m/>
  </r>
  <r>
    <s v="TX002183"/>
    <s v="AC00209"/>
    <n v="189.65"/>
    <d v="2023-09-25T16:32:45"/>
    <s v="Debit"/>
    <x v="27"/>
    <s v="D000346"/>
    <s v="145.76.10.8"/>
    <s v="M100"/>
    <s v="ATM"/>
    <n v="21"/>
    <s v="Student"/>
    <n v="60"/>
    <n v="1"/>
    <n v="8457.09"/>
    <d v="2024-11-04T08:11:01"/>
    <n v="16"/>
    <s v="Monday"/>
    <n v="-0.36973854027244901"/>
    <b v="0"/>
    <b v="0"/>
    <b v="1"/>
    <n v="0"/>
    <m/>
    <n v="0"/>
    <m/>
  </r>
  <r>
    <s v="TX002184"/>
    <s v="AC00324"/>
    <n v="255.32"/>
    <d v="2023-09-13T16:14:04"/>
    <s v="Debit"/>
    <x v="21"/>
    <s v="D000652"/>
    <s v="47.167.178.158"/>
    <s v="M018"/>
    <s v="ATM"/>
    <n v="80"/>
    <s v="Retired"/>
    <n v="27"/>
    <n v="1"/>
    <n v="6290.62"/>
    <d v="2024-11-04T08:07:29"/>
    <n v="16"/>
    <s v="Wednesday"/>
    <n v="-0.144799869237801"/>
    <b v="0"/>
    <b v="0"/>
    <b v="1"/>
    <n v="0"/>
    <m/>
    <n v="0"/>
    <m/>
  </r>
  <r>
    <s v="TX002185"/>
    <s v="AC00159"/>
    <n v="230.51"/>
    <d v="2023-02-17T18:01:18"/>
    <s v="Credit"/>
    <x v="11"/>
    <s v="D000599"/>
    <s v="42.219.228.159"/>
    <s v="M062"/>
    <s v="Branch"/>
    <n v="51"/>
    <s v="Engineer"/>
    <n v="56"/>
    <n v="1"/>
    <n v="9522.3700000000008"/>
    <d v="2024-11-04T08:10:49"/>
    <n v="18"/>
    <s v="Friday"/>
    <n v="-0.22978126756838699"/>
    <b v="0"/>
    <b v="0"/>
    <b v="1"/>
    <n v="0"/>
    <m/>
    <n v="0"/>
    <m/>
  </r>
  <r>
    <s v="TX002186"/>
    <s v="AC00497"/>
    <n v="237.74"/>
    <d v="2023-06-12T18:51:29"/>
    <s v="Debit"/>
    <x v="28"/>
    <s v="D000171"/>
    <s v="93.115.61.201"/>
    <s v="M022"/>
    <s v="ATM"/>
    <n v="61"/>
    <s v="Doctor"/>
    <n v="152"/>
    <n v="1"/>
    <n v="11795.12"/>
    <d v="2024-11-04T08:10:26"/>
    <n v="18"/>
    <s v="Monday"/>
    <n v="-0.20501643443940101"/>
    <b v="0"/>
    <b v="0"/>
    <b v="1"/>
    <n v="0"/>
    <m/>
    <n v="0"/>
    <m/>
  </r>
  <r>
    <s v="TX002187"/>
    <s v="AC00257"/>
    <n v="512.76"/>
    <d v="2023-04-11T16:37:54"/>
    <s v="Debit"/>
    <x v="41"/>
    <s v="D000678"/>
    <s v="210.228.226.64"/>
    <s v="M080"/>
    <s v="ATM"/>
    <n v="52"/>
    <s v="Doctor"/>
    <n v="26"/>
    <n v="1"/>
    <n v="5121.3599999999997"/>
    <d v="2024-11-04T08:07:06"/>
    <n v="16"/>
    <s v="Tuesday"/>
    <n v="0.73700630513649001"/>
    <b v="0"/>
    <b v="0"/>
    <b v="1"/>
    <n v="0"/>
    <m/>
    <n v="0"/>
    <m/>
  </r>
  <r>
    <s v="TX002188"/>
    <s v="AC00353"/>
    <n v="151.37"/>
    <d v="2023-04-03T16:55:21"/>
    <s v="Debit"/>
    <x v="21"/>
    <s v="D000017"/>
    <s v="104.155.121.252"/>
    <s v="M044"/>
    <s v="ATM"/>
    <n v="54"/>
    <s v="Engineer"/>
    <n v="53"/>
    <n v="1"/>
    <n v="8356.08"/>
    <d v="2024-11-04T08:08:41"/>
    <n v="16"/>
    <s v="Monday"/>
    <n v="-0.50085856961927899"/>
    <b v="0"/>
    <b v="0"/>
    <b v="1"/>
    <n v="0"/>
    <m/>
    <n v="0"/>
    <m/>
  </r>
  <r>
    <s v="TX002189"/>
    <s v="AC00115"/>
    <n v="85.01"/>
    <d v="2023-01-23T18:35:43"/>
    <s v="Credit"/>
    <x v="42"/>
    <s v="D000185"/>
    <s v="218.54.207.160"/>
    <s v="M014"/>
    <s v="ATM"/>
    <n v="25"/>
    <s v="Student"/>
    <n v="157"/>
    <n v="1"/>
    <n v="1299.4000000000001"/>
    <d v="2024-11-04T08:08:58"/>
    <n v="18"/>
    <s v="Monday"/>
    <n v="-0.728160689458767"/>
    <b v="0"/>
    <b v="0"/>
    <b v="1"/>
    <n v="0"/>
    <m/>
    <n v="0"/>
    <m/>
  </r>
  <r>
    <s v="TX002190"/>
    <s v="AC00478"/>
    <n v="444.47"/>
    <d v="2023-01-16T16:15:57"/>
    <s v="Debit"/>
    <x v="24"/>
    <s v="D000031"/>
    <s v="40.45.69.120"/>
    <s v="M005"/>
    <s v="Online"/>
    <n v="57"/>
    <s v="Retired"/>
    <n v="61"/>
    <n v="1"/>
    <n v="6062.94"/>
    <d v="2024-11-04T08:10:42"/>
    <n v="16"/>
    <s v="Monday"/>
    <n v="0.50309337921969299"/>
    <b v="0"/>
    <b v="0"/>
    <b v="1"/>
    <n v="0"/>
    <m/>
    <n v="0"/>
    <m/>
  </r>
  <r>
    <s v="TX002191"/>
    <s v="AC00497"/>
    <n v="184.19"/>
    <d v="2023-04-24T16:28:14"/>
    <s v="Debit"/>
    <x v="7"/>
    <s v="D000396"/>
    <s v="80.75.92.66"/>
    <s v="M035"/>
    <s v="ATM"/>
    <n v="67"/>
    <s v="Retired"/>
    <n v="58"/>
    <n v="1"/>
    <n v="7588.67"/>
    <d v="2024-11-04T08:10:28"/>
    <n v="16"/>
    <s v="Monday"/>
    <n v="-0.38844061342379899"/>
    <b v="0"/>
    <b v="0"/>
    <b v="1"/>
    <n v="0"/>
    <m/>
    <n v="0"/>
    <m/>
  </r>
  <r>
    <s v="TX002192"/>
    <s v="AC00131"/>
    <n v="879.25"/>
    <d v="2023-11-07T17:44:12"/>
    <s v="Credit"/>
    <x v="11"/>
    <s v="D000073"/>
    <s v="190.164.160.79"/>
    <s v="M086"/>
    <s v="Online"/>
    <n v="24"/>
    <s v="Student"/>
    <n v="137"/>
    <n v="1"/>
    <n v="125.85"/>
    <d v="2024-11-04T08:08:02"/>
    <n v="17"/>
    <s v="Tuesday"/>
    <n v="1.99234014931934"/>
    <b v="0"/>
    <b v="0"/>
    <b v="1"/>
    <n v="0"/>
    <m/>
    <n v="0"/>
    <m/>
  </r>
  <r>
    <s v="TX002193"/>
    <s v="AC00059"/>
    <n v="55.98"/>
    <d v="2023-09-25T16:41:04"/>
    <s v="Credit"/>
    <x v="31"/>
    <s v="D000551"/>
    <s v="70.130.169.235"/>
    <s v="M013"/>
    <s v="Branch"/>
    <n v="24"/>
    <s v="Student"/>
    <n v="87"/>
    <n v="1"/>
    <n v="7047.04"/>
    <d v="2024-11-04T08:12:04"/>
    <n v="16"/>
    <s v="Monday"/>
    <n v="-0.82759680366823596"/>
    <b v="0"/>
    <b v="0"/>
    <b v="1"/>
    <n v="0"/>
    <m/>
    <n v="0"/>
    <m/>
  </r>
  <r>
    <s v="TX002194"/>
    <s v="AC00101"/>
    <n v="54.91"/>
    <d v="2023-02-13T16:08:58"/>
    <s v="Credit"/>
    <x v="15"/>
    <s v="D000091"/>
    <s v="147.125.143.41"/>
    <s v="M010"/>
    <s v="ATM"/>
    <n v="41"/>
    <s v="Engineer"/>
    <n v="275"/>
    <n v="1"/>
    <n v="7927.27"/>
    <d v="2024-11-04T08:07:25"/>
    <n v="16"/>
    <s v="Monday"/>
    <n v="-0.83126186195980101"/>
    <b v="0"/>
    <b v="0"/>
    <b v="1"/>
    <n v="0"/>
    <m/>
    <n v="0"/>
    <m/>
  </r>
  <r>
    <s v="TX002195"/>
    <s v="AC00418"/>
    <n v="1047.69"/>
    <d v="2023-10-16T16:32:31"/>
    <s v="Debit"/>
    <x v="14"/>
    <s v="D000008"/>
    <s v="51.196.87.214"/>
    <s v="M037"/>
    <s v="Online"/>
    <n v="20"/>
    <s v="Student"/>
    <n v="139"/>
    <n v="1"/>
    <n v="1889.78"/>
    <d v="2024-11-04T08:10:42"/>
    <n v="16"/>
    <s v="Monday"/>
    <n v="2.56929568075038"/>
    <b v="1"/>
    <b v="0"/>
    <b v="1"/>
    <n v="1"/>
    <m/>
    <n v="1"/>
    <m/>
  </r>
  <r>
    <s v="TX002196"/>
    <s v="AC00384"/>
    <n v="393.74"/>
    <d v="2023-12-04T18:11:56"/>
    <s v="Debit"/>
    <x v="27"/>
    <s v="D000407"/>
    <s v="62.27.235.199"/>
    <s v="M099"/>
    <s v="Online"/>
    <n v="26"/>
    <s v="Student"/>
    <n v="90"/>
    <n v="1"/>
    <n v="1769.06"/>
    <d v="2024-11-04T08:06:52"/>
    <n v="18"/>
    <s v="Monday"/>
    <n v="0.32932851274203601"/>
    <b v="0"/>
    <b v="0"/>
    <b v="1"/>
    <n v="0"/>
    <m/>
    <n v="0"/>
    <m/>
  </r>
  <r>
    <s v="TX002197"/>
    <s v="AC00496"/>
    <n v="58.94"/>
    <d v="2023-01-16T16:16:42"/>
    <s v="Debit"/>
    <x v="19"/>
    <s v="D000686"/>
    <s v="56.116.189.0"/>
    <s v="M046"/>
    <s v="Online"/>
    <n v="30"/>
    <s v="Engineer"/>
    <n v="26"/>
    <n v="1"/>
    <n v="4575.9799999999996"/>
    <d v="2024-11-04T08:08:38"/>
    <n v="16"/>
    <s v="Monday"/>
    <n v="-0.81745795082428097"/>
    <b v="0"/>
    <b v="0"/>
    <b v="1"/>
    <n v="0"/>
    <m/>
    <n v="0"/>
    <m/>
  </r>
  <r>
    <s v="TX002198"/>
    <s v="AC00145"/>
    <n v="515.57000000000005"/>
    <d v="2023-01-02T17:26:34"/>
    <s v="Debit"/>
    <x v="15"/>
    <s v="D000196"/>
    <s v="147.227.81.224"/>
    <s v="M027"/>
    <s v="ATM"/>
    <n v="27"/>
    <s v="Engineer"/>
    <n v="56"/>
    <n v="1"/>
    <n v="9269.67"/>
    <d v="2024-11-04T08:06:54"/>
    <n v="17"/>
    <s v="Monday"/>
    <n v="0.74663136476200198"/>
    <b v="0"/>
    <b v="0"/>
    <b v="1"/>
    <n v="0"/>
    <m/>
    <n v="0"/>
    <m/>
  </r>
  <r>
    <s v="TX002199"/>
    <s v="AC00131"/>
    <n v="332.15"/>
    <d v="2023-10-16T17:12:32"/>
    <s v="Debit"/>
    <x v="34"/>
    <s v="D000421"/>
    <s v="37.213.85.222"/>
    <s v="M030"/>
    <s v="ATM"/>
    <n v="59"/>
    <s v="Doctor"/>
    <n v="105"/>
    <n v="1"/>
    <n v="9749.4599999999991"/>
    <d v="2024-11-04T08:07:16"/>
    <n v="17"/>
    <s v="Monday"/>
    <n v="0.118365017249057"/>
    <b v="0"/>
    <b v="0"/>
    <b v="1"/>
    <n v="0"/>
    <m/>
    <n v="0"/>
    <m/>
  </r>
  <r>
    <s v="TX002200"/>
    <s v="AC00224"/>
    <n v="177.94"/>
    <d v="2023-09-26T16:08:25"/>
    <s v="Debit"/>
    <x v="20"/>
    <s v="D000698"/>
    <s v="27.93.195.98"/>
    <s v="M088"/>
    <s v="Online"/>
    <n v="19"/>
    <s v="Student"/>
    <n v="173"/>
    <n v="1"/>
    <n v="123.24"/>
    <d v="2024-11-04T08:11:29"/>
    <n v="16"/>
    <s v="Tuesday"/>
    <n v="-0.40984866419228599"/>
    <b v="0"/>
    <b v="0"/>
    <b v="1"/>
    <n v="0"/>
    <m/>
    <n v="0"/>
    <m/>
  </r>
  <r>
    <s v="TX002201"/>
    <s v="AC00219"/>
    <n v="68.680000000000007"/>
    <d v="2023-09-18T16:15:19"/>
    <s v="Debit"/>
    <x v="30"/>
    <s v="D000362"/>
    <s v="195.226.203.234"/>
    <s v="M094"/>
    <s v="Online"/>
    <n v="49"/>
    <s v="Engineer"/>
    <n v="141"/>
    <n v="1"/>
    <n v="4718.51"/>
    <d v="2024-11-04T08:06:27"/>
    <n v="16"/>
    <s v="Monday"/>
    <n v="-0.78409564450667002"/>
    <b v="0"/>
    <b v="0"/>
    <b v="1"/>
    <n v="0"/>
    <m/>
    <n v="0"/>
    <m/>
  </r>
  <r>
    <s v="TX002202"/>
    <s v="AC00385"/>
    <n v="1431.54"/>
    <d v="2023-12-11T16:23:59"/>
    <s v="Debit"/>
    <x v="42"/>
    <s v="D000490"/>
    <s v="68.254.244.208"/>
    <s v="M075"/>
    <s v="Online"/>
    <n v="20"/>
    <s v="Student"/>
    <n v="84"/>
    <n v="1"/>
    <n v="1171.98"/>
    <d v="2024-11-04T08:08:41"/>
    <n v="16"/>
    <s v="Monday"/>
    <n v="3.8840925267477799"/>
    <b v="1"/>
    <b v="0"/>
    <b v="1"/>
    <n v="1"/>
    <m/>
    <n v="1"/>
    <m/>
  </r>
  <r>
    <s v="TX002203"/>
    <s v="AC00133"/>
    <n v="240.03"/>
    <d v="2023-02-27T17:25:09"/>
    <s v="Debit"/>
    <x v="4"/>
    <s v="D000575"/>
    <s v="211.45.75.44"/>
    <s v="M079"/>
    <s v="Online"/>
    <n v="33"/>
    <s v="Engineer"/>
    <n v="31"/>
    <n v="1"/>
    <n v="7807.73"/>
    <d v="2024-11-04T08:09:41"/>
    <n v="17"/>
    <s v="Monday"/>
    <n v="-0.197172524637828"/>
    <b v="0"/>
    <b v="0"/>
    <b v="1"/>
    <n v="0"/>
    <m/>
    <n v="0"/>
    <m/>
  </r>
  <r>
    <s v="TX002204"/>
    <s v="AC00056"/>
    <n v="168.34"/>
    <d v="2023-06-27T18:14:30"/>
    <s v="Debit"/>
    <x v="37"/>
    <s v="D000638"/>
    <s v="81.222.37.186"/>
    <s v="M068"/>
    <s v="ATM"/>
    <n v="64"/>
    <s v="Retired"/>
    <n v="240"/>
    <n v="1"/>
    <n v="7483.01"/>
    <d v="2024-11-04T08:11:10"/>
    <n v="18"/>
    <s v="Tuesday"/>
    <n v="-0.44273143017268202"/>
    <b v="0"/>
    <b v="0"/>
    <b v="1"/>
    <n v="0"/>
    <m/>
    <n v="0"/>
    <m/>
  </r>
  <r>
    <s v="TX002205"/>
    <s v="AC00358"/>
    <n v="474.77"/>
    <d v="2023-10-06T18:26:45"/>
    <s v="Debit"/>
    <x v="35"/>
    <s v="D000164"/>
    <s v="65.124.242.67"/>
    <s v="M038"/>
    <s v="Online"/>
    <n v="46"/>
    <s v="Engineer"/>
    <n v="284"/>
    <n v="1"/>
    <n v="8494.5300000000007"/>
    <d v="2024-11-04T08:06:24"/>
    <n v="18"/>
    <s v="Friday"/>
    <n v="0.60687960934531804"/>
    <b v="0"/>
    <b v="0"/>
    <b v="1"/>
    <n v="0"/>
    <m/>
    <n v="0"/>
    <m/>
  </r>
  <r>
    <s v="TX002206"/>
    <s v="AC00419"/>
    <n v="451.7"/>
    <d v="2023-03-01T16:56:01"/>
    <s v="Debit"/>
    <x v="29"/>
    <s v="D000250"/>
    <s v="191.91.45.159"/>
    <s v="M017"/>
    <s v="Online"/>
    <n v="29"/>
    <s v="Engineer"/>
    <n v="103"/>
    <n v="1"/>
    <n v="8994.67"/>
    <d v="2024-11-04T08:10:51"/>
    <n v="16"/>
    <s v="Wednesday"/>
    <n v="0.52785821234867802"/>
    <b v="0"/>
    <b v="0"/>
    <b v="1"/>
    <n v="0"/>
    <m/>
    <n v="0"/>
    <m/>
  </r>
  <r>
    <s v="TX002207"/>
    <s v="AC00464"/>
    <n v="243.85"/>
    <d v="2023-12-20T16:41:44"/>
    <s v="Debit"/>
    <x v="32"/>
    <s v="D000300"/>
    <s v="197.162.55.147"/>
    <s v="M082"/>
    <s v="Branch"/>
    <n v="39"/>
    <s v="Engineer"/>
    <n v="43"/>
    <n v="1"/>
    <n v="4576.78"/>
    <d v="2024-11-04T08:08:53"/>
    <n v="16"/>
    <s v="Wednesday"/>
    <n v="-0.18408792400812801"/>
    <b v="0"/>
    <b v="0"/>
    <b v="1"/>
    <n v="0"/>
    <m/>
    <n v="0"/>
    <m/>
  </r>
  <r>
    <s v="TX002208"/>
    <s v="AC00430"/>
    <n v="5.76"/>
    <d v="2023-08-28T17:13:52"/>
    <s v="Debit"/>
    <x v="1"/>
    <s v="D000277"/>
    <s v="145.246.171.225"/>
    <s v="M070"/>
    <s v="Branch"/>
    <n v="38"/>
    <s v="Engineer"/>
    <n v="164"/>
    <n v="1"/>
    <n v="5859.79"/>
    <d v="2024-11-04T08:09:21"/>
    <n v="17"/>
    <s v="Monday"/>
    <n v="-0.99961477320318404"/>
    <b v="0"/>
    <b v="0"/>
    <b v="1"/>
    <n v="0"/>
    <m/>
    <n v="0"/>
    <m/>
  </r>
  <r>
    <s v="TX002209"/>
    <s v="AC00071"/>
    <n v="435.08"/>
    <d v="2023-07-24T16:01:27"/>
    <s v="Debit"/>
    <x v="23"/>
    <s v="D000513"/>
    <s v="109.211.212.135"/>
    <s v="M038"/>
    <s v="Online"/>
    <n v="55"/>
    <s v="Engineer"/>
    <n v="78"/>
    <n v="1"/>
    <n v="2103.41"/>
    <d v="2024-11-04T08:11:15"/>
    <n v="16"/>
    <s v="Monday"/>
    <n v="0.470929923745117"/>
    <b v="0"/>
    <b v="0"/>
    <b v="1"/>
    <n v="0"/>
    <m/>
    <n v="0"/>
    <m/>
  </r>
  <r>
    <s v="TX002210"/>
    <s v="AC00404"/>
    <n v="127.78"/>
    <d v="2023-04-25T16:41:32"/>
    <s v="Debit"/>
    <x v="19"/>
    <s v="D000586"/>
    <s v="112.196.12.19"/>
    <s v="M050"/>
    <s v="ATM"/>
    <n v="20"/>
    <s v="Student"/>
    <n v="170"/>
    <n v="1"/>
    <n v="1046.6600000000001"/>
    <d v="2024-11-04T08:10:26"/>
    <n v="16"/>
    <s v="Tuesday"/>
    <n v="-0.58166111643985596"/>
    <b v="0"/>
    <b v="0"/>
    <b v="1"/>
    <n v="0"/>
    <m/>
    <n v="0"/>
    <m/>
  </r>
  <r>
    <s v="TX002211"/>
    <s v="AC00349"/>
    <n v="23.14"/>
    <d v="2023-11-15T17:23:40"/>
    <s v="Credit"/>
    <x v="2"/>
    <s v="D000555"/>
    <s v="122.30.82.244"/>
    <s v="M064"/>
    <s v="Online"/>
    <n v="47"/>
    <s v="Doctor"/>
    <n v="93"/>
    <n v="1"/>
    <n v="10536.54"/>
    <d v="2024-11-04T08:09:21"/>
    <n v="17"/>
    <s v="Wednesday"/>
    <n v="-0.94008326562617495"/>
    <b v="0"/>
    <b v="0"/>
    <b v="1"/>
    <n v="0"/>
    <m/>
    <n v="0"/>
    <m/>
  </r>
  <r>
    <s v="TX002212"/>
    <s v="AC00235"/>
    <n v="545.87"/>
    <d v="2023-01-02T16:31:28"/>
    <s v="Debit"/>
    <x v="19"/>
    <s v="D000676"/>
    <s v="162.207.77.170"/>
    <s v="M026"/>
    <s v="Branch"/>
    <n v="27"/>
    <s v="Engineer"/>
    <n v="41"/>
    <n v="1"/>
    <n v="4860.01"/>
    <d v="2024-11-04T08:09:44"/>
    <n v="16"/>
    <s v="Monday"/>
    <n v="0.85041759488762803"/>
    <b v="0"/>
    <b v="0"/>
    <b v="1"/>
    <n v="0"/>
    <m/>
    <n v="0"/>
    <m/>
  </r>
  <r>
    <s v="TX002213"/>
    <s v="AC00228"/>
    <n v="21.21"/>
    <d v="2023-12-04T16:20:16"/>
    <s v="Debit"/>
    <x v="9"/>
    <s v="D000338"/>
    <s v="105.87.212.115"/>
    <s v="M063"/>
    <s v="Online"/>
    <n v="55"/>
    <s v="Engineer"/>
    <n v="37"/>
    <n v="1"/>
    <n v="9575.42"/>
    <d v="2024-11-04T08:07:18"/>
    <n v="16"/>
    <s v="Monday"/>
    <n v="-0.94669407170348396"/>
    <b v="0"/>
    <b v="0"/>
    <b v="1"/>
    <n v="0"/>
    <m/>
    <n v="0"/>
    <m/>
  </r>
  <r>
    <s v="TX002214"/>
    <s v="AC00024"/>
    <n v="423.53"/>
    <d v="2023-08-10T17:08:52"/>
    <s v="Credit"/>
    <x v="31"/>
    <s v="D000239"/>
    <s v="32.71.250.58"/>
    <s v="M025"/>
    <s v="Branch"/>
    <n v="50"/>
    <s v="Doctor"/>
    <n v="81"/>
    <n v="1"/>
    <n v="5453.4"/>
    <d v="2024-11-04T08:07:23"/>
    <n v="17"/>
    <s v="Thursday"/>
    <n v="0.43136784592495298"/>
    <b v="0"/>
    <b v="0"/>
    <b v="1"/>
    <n v="0"/>
    <m/>
    <n v="0"/>
    <m/>
  </r>
  <r>
    <s v="TX002215"/>
    <s v="AC00330"/>
    <n v="142.1"/>
    <d v="2023-06-08T17:08:06"/>
    <s v="Credit"/>
    <x v="23"/>
    <s v="D000244"/>
    <s v="158.129.49.240"/>
    <s v="M056"/>
    <s v="Online"/>
    <n v="18"/>
    <s v="Student"/>
    <n v="109"/>
    <n v="1"/>
    <n v="1545.64"/>
    <d v="2024-11-04T08:11:56"/>
    <n v="17"/>
    <s v="Thursday"/>
    <n v="-0.53261099051909899"/>
    <b v="0"/>
    <b v="0"/>
    <b v="1"/>
    <n v="0"/>
    <m/>
    <n v="0"/>
    <m/>
  </r>
  <r>
    <s v="TX002216"/>
    <s v="AC00290"/>
    <n v="1413.24"/>
    <d v="2023-11-06T18:59:24"/>
    <s v="Debit"/>
    <x v="22"/>
    <s v="D000356"/>
    <s v="166.41.54.117"/>
    <s v="M016"/>
    <s v="ATM"/>
    <n v="58"/>
    <s v="Engineer"/>
    <n v="199"/>
    <n v="1"/>
    <n v="7272.01"/>
    <d v="2024-11-04T08:11:26"/>
    <n v="18"/>
    <s v="Monday"/>
    <n v="3.8214097540976502"/>
    <b v="1"/>
    <b v="0"/>
    <b v="1"/>
    <n v="1"/>
    <m/>
    <n v="1"/>
    <m/>
  </r>
  <r>
    <s v="TX002217"/>
    <s v="AC00042"/>
    <n v="114.15"/>
    <d v="2023-02-21T16:47:54"/>
    <s v="Debit"/>
    <x v="4"/>
    <s v="D000395"/>
    <s v="49.29.37.185"/>
    <s v="M001"/>
    <s v="ATM"/>
    <n v="19"/>
    <s v="Student"/>
    <n v="52"/>
    <n v="1"/>
    <n v="1612.4"/>
    <d v="2024-11-04T08:08:38"/>
    <n v="16"/>
    <s v="Tuesday"/>
    <n v="-0.62834779355577297"/>
    <b v="0"/>
    <b v="0"/>
    <b v="1"/>
    <n v="0"/>
    <m/>
    <n v="0"/>
    <m/>
  </r>
  <r>
    <s v="TX002218"/>
    <s v="AC00203"/>
    <n v="275.98"/>
    <d v="2023-12-15T16:04:20"/>
    <s v="Credit"/>
    <x v="38"/>
    <s v="D000652"/>
    <s v="89.18.54.235"/>
    <s v="M053"/>
    <s v="Online"/>
    <n v="72"/>
    <s v="Retired"/>
    <n v="67"/>
    <n v="1"/>
    <n v="6151.05"/>
    <d v="2024-11-04T08:07:16"/>
    <n v="16"/>
    <s v="Friday"/>
    <n v="-7.4033416617490105E-2"/>
    <b v="0"/>
    <b v="0"/>
    <b v="1"/>
    <n v="0"/>
    <m/>
    <n v="0"/>
    <m/>
  </r>
  <r>
    <s v="TX002219"/>
    <s v="AC00248"/>
    <n v="590.67999999999995"/>
    <d v="2023-09-25T16:56:21"/>
    <s v="Debit"/>
    <x v="38"/>
    <s v="D000249"/>
    <s v="179.43.245.131"/>
    <s v="M037"/>
    <s v="Branch"/>
    <n v="27"/>
    <s v="Student"/>
    <n v="23"/>
    <n v="1"/>
    <n v="852.2"/>
    <d v="2024-11-04T08:09:15"/>
    <n v="16"/>
    <s v="Monday"/>
    <n v="1.0039047556773699"/>
    <b v="0"/>
    <b v="0"/>
    <b v="1"/>
    <n v="0"/>
    <m/>
    <n v="0"/>
    <m/>
  </r>
  <r>
    <s v="TX002220"/>
    <s v="AC00140"/>
    <n v="152.41999999999999"/>
    <d v="2023-10-23T16:45:37"/>
    <s v="Debit"/>
    <x v="24"/>
    <s v="D000164"/>
    <s v="38.166.40.246"/>
    <s v="M057"/>
    <s v="ATM"/>
    <n v="42"/>
    <s v="Doctor"/>
    <n v="176"/>
    <n v="1"/>
    <n v="9141.7900000000009"/>
    <d v="2024-11-04T08:12:18"/>
    <n v="16"/>
    <s v="Monday"/>
    <n v="-0.49726201709017298"/>
    <b v="0"/>
    <b v="0"/>
    <b v="1"/>
    <n v="0"/>
    <m/>
    <n v="0"/>
    <m/>
  </r>
  <r>
    <s v="TX002221"/>
    <s v="AC00095"/>
    <n v="395.77"/>
    <d v="2023-02-27T16:24:11"/>
    <s v="Credit"/>
    <x v="39"/>
    <s v="D000281"/>
    <s v="113.201.172.36"/>
    <s v="M095"/>
    <s v="Branch"/>
    <n v="43"/>
    <s v="Doctor"/>
    <n v="118"/>
    <n v="1"/>
    <n v="6425.99"/>
    <d v="2024-11-04T08:08:17"/>
    <n v="16"/>
    <s v="Monday"/>
    <n v="0.33628184763164098"/>
    <b v="0"/>
    <b v="0"/>
    <b v="1"/>
    <n v="0"/>
    <m/>
    <n v="0"/>
    <m/>
  </r>
  <r>
    <s v="TX002222"/>
    <s v="AC00225"/>
    <n v="615.16"/>
    <d v="2023-02-06T16:40:27"/>
    <s v="Debit"/>
    <x v="35"/>
    <s v="D000092"/>
    <s v="62.27.235.199"/>
    <s v="M080"/>
    <s v="Online"/>
    <n v="26"/>
    <s v="Student"/>
    <n v="140"/>
    <n v="1"/>
    <n v="214.61"/>
    <d v="2024-11-04T08:06:37"/>
    <n v="16"/>
    <s v="Monday"/>
    <n v="1.08775580892738"/>
    <b v="0"/>
    <b v="0"/>
    <b v="1"/>
    <n v="0"/>
    <m/>
    <n v="0"/>
    <m/>
  </r>
  <r>
    <s v="TX002223"/>
    <s v="AC00445"/>
    <n v="207.82"/>
    <d v="2023-02-28T16:34:45"/>
    <s v="Credit"/>
    <x v="17"/>
    <s v="D000181"/>
    <s v="32.71.250.58"/>
    <s v="M078"/>
    <s v="Online"/>
    <n v="19"/>
    <s v="Student"/>
    <n v="30"/>
    <n v="1"/>
    <n v="229.02"/>
    <d v="2024-11-04T08:07:02"/>
    <n v="16"/>
    <s v="Tuesday"/>
    <n v="-0.307501055078303"/>
    <b v="0"/>
    <b v="0"/>
    <b v="1"/>
    <n v="0"/>
    <m/>
    <n v="0"/>
    <m/>
  </r>
  <r>
    <s v="TX002224"/>
    <s v="AC00385"/>
    <n v="220.52"/>
    <d v="2023-06-07T16:07:22"/>
    <s v="Debit"/>
    <x v="6"/>
    <s v="D000512"/>
    <s v="47.82.77.181"/>
    <s v="M054"/>
    <s v="ATM"/>
    <n v="57"/>
    <s v="Retired"/>
    <n v="152"/>
    <n v="1"/>
    <n v="1793.09"/>
    <d v="2024-11-04T08:07:19"/>
    <n v="16"/>
    <s v="Wednesday"/>
    <n v="-0.263999895916737"/>
    <b v="0"/>
    <b v="0"/>
    <b v="1"/>
    <n v="0"/>
    <m/>
    <n v="0"/>
    <m/>
  </r>
  <r>
    <s v="TX002225"/>
    <s v="AC00143"/>
    <n v="281.47000000000003"/>
    <d v="2023-08-18T17:02:15"/>
    <s v="Debit"/>
    <x v="26"/>
    <s v="D000469"/>
    <s v="100.198.165.4"/>
    <s v="M029"/>
    <s v="ATM"/>
    <n v="34"/>
    <s v="Engineer"/>
    <n v="142"/>
    <n v="1"/>
    <n v="4437.4799999999996"/>
    <d v="2024-11-04T08:11:13"/>
    <n v="17"/>
    <s v="Friday"/>
    <n v="-5.5228584822451E-2"/>
    <b v="0"/>
    <b v="0"/>
    <b v="1"/>
    <n v="0"/>
    <m/>
    <n v="0"/>
    <m/>
  </r>
  <r>
    <s v="TX002226"/>
    <s v="AC00448"/>
    <n v="57.91"/>
    <d v="2023-11-28T16:45:08"/>
    <s v="Credit"/>
    <x v="30"/>
    <s v="D000391"/>
    <s v="73.156.208.26"/>
    <s v="M079"/>
    <s v="Branch"/>
    <n v="58"/>
    <s v="Engineer"/>
    <n v="97"/>
    <n v="1"/>
    <n v="3641.06"/>
    <d v="2024-11-04T08:07:03"/>
    <n v="16"/>
    <s v="Tuesday"/>
    <n v="-0.82098599759092705"/>
    <b v="0"/>
    <b v="0"/>
    <b v="1"/>
    <n v="0"/>
    <m/>
    <n v="0"/>
    <m/>
  </r>
  <r>
    <s v="TX002227"/>
    <s v="AC00273"/>
    <n v="30.48"/>
    <d v="2023-12-04T16:27:11"/>
    <s v="Credit"/>
    <x v="6"/>
    <s v="D000481"/>
    <s v="49.20.211.229"/>
    <s v="M073"/>
    <s v="Branch"/>
    <n v="32"/>
    <s v="Doctor"/>
    <n v="78"/>
    <n v="1"/>
    <n v="11481.85"/>
    <d v="2024-11-04T08:07:38"/>
    <n v="16"/>
    <s v="Monday"/>
    <n v="-0.91494165080366396"/>
    <b v="0"/>
    <b v="0"/>
    <b v="1"/>
    <n v="0"/>
    <m/>
    <n v="0"/>
    <m/>
  </r>
  <r>
    <s v="TX002228"/>
    <s v="AC00291"/>
    <n v="1152.58"/>
    <d v="2023-09-13T17:58:16"/>
    <s v="Debit"/>
    <x v="14"/>
    <s v="D000159"/>
    <s v="197.162.55.147"/>
    <s v="M020"/>
    <s v="Branch"/>
    <n v="65"/>
    <s v="Retired"/>
    <n v="180"/>
    <n v="1"/>
    <n v="7567.17"/>
    <d v="2024-11-04T08:11:45"/>
    <n v="17"/>
    <s v="Wednesday"/>
    <n v="2.92857415196743"/>
    <b v="1"/>
    <b v="0"/>
    <b v="1"/>
    <n v="1"/>
    <m/>
    <n v="1"/>
    <m/>
  </r>
  <r>
    <s v="TX002229"/>
    <s v="AC00337"/>
    <n v="453.09"/>
    <d v="2023-06-05T16:24:22"/>
    <s v="Debit"/>
    <x v="24"/>
    <s v="D000149"/>
    <s v="81.222.37.186"/>
    <s v="M088"/>
    <s v="Branch"/>
    <n v="48"/>
    <s v="Doctor"/>
    <n v="97"/>
    <n v="1"/>
    <n v="6708.65"/>
    <d v="2024-11-04T08:08:12"/>
    <n v="16"/>
    <s v="Monday"/>
    <n v="0.53261936283958999"/>
    <b v="0"/>
    <b v="0"/>
    <b v="1"/>
    <n v="0"/>
    <m/>
    <n v="0"/>
    <m/>
  </r>
  <r>
    <s v="TX002230"/>
    <s v="AC00332"/>
    <n v="424.47"/>
    <d v="2023-02-27T16:05:35"/>
    <s v="Debit"/>
    <x v="5"/>
    <s v="D000419"/>
    <s v="151.247.130.190"/>
    <s v="M050"/>
    <s v="Online"/>
    <n v="22"/>
    <s v="Student"/>
    <n v="116"/>
    <n v="1"/>
    <n v="5491.55"/>
    <d v="2024-11-04T08:08:43"/>
    <n v="16"/>
    <s v="Monday"/>
    <n v="0.43458761676053398"/>
    <b v="0"/>
    <b v="0"/>
    <b v="1"/>
    <n v="0"/>
    <m/>
    <n v="0"/>
    <m/>
  </r>
  <r>
    <s v="TX002231"/>
    <s v="AC00040"/>
    <n v="228.4"/>
    <d v="2023-01-05T16:22:12"/>
    <s v="Debit"/>
    <x v="32"/>
    <s v="D000315"/>
    <s v="149.46.124.220"/>
    <s v="M060"/>
    <s v="ATM"/>
    <n v="67"/>
    <s v="Doctor"/>
    <n v="116"/>
    <n v="1"/>
    <n v="9598.43"/>
    <d v="2024-11-04T08:09:36"/>
    <n v="16"/>
    <s v="Thursday"/>
    <n v="-0.237008625507828"/>
    <b v="0"/>
    <b v="0"/>
    <b v="1"/>
    <n v="0"/>
    <m/>
    <n v="0"/>
    <m/>
  </r>
  <r>
    <s v="TX002232"/>
    <s v="AC00089"/>
    <n v="67.17"/>
    <d v="2023-07-03T18:03:48"/>
    <s v="Debit"/>
    <x v="6"/>
    <s v="D000564"/>
    <s v="101.223.82.253"/>
    <s v="M034"/>
    <s v="Online"/>
    <n v="63"/>
    <s v="Doctor"/>
    <n v="48"/>
    <n v="1"/>
    <n v="14410.44"/>
    <d v="2024-11-04T08:08:55"/>
    <n v="18"/>
    <s v="Monday"/>
    <n v="-0.78926782957233699"/>
    <b v="0"/>
    <b v="0"/>
    <b v="1"/>
    <n v="0"/>
    <m/>
    <n v="0"/>
    <m/>
  </r>
  <r>
    <s v="TX002233"/>
    <s v="AC00231"/>
    <n v="284.89"/>
    <d v="2023-12-18T17:53:03"/>
    <s v="Debit"/>
    <x v="4"/>
    <s v="D000039"/>
    <s v="43.98.242.106"/>
    <s v="M042"/>
    <s v="Online"/>
    <n v="53"/>
    <s v="Doctor"/>
    <n v="115"/>
    <n v="1"/>
    <n v="9738.6"/>
    <d v="2024-11-04T08:06:51"/>
    <n v="17"/>
    <s v="Monday"/>
    <n v="-4.3514099441934899E-2"/>
    <b v="0"/>
    <b v="0"/>
    <b v="1"/>
    <n v="0"/>
    <m/>
    <n v="0"/>
    <m/>
  </r>
  <r>
    <s v="TX002234"/>
    <s v="AC00277"/>
    <n v="118.69"/>
    <d v="2023-02-13T18:36:21"/>
    <s v="Debit"/>
    <x v="32"/>
    <s v="D000217"/>
    <s v="152.140.239.181"/>
    <s v="M029"/>
    <s v="Online"/>
    <n v="33"/>
    <s v="Doctor"/>
    <n v="296"/>
    <n v="1"/>
    <n v="749.34"/>
    <d v="2024-11-04T08:10:00"/>
    <n v="18"/>
    <s v="Monday"/>
    <n v="-0.61279698547754402"/>
    <b v="0"/>
    <b v="0"/>
    <b v="1"/>
    <n v="0"/>
    <m/>
    <n v="0"/>
    <m/>
  </r>
  <r>
    <s v="TX002235"/>
    <s v="AC00465"/>
    <n v="221.33"/>
    <d v="2023-10-18T18:17:05"/>
    <s v="Debit"/>
    <x v="12"/>
    <s v="D000383"/>
    <s v="77.7.223.184"/>
    <s v="M015"/>
    <s v="ATM"/>
    <n v="27"/>
    <s v="Student"/>
    <n v="276"/>
    <n v="1"/>
    <n v="1185.43"/>
    <d v="2024-11-04T08:09:51"/>
    <n v="18"/>
    <s v="Wednesday"/>
    <n v="-0.26122541253714099"/>
    <b v="0"/>
    <b v="0"/>
    <b v="1"/>
    <n v="0"/>
    <m/>
    <n v="0"/>
    <m/>
  </r>
  <r>
    <s v="TX002236"/>
    <s v="AC00205"/>
    <n v="252.31"/>
    <d v="2023-03-29T16:10:33"/>
    <s v="Credit"/>
    <x v="6"/>
    <s v="D000419"/>
    <s v="47.167.178.158"/>
    <s v="M037"/>
    <s v="ATM"/>
    <n v="26"/>
    <s v="Student"/>
    <n v="172"/>
    <n v="1"/>
    <n v="1584.6"/>
    <d v="2024-11-04T08:12:07"/>
    <n v="16"/>
    <s v="Wednesday"/>
    <n v="-0.155109986487904"/>
    <b v="0"/>
    <b v="0"/>
    <b v="1"/>
    <n v="0"/>
    <m/>
    <n v="0"/>
    <m/>
  </r>
  <r>
    <s v="TX002237"/>
    <s v="AC00036"/>
    <n v="58.85"/>
    <d v="2023-05-15T17:15:25"/>
    <s v="Credit"/>
    <x v="20"/>
    <s v="D000517"/>
    <s v="221.169.49.152"/>
    <s v="M041"/>
    <s v="Online"/>
    <n v="71"/>
    <s v="Retired"/>
    <n v="115"/>
    <n v="1"/>
    <n v="1789.8"/>
    <d v="2024-11-04T08:06:34"/>
    <n v="17"/>
    <s v="Monday"/>
    <n v="-0.81776622675534705"/>
    <b v="0"/>
    <b v="0"/>
    <b v="1"/>
    <n v="0"/>
    <m/>
    <n v="0"/>
    <m/>
  </r>
  <r>
    <s v="TX002238"/>
    <s v="AC00227"/>
    <n v="194.68"/>
    <d v="2023-04-24T16:32:48"/>
    <s v="Debit"/>
    <x v="11"/>
    <s v="D000481"/>
    <s v="1.7.29.72"/>
    <s v="M002"/>
    <s v="Online"/>
    <n v="32"/>
    <s v="Doctor"/>
    <n v="165"/>
    <n v="1"/>
    <n v="14494.18"/>
    <d v="2024-11-04T08:11:54"/>
    <n v="16"/>
    <s v="Monday"/>
    <n v="-0.35250934101397002"/>
    <b v="0"/>
    <b v="0"/>
    <b v="1"/>
    <n v="0"/>
    <m/>
    <n v="0"/>
    <m/>
  </r>
  <r>
    <s v="TX002239"/>
    <s v="AC00251"/>
    <n v="433.53"/>
    <d v="2023-10-19T17:06:57"/>
    <s v="Debit"/>
    <x v="26"/>
    <s v="D000573"/>
    <s v="166.79.195.157"/>
    <s v="M098"/>
    <s v="Branch"/>
    <n v="38"/>
    <s v="Doctor"/>
    <n v="231"/>
    <n v="1"/>
    <n v="6368.32"/>
    <d v="2024-11-04T08:09:08"/>
    <n v="17"/>
    <s v="Thursday"/>
    <n v="0.46562072715453301"/>
    <b v="0"/>
    <b v="0"/>
    <b v="1"/>
    <n v="0"/>
    <m/>
    <n v="0"/>
    <m/>
  </r>
  <r>
    <s v="TX002240"/>
    <s v="AC00298"/>
    <n v="178.26"/>
    <d v="2023-10-16T16:55:59"/>
    <s v="Debit"/>
    <x v="5"/>
    <s v="D000302"/>
    <s v="92.90.132.79"/>
    <s v="M003"/>
    <s v="ATM"/>
    <n v="59"/>
    <s v="Retired"/>
    <n v="59"/>
    <n v="1"/>
    <n v="1137.1300000000001"/>
    <d v="2024-11-04T08:08:51"/>
    <n v="16"/>
    <s v="Monday"/>
    <n v="-0.40875257199294002"/>
    <b v="0"/>
    <b v="0"/>
    <b v="1"/>
    <n v="0"/>
    <m/>
    <n v="0"/>
    <m/>
  </r>
  <r>
    <s v="TX002241"/>
    <s v="AC00315"/>
    <n v="207.65"/>
    <d v="2023-09-11T16:52:21"/>
    <s v="Debit"/>
    <x v="23"/>
    <s v="D000511"/>
    <s v="152.234.65.155"/>
    <s v="M066"/>
    <s v="Online"/>
    <n v="34"/>
    <s v="Engineer"/>
    <n v="98"/>
    <n v="1"/>
    <n v="5143.8"/>
    <d v="2024-11-04T08:09:29"/>
    <n v="16"/>
    <s v="Monday"/>
    <n v="-0.308083354059206"/>
    <b v="0"/>
    <b v="0"/>
    <b v="1"/>
    <n v="0"/>
    <m/>
    <n v="0"/>
    <m/>
  </r>
  <r>
    <s v="TX002242"/>
    <s v="AC00292"/>
    <n v="237"/>
    <d v="2023-02-10T16:50:10"/>
    <s v="Debit"/>
    <x v="28"/>
    <s v="D000277"/>
    <s v="203.170.198.177"/>
    <s v="M076"/>
    <s v="Online"/>
    <n v="49"/>
    <s v="Doctor"/>
    <n v="115"/>
    <n v="1"/>
    <n v="14021.4"/>
    <d v="2024-11-04T08:08:13"/>
    <n v="16"/>
    <s v="Friday"/>
    <n v="-0.20755114765039001"/>
    <b v="0"/>
    <b v="0"/>
    <b v="1"/>
    <n v="0"/>
    <m/>
    <n v="0"/>
    <m/>
  </r>
  <r>
    <s v="TX002243"/>
    <s v="AC00252"/>
    <n v="1169.5899999999999"/>
    <d v="2023-12-25T17:12:21"/>
    <s v="Debit"/>
    <x v="22"/>
    <s v="D000484"/>
    <s v="142.184.68.230"/>
    <s v="M067"/>
    <s v="Online"/>
    <n v="28"/>
    <s v="Student"/>
    <n v="114"/>
    <n v="1"/>
    <n v="5946.45"/>
    <d v="2024-11-04T08:11:33"/>
    <n v="17"/>
    <s v="Monday"/>
    <n v="2.98683830293895"/>
    <b v="1"/>
    <b v="0"/>
    <b v="1"/>
    <n v="1"/>
    <m/>
    <n v="1"/>
    <m/>
  </r>
  <r>
    <s v="TX002244"/>
    <s v="AC00400"/>
    <n v="347.63"/>
    <d v="2023-12-13T16:41:13"/>
    <s v="Credit"/>
    <x v="29"/>
    <s v="D000561"/>
    <s v="166.79.195.157"/>
    <s v="M025"/>
    <s v="Online"/>
    <n v="25"/>
    <s v="Student"/>
    <n v="272"/>
    <n v="1"/>
    <n v="1400.04"/>
    <d v="2024-11-04T08:08:39"/>
    <n v="16"/>
    <s v="Wednesday"/>
    <n v="0.171388477392446"/>
    <b v="0"/>
    <b v="0"/>
    <b v="1"/>
    <n v="0"/>
    <m/>
    <n v="0"/>
    <m/>
  </r>
  <r>
    <s v="TX002245"/>
    <s v="AC00384"/>
    <n v="517.67999999999995"/>
    <d v="2023-04-05T17:52:24"/>
    <s v="Debit"/>
    <x v="32"/>
    <s v="D000076"/>
    <s v="59.145.242.13"/>
    <s v="M066"/>
    <s v="ATM"/>
    <n v="31"/>
    <s v="Doctor"/>
    <n v="24"/>
    <n v="1"/>
    <n v="11305.81"/>
    <d v="2024-11-04T08:08:06"/>
    <n v="17"/>
    <s v="Wednesday"/>
    <n v="0.75385872270144305"/>
    <b v="0"/>
    <b v="0"/>
    <b v="1"/>
    <n v="0"/>
    <m/>
    <n v="0"/>
    <m/>
  </r>
  <r>
    <s v="TX002246"/>
    <s v="AC00329"/>
    <n v="36.25"/>
    <d v="2023-11-27T18:28:57"/>
    <s v="Debit"/>
    <x v="28"/>
    <s v="D000284"/>
    <s v="188.205.152.176"/>
    <s v="M059"/>
    <s v="Branch"/>
    <n v="52"/>
    <s v="Doctor"/>
    <n v="76"/>
    <n v="1"/>
    <n v="193.06"/>
    <d v="2024-11-04T08:10:09"/>
    <n v="18"/>
    <s v="Monday"/>
    <n v="-0.895177738334196"/>
    <b v="0"/>
    <b v="0"/>
    <b v="1"/>
    <n v="0"/>
    <m/>
    <n v="0"/>
    <m/>
  </r>
  <r>
    <s v="TX002247"/>
    <s v="AC00033"/>
    <n v="46.53"/>
    <d v="2023-06-22T17:27:50"/>
    <s v="Debit"/>
    <x v="23"/>
    <s v="D000287"/>
    <s v="133.67.250.163"/>
    <s v="M082"/>
    <s v="ATM"/>
    <n v="42"/>
    <s v="Engineer"/>
    <n v="34"/>
    <n v="1"/>
    <n v="4468.12"/>
    <d v="2024-11-04T08:07:22"/>
    <n v="17"/>
    <s v="Thursday"/>
    <n v="-0.85996577643018901"/>
    <b v="0"/>
    <b v="0"/>
    <b v="1"/>
    <n v="0"/>
    <m/>
    <n v="0"/>
    <m/>
  </r>
  <r>
    <s v="TX002248"/>
    <s v="AC00003"/>
    <n v="207.47"/>
    <d v="2023-10-02T18:57:19"/>
    <s v="Debit"/>
    <x v="19"/>
    <s v="D000643"/>
    <s v="147.234.20.46"/>
    <s v="M045"/>
    <s v="ATM"/>
    <n v="53"/>
    <s v="Doctor"/>
    <n v="12"/>
    <n v="1"/>
    <n v="1688.9"/>
    <d v="2024-11-04T08:07:01"/>
    <n v="18"/>
    <s v="Monday"/>
    <n v="-0.308699905921338"/>
    <b v="0"/>
    <b v="0"/>
    <b v="1"/>
    <n v="0"/>
    <m/>
    <n v="0"/>
    <m/>
  </r>
  <r>
    <s v="TX002249"/>
    <s v="AC00429"/>
    <n v="199.7"/>
    <d v="2023-04-03T18:41:57"/>
    <s v="Debit"/>
    <x v="7"/>
    <s v="D000545"/>
    <s v="60.197.167.40"/>
    <s v="M084"/>
    <s v="ATM"/>
    <n v="43"/>
    <s v="Engineer"/>
    <n v="285"/>
    <n v="1"/>
    <n v="7574.45"/>
    <d v="2024-11-04T08:08:58"/>
    <n v="18"/>
    <s v="Monday"/>
    <n v="-0.33531439463672102"/>
    <b v="0"/>
    <b v="0"/>
    <b v="1"/>
    <n v="0"/>
    <m/>
    <n v="0"/>
    <m/>
  </r>
  <r>
    <s v="TX002250"/>
    <s v="AC00488"/>
    <n v="307.89"/>
    <d v="2023-07-10T16:34:43"/>
    <s v="Credit"/>
    <x v="9"/>
    <s v="D000260"/>
    <s v="136.250.159.93"/>
    <s v="M032"/>
    <s v="Online"/>
    <n v="62"/>
    <s v="Retired"/>
    <n v="90"/>
    <n v="1"/>
    <n v="2637.55"/>
    <d v="2024-11-04T08:11:34"/>
    <n v="16"/>
    <s v="Monday"/>
    <n v="3.5267527386097598E-2"/>
    <b v="0"/>
    <b v="0"/>
    <b v="1"/>
    <n v="0"/>
    <m/>
    <n v="0"/>
    <m/>
  </r>
  <r>
    <s v="TX002251"/>
    <s v="AC00325"/>
    <n v="403.63"/>
    <d v="2023-06-08T16:56:16"/>
    <s v="Debit"/>
    <x v="17"/>
    <s v="D000573"/>
    <s v="96.162.11.85"/>
    <s v="M042"/>
    <s v="Branch"/>
    <n v="31"/>
    <s v="Engineer"/>
    <n v="167"/>
    <n v="3"/>
    <n v="3304.02"/>
    <d v="2024-11-04T08:07:58"/>
    <n v="16"/>
    <s v="Thursday"/>
    <n v="0.36320461227808998"/>
    <b v="0"/>
    <b v="1"/>
    <b v="1"/>
    <n v="1"/>
    <m/>
    <n v="0"/>
    <m/>
  </r>
  <r>
    <s v="TX002252"/>
    <s v="AC00359"/>
    <n v="20.059999999999999"/>
    <d v="2023-04-19T16:41:27"/>
    <s v="Debit"/>
    <x v="11"/>
    <s v="D000184"/>
    <s v="206.168.209.111"/>
    <s v="M017"/>
    <s v="ATM"/>
    <n v="27"/>
    <s v="Student"/>
    <n v="144"/>
    <n v="1"/>
    <n v="445.21"/>
    <d v="2024-11-04T08:10:01"/>
    <n v="16"/>
    <s v="Wednesday"/>
    <n v="-0.95063315304488505"/>
    <b v="0"/>
    <b v="0"/>
    <b v="1"/>
    <n v="0"/>
    <m/>
    <n v="0"/>
    <m/>
  </r>
  <r>
    <s v="TX002253"/>
    <s v="AC00478"/>
    <n v="236.57"/>
    <d v="2023-09-01T17:51:34"/>
    <s v="Debit"/>
    <x v="30"/>
    <s v="D000656"/>
    <s v="173.135.78.201"/>
    <s v="M023"/>
    <s v="ATM"/>
    <n v="79"/>
    <s v="Retired"/>
    <n v="112"/>
    <n v="1"/>
    <n v="3488.77"/>
    <d v="2024-11-04T08:06:31"/>
    <n v="17"/>
    <s v="Friday"/>
    <n v="-0.209024021543262"/>
    <b v="0"/>
    <b v="0"/>
    <b v="1"/>
    <n v="0"/>
    <m/>
    <n v="0"/>
    <m/>
  </r>
  <r>
    <s v="TX002254"/>
    <s v="AC00236"/>
    <n v="0.32"/>
    <d v="2023-08-04T17:44:36"/>
    <s v="Debit"/>
    <x v="35"/>
    <s v="D000129"/>
    <s v="173.135.78.201"/>
    <s v="M033"/>
    <s v="ATM"/>
    <n v="39"/>
    <s v="Engineer"/>
    <n v="136"/>
    <n v="1"/>
    <n v="7158.58"/>
    <d v="2024-11-04T08:09:57"/>
    <n v="17"/>
    <s v="Friday"/>
    <n v="-1.0182483405920699"/>
    <b v="0"/>
    <b v="0"/>
    <b v="1"/>
    <n v="0"/>
    <m/>
    <n v="0"/>
    <m/>
  </r>
  <r>
    <s v="TX002255"/>
    <s v="AC00085"/>
    <n v="14.28"/>
    <d v="2023-09-15T17:03:44"/>
    <s v="Debit"/>
    <x v="37"/>
    <s v="D000429"/>
    <s v="200.136.146.93"/>
    <s v="M059"/>
    <s v="ATM"/>
    <n v="23"/>
    <s v="Student"/>
    <n v="81"/>
    <n v="1"/>
    <n v="1597.51"/>
    <d v="2024-11-04T08:07:23"/>
    <n v="17"/>
    <s v="Friday"/>
    <n v="-0.97043131839558205"/>
    <b v="0"/>
    <b v="0"/>
    <b v="1"/>
    <n v="0"/>
    <m/>
    <n v="0"/>
    <m/>
  </r>
  <r>
    <s v="TX002256"/>
    <s v="AC00349"/>
    <n v="232.35"/>
    <d v="2023-05-12T16:14:22"/>
    <s v="Credit"/>
    <x v="4"/>
    <s v="D000438"/>
    <s v="141.121.30.32"/>
    <s v="M048"/>
    <s v="Branch"/>
    <n v="33"/>
    <s v="Engineer"/>
    <n v="153"/>
    <n v="1"/>
    <n v="4186.25"/>
    <d v="2024-11-04T08:08:22"/>
    <n v="16"/>
    <s v="Friday"/>
    <n v="-0.223478737422145"/>
    <b v="0"/>
    <b v="0"/>
    <b v="1"/>
    <n v="0"/>
    <m/>
    <n v="0"/>
    <m/>
  </r>
  <r>
    <s v="TX002257"/>
    <s v="AC00314"/>
    <n v="317.52999999999997"/>
    <d v="2023-02-24T18:25:34"/>
    <s v="Debit"/>
    <x v="19"/>
    <s v="D000034"/>
    <s v="137.33.78.168"/>
    <s v="M070"/>
    <s v="Online"/>
    <n v="44"/>
    <s v="Engineer"/>
    <n v="104"/>
    <n v="1"/>
    <n v="6237.68"/>
    <d v="2024-11-04T08:06:39"/>
    <n v="18"/>
    <s v="Friday"/>
    <n v="6.8287304891412104E-2"/>
    <b v="0"/>
    <b v="0"/>
    <b v="1"/>
    <n v="0"/>
    <m/>
    <n v="0"/>
    <m/>
  </r>
  <r>
    <s v="TX002258"/>
    <s v="AC00056"/>
    <n v="74.67"/>
    <d v="2023-05-15T17:37:32"/>
    <s v="Debit"/>
    <x v="7"/>
    <s v="D000667"/>
    <s v="16.131.3.140"/>
    <s v="M074"/>
    <s v="ATM"/>
    <n v="43"/>
    <s v="Engineer"/>
    <n v="283"/>
    <n v="1"/>
    <n v="3449.35"/>
    <d v="2024-11-04T08:11:01"/>
    <n v="17"/>
    <s v="Monday"/>
    <n v="-0.76357816865015204"/>
    <b v="0"/>
    <b v="0"/>
    <b v="1"/>
    <n v="0"/>
    <m/>
    <n v="0"/>
    <m/>
  </r>
  <r>
    <s v="TX002259"/>
    <s v="AC00399"/>
    <n v="65.010000000000005"/>
    <d v="2023-10-24T17:28:18"/>
    <s v="Credit"/>
    <x v="14"/>
    <s v="D000697"/>
    <s v="93.115.61.201"/>
    <s v="M004"/>
    <s v="Online"/>
    <n v="29"/>
    <s v="Doctor"/>
    <n v="67"/>
    <n v="1"/>
    <n v="10235.19"/>
    <d v="2024-11-04T08:09:26"/>
    <n v="17"/>
    <s v="Tuesday"/>
    <n v="-0.79666645191792596"/>
    <b v="0"/>
    <b v="0"/>
    <b v="1"/>
    <n v="0"/>
    <m/>
    <n v="0"/>
    <m/>
  </r>
  <r>
    <s v="TX002260"/>
    <s v="AC00324"/>
    <n v="0.45"/>
    <d v="2023-07-26T17:29:24"/>
    <s v="Debit"/>
    <x v="31"/>
    <s v="D000334"/>
    <s v="5.50.152.168"/>
    <s v="M078"/>
    <s v="Branch"/>
    <n v="34"/>
    <s v="Engineer"/>
    <n v="172"/>
    <n v="1"/>
    <n v="8670.23"/>
    <d v="2024-11-04T08:10:09"/>
    <n v="17"/>
    <s v="Wednesday"/>
    <n v="-1.01780305313609"/>
    <b v="0"/>
    <b v="0"/>
    <b v="1"/>
    <n v="0"/>
    <m/>
    <n v="0"/>
    <m/>
  </r>
  <r>
    <s v="TX002261"/>
    <s v="AC00095"/>
    <n v="364.13"/>
    <d v="2023-02-03T16:06:00"/>
    <s v="Debit"/>
    <x v="18"/>
    <s v="D000080"/>
    <s v="13.149.61.4"/>
    <s v="M070"/>
    <s v="ATM"/>
    <n v="63"/>
    <s v="Doctor"/>
    <n v="61"/>
    <n v="1"/>
    <n v="8198"/>
    <d v="2024-11-04T08:10:23"/>
    <n v="16"/>
    <s v="Friday"/>
    <n v="0.22790573142125201"/>
    <b v="0"/>
    <b v="0"/>
    <b v="1"/>
    <n v="0"/>
    <m/>
    <n v="0"/>
    <m/>
  </r>
  <r>
    <s v="TX002262"/>
    <s v="AC00086"/>
    <n v="340.13"/>
    <d v="2023-02-06T17:23:52"/>
    <s v="Debit"/>
    <x v="2"/>
    <s v="D000203"/>
    <s v="165.35.58.173"/>
    <s v="M029"/>
    <s v="Branch"/>
    <n v="24"/>
    <s v="Student"/>
    <n v="32"/>
    <n v="3"/>
    <n v="1149.74"/>
    <d v="2024-11-04T08:11:48"/>
    <n v="17"/>
    <s v="Monday"/>
    <n v="0.14569881647026101"/>
    <b v="0"/>
    <b v="1"/>
    <b v="1"/>
    <n v="1"/>
    <m/>
    <n v="0"/>
    <m/>
  </r>
  <r>
    <s v="TX002263"/>
    <s v="AC00279"/>
    <n v="15.81"/>
    <d v="2023-03-02T18:36:55"/>
    <s v="Debit"/>
    <x v="5"/>
    <s v="D000606"/>
    <s v="96.24.89.146"/>
    <s v="M018"/>
    <s v="Branch"/>
    <n v="69"/>
    <s v="Doctor"/>
    <n v="11"/>
    <n v="4"/>
    <n v="8384.85"/>
    <d v="2024-11-04T08:12:06"/>
    <n v="18"/>
    <s v="Thursday"/>
    <n v="-0.96519062756745699"/>
    <b v="0"/>
    <b v="1"/>
    <b v="1"/>
    <n v="1"/>
    <m/>
    <n v="0"/>
    <m/>
  </r>
  <r>
    <s v="TX002264"/>
    <s v="AC00431"/>
    <n v="222.66"/>
    <d v="2023-06-28T16:05:19"/>
    <s v="Debit"/>
    <x v="8"/>
    <s v="D000106"/>
    <s v="35.67.21.23"/>
    <s v="M038"/>
    <s v="Online"/>
    <n v="39"/>
    <s v="Doctor"/>
    <n v="88"/>
    <n v="1"/>
    <n v="14466.38"/>
    <d v="2024-11-04T08:10:50"/>
    <n v="16"/>
    <s v="Wednesday"/>
    <n v="-0.25666977933360702"/>
    <b v="0"/>
    <b v="0"/>
    <b v="1"/>
    <n v="0"/>
    <m/>
    <n v="0"/>
    <m/>
  </r>
  <r>
    <s v="TX002265"/>
    <s v="AC00369"/>
    <n v="638.24"/>
    <d v="2023-03-09T18:04:32"/>
    <s v="Debit"/>
    <x v="37"/>
    <s v="D000225"/>
    <s v="29.168.185.63"/>
    <s v="M047"/>
    <s v="Branch"/>
    <n v="48"/>
    <s v="Engineer"/>
    <n v="64"/>
    <n v="1"/>
    <n v="5695.78"/>
    <d v="2024-11-04T08:11:49"/>
    <n v="18"/>
    <s v="Thursday"/>
    <n v="1.1668114588052501"/>
    <b v="0"/>
    <b v="0"/>
    <b v="1"/>
    <n v="0"/>
    <m/>
    <n v="0"/>
    <m/>
  </r>
  <r>
    <s v="TX002266"/>
    <s v="AC00089"/>
    <n v="241.21"/>
    <d v="2023-09-25T16:37:04"/>
    <s v="Debit"/>
    <x v="32"/>
    <s v="D000264"/>
    <s v="116.237.223.50"/>
    <s v="M037"/>
    <s v="ATM"/>
    <n v="31"/>
    <s v="Engineer"/>
    <n v="108"/>
    <n v="1"/>
    <n v="1220.8599999999999"/>
    <d v="2024-11-04T08:09:16"/>
    <n v="16"/>
    <s v="Monday"/>
    <n v="-0.193130684652737"/>
    <b v="0"/>
    <b v="0"/>
    <b v="1"/>
    <n v="0"/>
    <m/>
    <n v="0"/>
    <m/>
  </r>
  <r>
    <s v="TX002267"/>
    <s v="AC00035"/>
    <n v="171.16"/>
    <d v="2023-09-28T16:33:08"/>
    <s v="Debit"/>
    <x v="22"/>
    <s v="D000459"/>
    <s v="147.119.62.178"/>
    <s v="M058"/>
    <s v="Online"/>
    <n v="51"/>
    <s v="Retired"/>
    <n v="42"/>
    <n v="1"/>
    <n v="6126.5"/>
    <d v="2024-11-04T08:11:02"/>
    <n v="16"/>
    <s v="Thursday"/>
    <n v="-0.433072117665941"/>
    <b v="0"/>
    <b v="0"/>
    <b v="1"/>
    <n v="0"/>
    <m/>
    <n v="0"/>
    <m/>
  </r>
  <r>
    <s v="TX002268"/>
    <s v="AC00416"/>
    <n v="1360.67"/>
    <d v="2023-04-19T16:38:41"/>
    <s v="Debit"/>
    <x v="3"/>
    <s v="D000017"/>
    <s v="164.75.163.220"/>
    <s v="M092"/>
    <s v="Branch"/>
    <n v="29"/>
    <s v="Engineer"/>
    <n v="118"/>
    <n v="1"/>
    <n v="2861.65"/>
    <d v="2024-11-04T08:06:27"/>
    <n v="16"/>
    <s v="Wednesday"/>
    <n v="3.64134235747375"/>
    <b v="1"/>
    <b v="0"/>
    <b v="1"/>
    <n v="1"/>
    <m/>
    <n v="1"/>
    <m/>
  </r>
  <r>
    <s v="TX002269"/>
    <s v="AC00056"/>
    <n v="37.65"/>
    <d v="2023-09-25T17:29:01"/>
    <s v="Credit"/>
    <x v="24"/>
    <s v="D000211"/>
    <s v="219.219.117.136"/>
    <s v="M062"/>
    <s v="Online"/>
    <n v="27"/>
    <s v="Student"/>
    <n v="109"/>
    <n v="1"/>
    <n v="411.78"/>
    <d v="2024-11-04T08:11:02"/>
    <n v="17"/>
    <s v="Monday"/>
    <n v="-0.89038233496205499"/>
    <b v="0"/>
    <b v="0"/>
    <b v="1"/>
    <n v="0"/>
    <m/>
    <n v="0"/>
    <m/>
  </r>
  <r>
    <s v="TX002270"/>
    <s v="AC00197"/>
    <n v="25.77"/>
    <d v="2023-10-02T16:32:31"/>
    <s v="Debit"/>
    <x v="11"/>
    <s v="D000428"/>
    <s v="93.170.203.44"/>
    <s v="M054"/>
    <s v="Online"/>
    <n v="68"/>
    <s v="Retired"/>
    <n v="18"/>
    <n v="1"/>
    <n v="4331.54"/>
    <d v="2024-11-04T08:06:40"/>
    <n v="16"/>
    <s v="Monday"/>
    <n v="-0.93107475786279603"/>
    <b v="0"/>
    <b v="0"/>
    <b v="1"/>
    <n v="0"/>
    <m/>
    <n v="0"/>
    <m/>
  </r>
  <r>
    <s v="TX002271"/>
    <s v="AC00396"/>
    <n v="789.8"/>
    <d v="2023-07-10T16:04:39"/>
    <s v="Debit"/>
    <x v="36"/>
    <s v="D000271"/>
    <s v="63.82.133.139"/>
    <s v="M038"/>
    <s v="ATM"/>
    <n v="40"/>
    <s v="Doctor"/>
    <n v="94"/>
    <n v="1"/>
    <n v="13948.09"/>
    <d v="2024-11-04T08:07:32"/>
    <n v="16"/>
    <s v="Monday"/>
    <n v="1.6859481267207499"/>
    <b v="0"/>
    <b v="0"/>
    <b v="1"/>
    <n v="0"/>
    <m/>
    <n v="0"/>
    <m/>
  </r>
  <r>
    <s v="TX002272"/>
    <s v="AC00295"/>
    <n v="308.85000000000002"/>
    <d v="2023-11-29T18:03:46"/>
    <s v="Credit"/>
    <x v="16"/>
    <s v="D000342"/>
    <s v="116.43.88.219"/>
    <s v="M030"/>
    <s v="Branch"/>
    <n v="20"/>
    <s v="Student"/>
    <n v="33"/>
    <n v="2"/>
    <n v="333.19"/>
    <d v="2024-11-04T08:08:15"/>
    <n v="18"/>
    <s v="Wednesday"/>
    <n v="3.8555803984137299E-2"/>
    <b v="0"/>
    <b v="1"/>
    <b v="1"/>
    <n v="1"/>
    <m/>
    <n v="0"/>
    <m/>
  </r>
  <r>
    <s v="TX002273"/>
    <s v="AC00268"/>
    <n v="1454.52"/>
    <d v="2023-09-22T16:13:06"/>
    <s v="Debit"/>
    <x v="19"/>
    <s v="D000598"/>
    <s v="34.169.232.37"/>
    <s v="M088"/>
    <s v="ATM"/>
    <n v="27"/>
    <s v="Student"/>
    <n v="20"/>
    <n v="1"/>
    <n v="1189.03"/>
    <d v="2024-11-04T08:07:18"/>
    <n v="16"/>
    <s v="Friday"/>
    <n v="3.96280564781335"/>
    <b v="1"/>
    <b v="0"/>
    <b v="1"/>
    <n v="1"/>
    <m/>
    <n v="1"/>
    <m/>
  </r>
  <r>
    <s v="TX002274"/>
    <s v="AC00357"/>
    <n v="806.97"/>
    <d v="2023-03-07T17:48:05"/>
    <s v="Debit"/>
    <x v="6"/>
    <s v="D000691"/>
    <s v="193.221.15.59"/>
    <s v="M028"/>
    <s v="Online"/>
    <n v="25"/>
    <s v="Student"/>
    <n v="11"/>
    <n v="1"/>
    <n v="102.2"/>
    <d v="2024-11-04T08:08:53"/>
    <n v="17"/>
    <s v="Tuesday"/>
    <n v="1.74476032379194"/>
    <b v="0"/>
    <b v="0"/>
    <b v="1"/>
    <n v="0"/>
    <m/>
    <n v="0"/>
    <m/>
  </r>
  <r>
    <s v="TX002275"/>
    <s v="AC00490"/>
    <n v="364.81"/>
    <d v="2023-06-26T17:34:00"/>
    <s v="Debit"/>
    <x v="27"/>
    <s v="D000079"/>
    <s v="142.148.226.178"/>
    <s v="M027"/>
    <s v="Online"/>
    <n v="25"/>
    <s v="Student"/>
    <n v="53"/>
    <n v="1"/>
    <n v="1145.23"/>
    <d v="2024-11-04T08:07:19"/>
    <n v="17"/>
    <s v="Monday"/>
    <n v="0.23023492734486301"/>
    <b v="0"/>
    <b v="0"/>
    <b v="1"/>
    <n v="0"/>
    <m/>
    <n v="0"/>
    <m/>
  </r>
  <r>
    <s v="TX002276"/>
    <s v="AC00367"/>
    <n v="490.82"/>
    <d v="2023-06-01T18:04:35"/>
    <s v="Debit"/>
    <x v="31"/>
    <s v="D000573"/>
    <s v="17.36.132.202"/>
    <s v="M029"/>
    <s v="ATM"/>
    <n v="26"/>
    <s v="Engineer"/>
    <n v="114"/>
    <n v="1"/>
    <n v="8704.27"/>
    <d v="2024-11-04T08:09:41"/>
    <n v="18"/>
    <s v="Thursday"/>
    <n v="0.66185548371879299"/>
    <b v="0"/>
    <b v="0"/>
    <b v="1"/>
    <n v="0"/>
    <m/>
    <n v="0"/>
    <m/>
  </r>
  <r>
    <s v="TX002277"/>
    <s v="AC00093"/>
    <n v="1021.38"/>
    <d v="2023-01-27T18:59:43"/>
    <s v="Debit"/>
    <x v="8"/>
    <s v="D000256"/>
    <s v="62.152.134.92"/>
    <s v="M013"/>
    <s v="Branch"/>
    <n v="61"/>
    <s v="Doctor"/>
    <n v="125"/>
    <n v="1"/>
    <n v="6223.26"/>
    <d v="2024-11-04T08:08:46"/>
    <n v="18"/>
    <s v="Friday"/>
    <n v="2.4791763502353499"/>
    <b v="1"/>
    <b v="0"/>
    <b v="1"/>
    <n v="1"/>
    <m/>
    <n v="1"/>
    <m/>
  </r>
  <r>
    <s v="TX002278"/>
    <s v="AC00177"/>
    <n v="311.27999999999997"/>
    <d v="2023-05-22T16:41:12"/>
    <s v="Debit"/>
    <x v="4"/>
    <s v="D000515"/>
    <s v="188.205.152.176"/>
    <s v="M045"/>
    <s v="Branch"/>
    <n v="49"/>
    <s v="Doctor"/>
    <n v="198"/>
    <n v="1"/>
    <n v="135.96"/>
    <d v="2024-11-04T08:09:13"/>
    <n v="16"/>
    <s v="Monday"/>
    <n v="4.6879254122924902E-2"/>
    <b v="0"/>
    <b v="0"/>
    <b v="1"/>
    <n v="0"/>
    <m/>
    <n v="0"/>
    <m/>
  </r>
  <r>
    <s v="TX002279"/>
    <s v="AC00118"/>
    <n v="85.03"/>
    <d v="2023-04-10T16:52:51"/>
    <s v="Debit"/>
    <x v="0"/>
    <s v="D000109"/>
    <s v="160.65.101.37"/>
    <s v="M020"/>
    <s v="ATM"/>
    <n v="51"/>
    <s v="Retired"/>
    <n v="48"/>
    <n v="1"/>
    <n v="4597.57"/>
    <d v="2024-11-04T08:06:59"/>
    <n v="16"/>
    <s v="Monday"/>
    <n v="-0.72809218369630802"/>
    <b v="0"/>
    <b v="0"/>
    <b v="1"/>
    <n v="0"/>
    <m/>
    <n v="0"/>
    <m/>
  </r>
  <r>
    <s v="TX002280"/>
    <s v="AC00183"/>
    <n v="307.75"/>
    <d v="2023-04-12T17:54:47"/>
    <s v="Debit"/>
    <x v="8"/>
    <s v="D000612"/>
    <s v="39.129.125.110"/>
    <s v="M085"/>
    <s v="Branch"/>
    <n v="64"/>
    <s v="Doctor"/>
    <n v="63"/>
    <n v="1"/>
    <n v="1061.58"/>
    <d v="2024-11-04T08:10:03"/>
    <n v="17"/>
    <s v="Wednesday"/>
    <n v="3.4787987048883501E-2"/>
    <b v="0"/>
    <b v="0"/>
    <b v="1"/>
    <n v="0"/>
    <m/>
    <n v="0"/>
    <m/>
  </r>
  <r>
    <s v="TX002281"/>
    <s v="AC00137"/>
    <n v="333.67"/>
    <d v="2023-07-06T18:09:06"/>
    <s v="Debit"/>
    <x v="18"/>
    <s v="D000288"/>
    <s v="129.108.48.116"/>
    <s v="M037"/>
    <s v="Online"/>
    <n v="36"/>
    <s v="Engineer"/>
    <n v="68"/>
    <n v="1"/>
    <n v="9238.08"/>
    <d v="2024-11-04T08:08:44"/>
    <n v="18"/>
    <s v="Thursday"/>
    <n v="0.123571455195953"/>
    <b v="0"/>
    <b v="0"/>
    <b v="1"/>
    <n v="0"/>
    <m/>
    <n v="0"/>
    <m/>
  </r>
  <r>
    <s v="TX002282"/>
    <s v="AC00225"/>
    <n v="589.89"/>
    <d v="2023-10-20T16:29:44"/>
    <s v="Debit"/>
    <x v="36"/>
    <s v="D000252"/>
    <s v="88.55.149.101"/>
    <s v="M028"/>
    <s v="Branch"/>
    <n v="56"/>
    <s v="Engineer"/>
    <n v="213"/>
    <n v="3"/>
    <n v="9404.6299999999992"/>
    <d v="2024-11-04T08:12:03"/>
    <n v="16"/>
    <s v="Friday"/>
    <n v="1.0011987780602301"/>
    <b v="0"/>
    <b v="1"/>
    <b v="1"/>
    <n v="1"/>
    <m/>
    <n v="0"/>
    <m/>
  </r>
  <r>
    <s v="TX002283"/>
    <s v="AC00191"/>
    <n v="372.08"/>
    <d v="2023-03-06T16:37:23"/>
    <s v="Debit"/>
    <x v="1"/>
    <s v="D000470"/>
    <s v="102.203.223.1"/>
    <s v="M032"/>
    <s v="Branch"/>
    <n v="66"/>
    <s v="Doctor"/>
    <n v="63"/>
    <n v="1"/>
    <n v="13330.74"/>
    <d v="2024-11-04T08:12:15"/>
    <n v="16"/>
    <s v="Monday"/>
    <n v="0.255136771998767"/>
    <b v="0"/>
    <b v="0"/>
    <b v="1"/>
    <n v="0"/>
    <m/>
    <n v="0"/>
    <m/>
  </r>
  <r>
    <s v="TX002284"/>
    <s v="AC00373"/>
    <n v="502.9"/>
    <d v="2023-09-18T17:13:32"/>
    <s v="Credit"/>
    <x v="41"/>
    <s v="D000384"/>
    <s v="135.73.131.111"/>
    <s v="M001"/>
    <s v="Online"/>
    <n v="26"/>
    <s v="Student"/>
    <n v="141"/>
    <n v="1"/>
    <n v="341.24"/>
    <d v="2024-11-04T08:08:40"/>
    <n v="17"/>
    <s v="Monday"/>
    <n v="0.70323296424412496"/>
    <b v="0"/>
    <b v="0"/>
    <b v="1"/>
    <n v="0"/>
    <m/>
    <n v="0"/>
    <m/>
  </r>
  <r>
    <s v="TX002285"/>
    <s v="AC00167"/>
    <n v="103.81"/>
    <d v="2023-09-27T16:39:38"/>
    <s v="Debit"/>
    <x v="5"/>
    <s v="D000283"/>
    <s v="214.32.109.197"/>
    <s v="M098"/>
    <s v="ATM"/>
    <n v="36"/>
    <s v="Doctor"/>
    <n v="34"/>
    <n v="1"/>
    <n v="7044.63"/>
    <d v="2024-11-04T08:11:54"/>
    <n v="16"/>
    <s v="Wednesday"/>
    <n v="-0.66376527274715802"/>
    <b v="0"/>
    <b v="0"/>
    <b v="1"/>
    <n v="0"/>
    <m/>
    <n v="0"/>
    <m/>
  </r>
  <r>
    <s v="TX002286"/>
    <s v="AC00149"/>
    <n v="69.430000000000007"/>
    <d v="2023-02-06T17:38:53"/>
    <s v="Debit"/>
    <x v="17"/>
    <s v="D000472"/>
    <s v="134.247.5.188"/>
    <s v="M003"/>
    <s v="ATM"/>
    <n v="30"/>
    <s v="Engineer"/>
    <n v="162"/>
    <n v="1"/>
    <n v="9281.85"/>
    <d v="2024-11-04T08:08:31"/>
    <n v="17"/>
    <s v="Monday"/>
    <n v="-0.781526678414452"/>
    <b v="0"/>
    <b v="0"/>
    <b v="1"/>
    <n v="0"/>
    <m/>
    <n v="0"/>
    <m/>
  </r>
  <r>
    <s v="TX002287"/>
    <s v="AC00453"/>
    <n v="110.4"/>
    <d v="2023-09-21T16:52:18"/>
    <s v="Credit"/>
    <x v="0"/>
    <s v="D000153"/>
    <s v="60.43.160.195"/>
    <s v="M033"/>
    <s v="ATM"/>
    <n v="56"/>
    <s v="Doctor"/>
    <n v="62"/>
    <n v="1"/>
    <n v="8639.36"/>
    <d v="2024-11-04T08:08:33"/>
    <n v="16"/>
    <s v="Thursday"/>
    <n v="-0.64119262401686505"/>
    <b v="0"/>
    <b v="0"/>
    <b v="1"/>
    <n v="0"/>
    <m/>
    <n v="0"/>
    <m/>
  </r>
  <r>
    <s v="TX002288"/>
    <s v="AC00253"/>
    <n v="275.64999999999998"/>
    <d v="2023-08-14T16:52:32"/>
    <s v="Credit"/>
    <x v="4"/>
    <s v="D000241"/>
    <s v="6.44.165.160"/>
    <s v="M013"/>
    <s v="Branch"/>
    <n v="28"/>
    <s v="Engineer"/>
    <n v="14"/>
    <n v="1"/>
    <n v="4957.57"/>
    <d v="2024-11-04T08:08:18"/>
    <n v="16"/>
    <s v="Monday"/>
    <n v="-7.5163761698066295E-2"/>
    <b v="0"/>
    <b v="0"/>
    <b v="1"/>
    <n v="0"/>
    <m/>
    <n v="0"/>
    <m/>
  </r>
  <r>
    <s v="TX002289"/>
    <s v="AC00149"/>
    <n v="336.01"/>
    <d v="2023-11-09T18:45:10"/>
    <s v="Debit"/>
    <x v="40"/>
    <s v="D000216"/>
    <s v="16.250.113.156"/>
    <s v="M043"/>
    <s v="Online"/>
    <n v="63"/>
    <s v="Doctor"/>
    <n v="121"/>
    <n v="4"/>
    <n v="9938.2000000000007"/>
    <d v="2024-11-04T08:08:51"/>
    <n v="18"/>
    <s v="Thursday"/>
    <n v="0.13158662940367399"/>
    <b v="0"/>
    <b v="1"/>
    <b v="1"/>
    <n v="1"/>
    <m/>
    <n v="0"/>
    <m/>
  </r>
  <r>
    <s v="TX002290"/>
    <s v="AC00359"/>
    <n v="251.8"/>
    <d v="2023-04-03T16:14:34"/>
    <s v="Debit"/>
    <x v="2"/>
    <s v="D000657"/>
    <s v="59.208.79.116"/>
    <s v="M020"/>
    <s v="ATM"/>
    <n v="62"/>
    <s v="Doctor"/>
    <n v="102"/>
    <n v="1"/>
    <n v="11796.66"/>
    <d v="2024-11-04T08:10:15"/>
    <n v="16"/>
    <s v="Monday"/>
    <n v="-0.15685688343061299"/>
    <b v="0"/>
    <b v="0"/>
    <b v="1"/>
    <n v="0"/>
    <m/>
    <n v="0"/>
    <m/>
  </r>
  <r>
    <s v="TX002291"/>
    <s v="AC00050"/>
    <n v="334.07"/>
    <d v="2023-08-11T17:27:16"/>
    <s v="Debit"/>
    <x v="22"/>
    <s v="D000440"/>
    <s v="100.4.40.132"/>
    <s v="M054"/>
    <s v="Branch"/>
    <n v="59"/>
    <s v="Engineer"/>
    <n v="200"/>
    <n v="1"/>
    <n v="7306.79"/>
    <d v="2024-11-04T08:10:28"/>
    <n v="17"/>
    <s v="Friday"/>
    <n v="0.124941570445136"/>
    <b v="0"/>
    <b v="0"/>
    <b v="1"/>
    <n v="0"/>
    <m/>
    <n v="0"/>
    <m/>
  </r>
  <r>
    <s v="TX002292"/>
    <s v="AC00054"/>
    <n v="52.44"/>
    <d v="2023-09-06T18:56:24"/>
    <s v="Debit"/>
    <x v="3"/>
    <s v="D000427"/>
    <s v="101.223.82.253"/>
    <s v="M046"/>
    <s v="Online"/>
    <n v="27"/>
    <s v="Student"/>
    <n v="87"/>
    <n v="1"/>
    <n v="3157.75"/>
    <d v="2024-11-04T08:09:31"/>
    <n v="18"/>
    <s v="Wednesday"/>
    <n v="-0.83972232362350796"/>
    <b v="0"/>
    <b v="0"/>
    <b v="1"/>
    <n v="0"/>
    <m/>
    <n v="0"/>
    <m/>
  </r>
  <r>
    <s v="TX002293"/>
    <s v="AC00388"/>
    <n v="1030.8499999999999"/>
    <d v="2023-09-04T17:22:24"/>
    <s v="Debit"/>
    <x v="0"/>
    <s v="D000645"/>
    <s v="121.67.144.20"/>
    <s v="M060"/>
    <s v="ATM"/>
    <n v="25"/>
    <s v="Student"/>
    <n v="39"/>
    <n v="1"/>
    <n v="1941.8"/>
    <d v="2024-11-04T08:11:01"/>
    <n v="17"/>
    <s v="Monday"/>
    <n v="2.51161382875976"/>
    <b v="1"/>
    <b v="0"/>
    <b v="1"/>
    <n v="1"/>
    <m/>
    <n v="1"/>
    <m/>
  </r>
  <r>
    <s v="TX002294"/>
    <s v="AC00322"/>
    <n v="141.37"/>
    <d v="2023-07-21T16:54:10"/>
    <s v="Debit"/>
    <x v="13"/>
    <s v="D000119"/>
    <s v="52.196.112.199"/>
    <s v="M026"/>
    <s v="Online"/>
    <n v="46"/>
    <s v="Engineer"/>
    <n v="77"/>
    <n v="1"/>
    <n v="1019.77"/>
    <d v="2024-11-04T08:11:41"/>
    <n v="16"/>
    <s v="Friday"/>
    <n v="-0.53511145084885803"/>
    <b v="0"/>
    <b v="0"/>
    <b v="1"/>
    <n v="0"/>
    <m/>
    <n v="0"/>
    <m/>
  </r>
  <r>
    <s v="TX002295"/>
    <s v="AC00140"/>
    <n v="211.7"/>
    <d v="2023-11-13T16:58:19"/>
    <s v="Credit"/>
    <x v="29"/>
    <s v="D000157"/>
    <s v="59.127.135.25"/>
    <s v="M064"/>
    <s v="Online"/>
    <n v="50"/>
    <s v="Doctor"/>
    <n v="205"/>
    <n v="1"/>
    <n v="12272.78"/>
    <d v="2024-11-04T08:07:08"/>
    <n v="16"/>
    <s v="Monday"/>
    <n v="-0.29421093716122598"/>
    <b v="0"/>
    <b v="0"/>
    <b v="1"/>
    <n v="0"/>
    <m/>
    <n v="0"/>
    <m/>
  </r>
  <r>
    <s v="TX002296"/>
    <s v="AC00138"/>
    <n v="61.4"/>
    <d v="2023-01-30T16:45:11"/>
    <s v="Debit"/>
    <x v="24"/>
    <s v="D000599"/>
    <s v="63.191.171.41"/>
    <s v="M073"/>
    <s v="Branch"/>
    <n v="41"/>
    <s v="Engineer"/>
    <n v="20"/>
    <n v="2"/>
    <n v="7892.87"/>
    <d v="2024-11-04T08:08:27"/>
    <n v="16"/>
    <s v="Monday"/>
    <n v="-0.80903174204180395"/>
    <b v="0"/>
    <b v="1"/>
    <b v="1"/>
    <n v="1"/>
    <m/>
    <n v="0"/>
    <m/>
  </r>
  <r>
    <s v="TX002297"/>
    <s v="AC00408"/>
    <n v="308.23"/>
    <d v="2023-04-17T16:12:22"/>
    <s v="Debit"/>
    <x v="17"/>
    <s v="D000008"/>
    <s v="198.73.211.114"/>
    <s v="M058"/>
    <s v="ATM"/>
    <n v="60"/>
    <s v="Retired"/>
    <n v="23"/>
    <n v="1"/>
    <n v="4150.63"/>
    <d v="2024-11-04T08:11:35"/>
    <n v="16"/>
    <s v="Monday"/>
    <n v="3.6432125347903403E-2"/>
    <b v="0"/>
    <b v="0"/>
    <b v="1"/>
    <n v="0"/>
    <m/>
    <n v="0"/>
    <m/>
  </r>
  <r>
    <s v="TX002298"/>
    <s v="AC00219"/>
    <n v="111.41"/>
    <d v="2023-12-27T17:18:17"/>
    <s v="Debit"/>
    <x v="29"/>
    <s v="D000162"/>
    <s v="18.72.115.111"/>
    <s v="M079"/>
    <s v="Branch"/>
    <n v="21"/>
    <s v="Student"/>
    <n v="181"/>
    <n v="1"/>
    <n v="1204.1099999999999"/>
    <d v="2024-11-04T08:10:44"/>
    <n v="17"/>
    <s v="Wednesday"/>
    <n v="-0.63773308301267795"/>
    <b v="0"/>
    <b v="0"/>
    <b v="1"/>
    <n v="0"/>
    <m/>
    <n v="0"/>
    <m/>
  </r>
  <r>
    <s v="TX002299"/>
    <s v="AC00339"/>
    <n v="675.49"/>
    <d v="2023-03-15T16:16:53"/>
    <s v="Debit"/>
    <x v="27"/>
    <s v="D000420"/>
    <s v="205.45.234.42"/>
    <s v="M065"/>
    <s v="ATM"/>
    <n v="61"/>
    <s v="Retired"/>
    <n v="159"/>
    <n v="1"/>
    <n v="1893"/>
    <d v="2024-11-04T08:10:47"/>
    <n v="16"/>
    <s v="Wednesday"/>
    <n v="1.29440344138543"/>
    <b v="0"/>
    <b v="0"/>
    <b v="1"/>
    <n v="0"/>
    <m/>
    <n v="0"/>
    <m/>
  </r>
  <r>
    <s v="TX002300"/>
    <s v="AC00446"/>
    <n v="29.72"/>
    <d v="2023-07-19T17:16:18"/>
    <s v="Debit"/>
    <x v="25"/>
    <s v="D000132"/>
    <s v="203.99.96.114"/>
    <s v="M084"/>
    <s v="ATM"/>
    <n v="26"/>
    <s v="Student"/>
    <n v="38"/>
    <n v="1"/>
    <n v="1059.6199999999999"/>
    <d v="2024-11-04T08:07:50"/>
    <n v="17"/>
    <s v="Wednesday"/>
    <n v="-0.91754486977711203"/>
    <b v="0"/>
    <b v="0"/>
    <b v="1"/>
    <n v="0"/>
    <m/>
    <n v="0"/>
    <m/>
  </r>
  <r>
    <s v="TX002301"/>
    <s v="AC00038"/>
    <n v="301.73"/>
    <d v="2023-06-27T16:40:58"/>
    <s v="Debit"/>
    <x v="28"/>
    <s v="D000006"/>
    <s v="165.143.173.165"/>
    <s v="M044"/>
    <s v="Online"/>
    <n v="67"/>
    <s v="Doctor"/>
    <n v="163"/>
    <n v="1"/>
    <n v="990.74"/>
    <d v="2024-11-04T08:07:10"/>
    <n v="16"/>
    <s v="Tuesday"/>
    <n v="1.4167752548676801E-2"/>
    <b v="0"/>
    <b v="0"/>
    <b v="1"/>
    <n v="0"/>
    <m/>
    <n v="0"/>
    <m/>
  </r>
  <r>
    <s v="TX002302"/>
    <s v="AC00387"/>
    <n v="294.61"/>
    <d v="2023-09-28T18:53:02"/>
    <s v="Debit"/>
    <x v="32"/>
    <s v="D000652"/>
    <s v="216.32.4.105"/>
    <s v="M046"/>
    <s v="Branch"/>
    <n v="60"/>
    <s v="Retired"/>
    <n v="74"/>
    <n v="1"/>
    <n v="7375.59"/>
    <d v="2024-11-04T08:07:33"/>
    <n v="18"/>
    <s v="Thursday"/>
    <n v="-1.0220298886783699E-2"/>
    <b v="0"/>
    <b v="0"/>
    <b v="1"/>
    <n v="0"/>
    <m/>
    <n v="0"/>
    <m/>
  </r>
  <r>
    <s v="TX002303"/>
    <s v="AC00126"/>
    <n v="106.43"/>
    <d v="2023-04-17T17:32:12"/>
    <s v="Credit"/>
    <x v="37"/>
    <s v="D000498"/>
    <s v="147.114.91.132"/>
    <s v="M063"/>
    <s v="ATM"/>
    <n v="52"/>
    <s v="Engineer"/>
    <n v="164"/>
    <n v="1"/>
    <n v="9403.1200000000008"/>
    <d v="2024-11-04T08:10:35"/>
    <n v="17"/>
    <s v="Monday"/>
    <n v="-0.65479101786500804"/>
    <b v="0"/>
    <b v="0"/>
    <b v="1"/>
    <n v="0"/>
    <m/>
    <n v="0"/>
    <m/>
  </r>
  <r>
    <s v="TX002304"/>
    <s v="AC00155"/>
    <n v="381.52"/>
    <d v="2023-11-20T16:42:12"/>
    <s v="Debit"/>
    <x v="6"/>
    <s v="D000306"/>
    <s v="188.124.181.12"/>
    <s v="M052"/>
    <s v="Online"/>
    <n v="36"/>
    <s v="Doctor"/>
    <n v="79"/>
    <n v="1"/>
    <n v="5798.92"/>
    <d v="2024-11-04T08:11:07"/>
    <n v="16"/>
    <s v="Monday"/>
    <n v="0.28747149187949"/>
    <b v="0"/>
    <b v="0"/>
    <b v="1"/>
    <n v="0"/>
    <m/>
    <n v="0"/>
    <m/>
  </r>
  <r>
    <s v="TX002305"/>
    <s v="AC00494"/>
    <n v="1142.76"/>
    <d v="2023-03-15T17:10:12"/>
    <s v="Credit"/>
    <x v="1"/>
    <s v="D000027"/>
    <s v="145.246.171.225"/>
    <s v="M058"/>
    <s v="Online"/>
    <n v="25"/>
    <s v="Student"/>
    <n v="71"/>
    <n v="1"/>
    <n v="1498.93"/>
    <d v="2024-11-04T08:10:03"/>
    <n v="17"/>
    <s v="Wednesday"/>
    <n v="2.89493782259999"/>
    <b v="1"/>
    <b v="0"/>
    <b v="1"/>
    <n v="1"/>
    <m/>
    <n v="1"/>
    <m/>
  </r>
  <r>
    <s v="TX002306"/>
    <s v="AC00202"/>
    <n v="5.66"/>
    <d v="2023-12-04T18:43:37"/>
    <s v="Debit"/>
    <x v="41"/>
    <s v="D000082"/>
    <s v="173.135.78.201"/>
    <s v="M029"/>
    <s v="Branch"/>
    <n v="40"/>
    <s v="Engineer"/>
    <n v="33"/>
    <n v="1"/>
    <n v="5434.64"/>
    <d v="2024-11-04T08:11:43"/>
    <n v="18"/>
    <s v="Monday"/>
    <n v="-0.99995730201548005"/>
    <b v="0"/>
    <b v="0"/>
    <b v="1"/>
    <n v="0"/>
    <m/>
    <n v="0"/>
    <m/>
  </r>
  <r>
    <s v="TX002307"/>
    <s v="AC00489"/>
    <n v="209.09"/>
    <d v="2023-11-07T18:44:46"/>
    <s v="Debit"/>
    <x v="33"/>
    <s v="D000058"/>
    <s v="7.105.184.86"/>
    <s v="M091"/>
    <s v="ATM"/>
    <n v="48"/>
    <s v="Doctor"/>
    <n v="203"/>
    <n v="1"/>
    <n v="9100.81"/>
    <d v="2024-11-04T08:06:31"/>
    <n v="18"/>
    <s v="Tuesday"/>
    <n v="-0.30315093916214603"/>
    <b v="0"/>
    <b v="0"/>
    <b v="1"/>
    <n v="0"/>
    <m/>
    <n v="0"/>
    <m/>
  </r>
  <r>
    <s v="TX002308"/>
    <s v="AC00378"/>
    <n v="521.80999999999995"/>
    <d v="2023-11-16T17:26:37"/>
    <s v="Debit"/>
    <x v="33"/>
    <s v="D000495"/>
    <s v="210.98.198.143"/>
    <s v="M058"/>
    <s v="ATM"/>
    <n v="47"/>
    <s v="Engineer"/>
    <n v="34"/>
    <n v="1"/>
    <n v="4750.96"/>
    <d v="2024-11-04T08:07:27"/>
    <n v="17"/>
    <s v="Thursday"/>
    <n v="0.768005162649259"/>
    <b v="0"/>
    <b v="0"/>
    <b v="1"/>
    <n v="0"/>
    <m/>
    <n v="0"/>
    <m/>
  </r>
  <r>
    <s v="TX002309"/>
    <s v="AC00255"/>
    <n v="588.36"/>
    <d v="2023-01-09T16:08:44"/>
    <s v="Debit"/>
    <x v="27"/>
    <s v="D000356"/>
    <s v="82.51.236.134"/>
    <s v="M068"/>
    <s v="Online"/>
    <n v="33"/>
    <s v="Engineer"/>
    <n v="134"/>
    <n v="1"/>
    <n v="8434.99"/>
    <d v="2024-11-04T08:10:22"/>
    <n v="16"/>
    <s v="Monday"/>
    <n v="0.99595808723210999"/>
    <b v="0"/>
    <b v="0"/>
    <b v="1"/>
    <n v="0"/>
    <m/>
    <n v="0"/>
    <m/>
  </r>
  <r>
    <s v="TX002310"/>
    <s v="AC00331"/>
    <n v="146.66999999999999"/>
    <d v="2023-10-31T16:05:00"/>
    <s v="Debit"/>
    <x v="10"/>
    <s v="D000534"/>
    <s v="184.185.209.72"/>
    <s v="M025"/>
    <s v="Online"/>
    <n v="20"/>
    <s v="Student"/>
    <n v="273"/>
    <n v="1"/>
    <n v="1569.75"/>
    <d v="2024-11-04T08:11:06"/>
    <n v="16"/>
    <s v="Tuesday"/>
    <n v="-0.51695742379718101"/>
    <b v="0"/>
    <b v="0"/>
    <b v="1"/>
    <n v="0"/>
    <m/>
    <n v="0"/>
    <m/>
  </r>
  <r>
    <s v="TX002311"/>
    <s v="AC00243"/>
    <n v="176.52"/>
    <d v="2023-03-14T17:06:18"/>
    <s v="Credit"/>
    <x v="0"/>
    <s v="D000333"/>
    <s v="223.32.70.156"/>
    <s v="M022"/>
    <s v="Online"/>
    <n v="73"/>
    <s v="Retired"/>
    <n v="94"/>
    <n v="5"/>
    <n v="7132.08"/>
    <d v="2024-11-04T08:08:41"/>
    <n v="17"/>
    <s v="Tuesday"/>
    <n v="-0.41471257332688599"/>
    <b v="0"/>
    <b v="1"/>
    <b v="1"/>
    <n v="1"/>
    <m/>
    <n v="0"/>
    <m/>
  </r>
  <r>
    <s v="TX002312"/>
    <s v="AC00066"/>
    <n v="57.34"/>
    <d v="2023-10-23T16:03:49"/>
    <s v="Debit"/>
    <x v="4"/>
    <s v="D000370"/>
    <s v="18.92.67.57"/>
    <s v="M089"/>
    <s v="Online"/>
    <n v="27"/>
    <s v="Student"/>
    <n v="81"/>
    <n v="1"/>
    <n v="1100.6400000000001"/>
    <d v="2024-11-04T08:10:22"/>
    <n v="16"/>
    <s v="Monday"/>
    <n v="-0.82293841182101402"/>
    <b v="0"/>
    <b v="0"/>
    <b v="1"/>
    <n v="0"/>
    <m/>
    <n v="0"/>
    <m/>
  </r>
  <r>
    <s v="TX002313"/>
    <s v="AC00166"/>
    <n v="294.77"/>
    <d v="2023-10-10T17:16:59"/>
    <s v="Debit"/>
    <x v="26"/>
    <s v="D000451"/>
    <s v="27.93.195.98"/>
    <s v="M087"/>
    <s v="Online"/>
    <n v="77"/>
    <s v="Retired"/>
    <n v="101"/>
    <n v="1"/>
    <n v="2272.17"/>
    <d v="2024-11-04T08:10:02"/>
    <n v="17"/>
    <s v="Tuesday"/>
    <n v="-9.67225278711056E-3"/>
    <b v="0"/>
    <b v="0"/>
    <b v="1"/>
    <n v="0"/>
    <m/>
    <n v="0"/>
    <m/>
  </r>
  <r>
    <s v="TX002314"/>
    <s v="AC00288"/>
    <n v="881.32"/>
    <d v="2023-08-31T17:29:03"/>
    <s v="Debit"/>
    <x v="39"/>
    <s v="D000354"/>
    <s v="190.152.148.249"/>
    <s v="M015"/>
    <s v="Online"/>
    <n v="31"/>
    <s v="Engineer"/>
    <n v="59"/>
    <n v="1"/>
    <n v="2287.9299999999998"/>
    <d v="2024-11-04T08:06:52"/>
    <n v="17"/>
    <s v="Thursday"/>
    <n v="1.99943049573386"/>
    <b v="0"/>
    <b v="0"/>
    <b v="1"/>
    <n v="0"/>
    <m/>
    <n v="0"/>
    <m/>
  </r>
  <r>
    <s v="TX002315"/>
    <s v="AC00005"/>
    <n v="162.59"/>
    <d v="2023-02-22T16:18:32"/>
    <s v="Debit"/>
    <x v="7"/>
    <s v="D000401"/>
    <s v="201.95.180.152"/>
    <s v="M098"/>
    <s v="Branch"/>
    <n v="64"/>
    <s v="Retired"/>
    <n v="19"/>
    <n v="1"/>
    <n v="7104.83"/>
    <d v="2024-11-04T08:08:46"/>
    <n v="16"/>
    <s v="Wednesday"/>
    <n v="-0.46242683687969"/>
    <b v="0"/>
    <b v="0"/>
    <b v="1"/>
    <n v="0"/>
    <m/>
    <n v="0"/>
    <m/>
  </r>
  <r>
    <s v="TX002316"/>
    <s v="AC00191"/>
    <n v="56.15"/>
    <d v="2023-12-28T18:53:29"/>
    <s v="Debit"/>
    <x v="9"/>
    <s v="D000336"/>
    <s v="216.79.134.201"/>
    <s v="M089"/>
    <s v="Branch"/>
    <n v="31"/>
    <s v="Doctor"/>
    <n v="77"/>
    <n v="1"/>
    <n v="13265.92"/>
    <d v="2024-11-04T08:09:03"/>
    <n v="18"/>
    <s v="Thursday"/>
    <n v="-0.82701450468733395"/>
    <b v="0"/>
    <b v="0"/>
    <b v="1"/>
    <n v="0"/>
    <m/>
    <n v="0"/>
    <m/>
  </r>
  <r>
    <s v="TX002317"/>
    <s v="AC00443"/>
    <n v="524.54999999999995"/>
    <d v="2023-09-19T16:32:00"/>
    <s v="Debit"/>
    <x v="39"/>
    <s v="D000279"/>
    <s v="76.0.164.168"/>
    <s v="M039"/>
    <s v="ATM"/>
    <n v="39"/>
    <s v="Doctor"/>
    <n v="175"/>
    <n v="1"/>
    <n v="8292.75"/>
    <d v="2024-11-04T08:07:00"/>
    <n v="16"/>
    <s v="Tuesday"/>
    <n v="0.77739045210616398"/>
    <b v="0"/>
    <b v="0"/>
    <b v="1"/>
    <n v="0"/>
    <m/>
    <n v="0"/>
    <m/>
  </r>
  <r>
    <s v="TX002318"/>
    <s v="AC00096"/>
    <n v="535.4"/>
    <d v="2023-05-12T18:38:11"/>
    <s v="Debit"/>
    <x v="0"/>
    <s v="D000453"/>
    <s v="49.29.37.185"/>
    <s v="M023"/>
    <s v="Branch"/>
    <n v="23"/>
    <s v="Student"/>
    <n v="110"/>
    <n v="1"/>
    <n v="651.84"/>
    <d v="2024-11-04T08:08:50"/>
    <n v="18"/>
    <s v="Friday"/>
    <n v="0.81455482824025804"/>
    <b v="0"/>
    <b v="0"/>
    <b v="1"/>
    <n v="0"/>
    <m/>
    <n v="0"/>
    <m/>
  </r>
  <r>
    <s v="TX002319"/>
    <s v="AC00225"/>
    <n v="56.84"/>
    <d v="2023-08-14T17:29:30"/>
    <s v="Debit"/>
    <x v="3"/>
    <s v="D000654"/>
    <s v="155.140.33.42"/>
    <s v="M088"/>
    <s v="ATM"/>
    <n v="45"/>
    <s v="Engineer"/>
    <n v="185"/>
    <n v="1"/>
    <n v="7977.78"/>
    <d v="2024-11-04T08:09:53"/>
    <n v="17"/>
    <s v="Monday"/>
    <n v="-0.82465105588249299"/>
    <b v="0"/>
    <b v="0"/>
    <b v="1"/>
    <n v="0"/>
    <m/>
    <n v="0"/>
    <m/>
  </r>
  <r>
    <s v="TX002320"/>
    <s v="AC00042"/>
    <n v="135.94"/>
    <d v="2023-01-18T16:48:32"/>
    <s v="Debit"/>
    <x v="1"/>
    <s v="D000489"/>
    <s v="58.1.27.124"/>
    <s v="M020"/>
    <s v="Branch"/>
    <n v="71"/>
    <s v="Retired"/>
    <n v="258"/>
    <n v="1"/>
    <n v="4710.21"/>
    <d v="2024-11-04T08:10:02"/>
    <n v="16"/>
    <s v="Wednesday"/>
    <n v="-0.55371076535651997"/>
    <b v="0"/>
    <b v="0"/>
    <b v="1"/>
    <n v="0"/>
    <m/>
    <n v="0"/>
    <m/>
  </r>
  <r>
    <s v="TX002321"/>
    <s v="AC00460"/>
    <n v="47.1"/>
    <d v="2023-07-03T17:26:49"/>
    <s v="Credit"/>
    <x v="38"/>
    <s v="D000545"/>
    <s v="21.190.11.223"/>
    <s v="M021"/>
    <s v="Branch"/>
    <n v="42"/>
    <s v="Doctor"/>
    <n v="178"/>
    <n v="1"/>
    <n v="6308.07"/>
    <d v="2024-11-04T08:09:40"/>
    <n v="17"/>
    <s v="Monday"/>
    <n v="-0.85801336220010305"/>
    <b v="0"/>
    <b v="0"/>
    <b v="1"/>
    <n v="0"/>
    <m/>
    <n v="0"/>
    <m/>
  </r>
  <r>
    <s v="TX002322"/>
    <s v="AC00378"/>
    <n v="124.05"/>
    <d v="2023-10-25T16:50:02"/>
    <s v="Credit"/>
    <x v="10"/>
    <s v="D000652"/>
    <s v="193.217.248.188"/>
    <s v="M031"/>
    <s v="Branch"/>
    <n v="61"/>
    <s v="Doctor"/>
    <n v="220"/>
    <n v="1"/>
    <n v="7009.54"/>
    <d v="2024-11-04T08:12:09"/>
    <n v="16"/>
    <s v="Wednesday"/>
    <n v="-0.59443744113848895"/>
    <b v="0"/>
    <b v="0"/>
    <b v="1"/>
    <n v="0"/>
    <m/>
    <n v="0"/>
    <m/>
  </r>
  <r>
    <s v="TX002323"/>
    <s v="AC00322"/>
    <n v="802.89"/>
    <d v="2023-08-28T18:32:00"/>
    <s v="Debit"/>
    <x v="29"/>
    <s v="D000050"/>
    <s v="139.23.212.102"/>
    <s v="M037"/>
    <s v="ATM"/>
    <n v="19"/>
    <s v="Student"/>
    <n v="175"/>
    <n v="1"/>
    <n v="1973.63"/>
    <d v="2024-11-04T08:11:17"/>
    <n v="18"/>
    <s v="Monday"/>
    <n v="1.7307851482502701"/>
    <b v="0"/>
    <b v="0"/>
    <b v="1"/>
    <n v="0"/>
    <m/>
    <n v="0"/>
    <m/>
  </r>
  <r>
    <s v="TX002324"/>
    <s v="AC00328"/>
    <n v="193.16"/>
    <d v="2023-04-06T16:41:31"/>
    <s v="Debit"/>
    <x v="27"/>
    <s v="D000295"/>
    <s v="137.135.250.168"/>
    <s v="M100"/>
    <s v="ATM"/>
    <n v="64"/>
    <s v="Retired"/>
    <n v="109"/>
    <n v="1"/>
    <n v="2304.56"/>
    <d v="2024-11-04T08:07:13"/>
    <n v="16"/>
    <s v="Thursday"/>
    <n v="-0.35771577896086598"/>
    <b v="0"/>
    <b v="0"/>
    <b v="1"/>
    <n v="0"/>
    <m/>
    <n v="0"/>
    <m/>
  </r>
  <r>
    <s v="TX002325"/>
    <s v="AC00337"/>
    <n v="541.52"/>
    <d v="2023-06-28T17:47:15"/>
    <s v="Credit"/>
    <x v="7"/>
    <s v="D000336"/>
    <s v="160.65.101.37"/>
    <s v="M094"/>
    <s v="Branch"/>
    <n v="48"/>
    <s v="Engineer"/>
    <n v="161"/>
    <n v="1"/>
    <n v="6087.24"/>
    <d v="2024-11-04T08:08:36"/>
    <n v="17"/>
    <s v="Wednesday"/>
    <n v="0.83551759155276095"/>
    <b v="0"/>
    <b v="0"/>
    <b v="1"/>
    <n v="0"/>
    <m/>
    <n v="0"/>
    <m/>
  </r>
  <r>
    <s v="TX002326"/>
    <s v="AC00003"/>
    <n v="20.170000000000002"/>
    <d v="2023-01-02T16:45:05"/>
    <s v="Debit"/>
    <x v="25"/>
    <s v="D000287"/>
    <s v="221.23.158.87"/>
    <s v="M088"/>
    <s v="ATM"/>
    <n v="77"/>
    <s v="Retired"/>
    <n v="86"/>
    <n v="1"/>
    <n v="3869.37"/>
    <d v="2024-11-04T08:08:39"/>
    <n v="16"/>
    <s v="Monday"/>
    <n v="-0.95025637135135999"/>
    <b v="0"/>
    <b v="0"/>
    <b v="1"/>
    <n v="0"/>
    <m/>
    <n v="0"/>
    <m/>
  </r>
  <r>
    <s v="TX002327"/>
    <s v="AC00146"/>
    <n v="35.979999999999997"/>
    <d v="2023-08-17T16:14:47"/>
    <s v="Credit"/>
    <x v="9"/>
    <s v="D000662"/>
    <s v="216.31.34.238"/>
    <s v="M004"/>
    <s v="Branch"/>
    <n v="40"/>
    <s v="Doctor"/>
    <n v="133"/>
    <n v="1"/>
    <n v="11147.34"/>
    <d v="2024-11-04T08:06:59"/>
    <n v="16"/>
    <s v="Thursday"/>
    <n v="-0.89610256612739503"/>
    <b v="0"/>
    <b v="0"/>
    <b v="1"/>
    <n v="0"/>
    <m/>
    <n v="0"/>
    <m/>
  </r>
  <r>
    <s v="TX002328"/>
    <s v="AC00004"/>
    <n v="273.24"/>
    <d v="2023-12-12T16:56:18"/>
    <s v="Debit"/>
    <x v="41"/>
    <s v="D000626"/>
    <s v="211.45.75.44"/>
    <s v="M011"/>
    <s v="Branch"/>
    <n v="51"/>
    <s v="Retired"/>
    <n v="173"/>
    <n v="1"/>
    <n v="2202.21"/>
    <d v="2024-11-04T08:10:05"/>
    <n v="16"/>
    <s v="Tuesday"/>
    <n v="-8.3418706074394902E-2"/>
    <b v="0"/>
    <b v="0"/>
    <b v="1"/>
    <n v="0"/>
    <m/>
    <n v="0"/>
    <m/>
  </r>
  <r>
    <s v="TX002329"/>
    <s v="AC00386"/>
    <n v="663.45"/>
    <d v="2023-12-12T17:20:46"/>
    <s v="Debit"/>
    <x v="10"/>
    <s v="D000564"/>
    <s v="156.187.182.236"/>
    <s v="M076"/>
    <s v="ATM"/>
    <n v="67"/>
    <s v="Retired"/>
    <n v="147"/>
    <n v="1"/>
    <n v="5897.29"/>
    <d v="2024-11-04T08:11:40"/>
    <n v="17"/>
    <s v="Tuesday"/>
    <n v="1.2531629723850199"/>
    <b v="0"/>
    <b v="0"/>
    <b v="1"/>
    <n v="0"/>
    <m/>
    <n v="0"/>
    <m/>
  </r>
  <r>
    <s v="TX002330"/>
    <s v="AC00187"/>
    <n v="343.86"/>
    <d v="2023-02-13T16:44:51"/>
    <s v="Debit"/>
    <x v="27"/>
    <s v="D000134"/>
    <s v="201.95.180.152"/>
    <s v="M058"/>
    <s v="Branch"/>
    <n v="57"/>
    <s v="Engineer"/>
    <n v="70"/>
    <n v="1"/>
    <n v="3278.65"/>
    <d v="2024-11-04T08:09:48"/>
    <n v="16"/>
    <s v="Monday"/>
    <n v="0.158475141168894"/>
    <b v="0"/>
    <b v="0"/>
    <b v="1"/>
    <n v="0"/>
    <m/>
    <n v="0"/>
    <m/>
  </r>
  <r>
    <s v="TX002331"/>
    <s v="AC00415"/>
    <n v="69.38"/>
    <d v="2023-01-11T16:09:36"/>
    <s v="Debit"/>
    <x v="8"/>
    <s v="D000191"/>
    <s v="22.196.202.183"/>
    <s v="M042"/>
    <s v="Branch"/>
    <n v="69"/>
    <s v="Doctor"/>
    <n v="280"/>
    <n v="2"/>
    <n v="12072.11"/>
    <d v="2024-11-04T08:11:12"/>
    <n v="16"/>
    <s v="Wednesday"/>
    <n v="-0.78169794282060001"/>
    <b v="0"/>
    <b v="1"/>
    <b v="1"/>
    <n v="1"/>
    <m/>
    <n v="0"/>
    <m/>
  </r>
  <r>
    <s v="TX002332"/>
    <s v="AC00315"/>
    <n v="75.430000000000007"/>
    <d v="2023-08-14T16:01:57"/>
    <s v="Debit"/>
    <x v="41"/>
    <s v="D000280"/>
    <s v="5.50.152.168"/>
    <s v="M096"/>
    <s v="ATM"/>
    <n v="77"/>
    <s v="Retired"/>
    <n v="266"/>
    <n v="1"/>
    <n v="1441.86"/>
    <d v="2024-11-04T08:11:19"/>
    <n v="16"/>
    <s v="Monday"/>
    <n v="-0.76097494967670398"/>
    <b v="0"/>
    <b v="0"/>
    <b v="1"/>
    <n v="0"/>
    <m/>
    <n v="0"/>
    <m/>
  </r>
  <r>
    <s v="TX002333"/>
    <s v="AC00297"/>
    <n v="414.64"/>
    <d v="2023-04-03T16:27:24"/>
    <s v="Debit"/>
    <x v="2"/>
    <s v="D000698"/>
    <s v="158.129.49.240"/>
    <s v="M060"/>
    <s v="Branch"/>
    <n v="32"/>
    <s v="Doctor"/>
    <n v="74"/>
    <n v="1"/>
    <n v="7253.22"/>
    <d v="2024-11-04T08:09:17"/>
    <n v="16"/>
    <s v="Monday"/>
    <n v="0.40091703451185701"/>
    <b v="0"/>
    <b v="0"/>
    <b v="1"/>
    <n v="0"/>
    <m/>
    <n v="0"/>
    <m/>
  </r>
  <r>
    <s v="TX002334"/>
    <s v="AC00304"/>
    <n v="86.79"/>
    <d v="2023-01-23T16:31:30"/>
    <s v="Debit"/>
    <x v="18"/>
    <s v="D000514"/>
    <s v="204.120.80.105"/>
    <s v="M100"/>
    <s v="Branch"/>
    <n v="33"/>
    <s v="Doctor"/>
    <n v="166"/>
    <n v="1"/>
    <n v="8795.3700000000008"/>
    <d v="2024-11-04T08:07:48"/>
    <n v="16"/>
    <s v="Monday"/>
    <n v="-0.722063676599902"/>
    <b v="0"/>
    <b v="0"/>
    <b v="1"/>
    <n v="0"/>
    <m/>
    <n v="0"/>
    <m/>
  </r>
  <r>
    <s v="TX002335"/>
    <s v="AC00016"/>
    <n v="1105.8800000000001"/>
    <d v="2023-03-06T17:37:32"/>
    <s v="Debit"/>
    <x v="32"/>
    <s v="D000159"/>
    <s v="41.82.55.163"/>
    <s v="M047"/>
    <s v="ATM"/>
    <n v="34"/>
    <s v="Engineer"/>
    <n v="36"/>
    <n v="1"/>
    <n v="2636.32"/>
    <d v="2024-11-04T08:11:22"/>
    <n v="17"/>
    <s v="Monday"/>
    <n v="2.7686131966252998"/>
    <b v="1"/>
    <b v="0"/>
    <b v="1"/>
    <n v="1"/>
    <m/>
    <n v="1"/>
    <m/>
  </r>
  <r>
    <s v="TX002336"/>
    <s v="AC00048"/>
    <n v="14.1"/>
    <d v="2023-12-25T17:13:46"/>
    <s v="Debit"/>
    <x v="12"/>
    <s v="D000099"/>
    <s v="164.75.163.220"/>
    <s v="M027"/>
    <s v="Branch"/>
    <n v="45"/>
    <s v="Engineer"/>
    <n v="73"/>
    <n v="1"/>
    <n v="6949.21"/>
    <d v="2024-11-04T08:08:16"/>
    <n v="17"/>
    <s v="Monday"/>
    <n v="-0.971047870257715"/>
    <b v="0"/>
    <b v="0"/>
    <b v="1"/>
    <n v="0"/>
    <m/>
    <n v="0"/>
    <m/>
  </r>
  <r>
    <s v="TX002337"/>
    <s v="AC00485"/>
    <n v="63.33"/>
    <d v="2023-12-26T17:10:01"/>
    <s v="Credit"/>
    <x v="12"/>
    <s v="D000485"/>
    <s v="7.28.148.225"/>
    <s v="M014"/>
    <s v="Branch"/>
    <n v="23"/>
    <s v="Student"/>
    <n v="124"/>
    <n v="1"/>
    <n v="792.33"/>
    <d v="2024-11-04T08:12:02"/>
    <n v="17"/>
    <s v="Tuesday"/>
    <n v="-0.80242093596449604"/>
    <b v="0"/>
    <b v="0"/>
    <b v="1"/>
    <n v="0"/>
    <m/>
    <n v="0"/>
    <m/>
  </r>
  <r>
    <s v="TX002338"/>
    <s v="AC00064"/>
    <n v="606.27"/>
    <d v="2023-06-22T17:05:42"/>
    <s v="Debit"/>
    <x v="12"/>
    <s v="D000326"/>
    <s v="12.71.148.184"/>
    <s v="M018"/>
    <s v="Branch"/>
    <n v="29"/>
    <s v="Doctor"/>
    <n v="42"/>
    <n v="1"/>
    <n v="9668.7800000000007"/>
    <d v="2024-11-04T08:09:33"/>
    <n v="17"/>
    <s v="Thursday"/>
    <n v="1.0573049975142801"/>
    <b v="0"/>
    <b v="0"/>
    <b v="1"/>
    <n v="0"/>
    <m/>
    <n v="0"/>
    <m/>
  </r>
  <r>
    <s v="TX002339"/>
    <s v="AC00081"/>
    <n v="4.47"/>
    <d v="2023-08-14T16:20:49"/>
    <s v="Debit"/>
    <x v="21"/>
    <s v="D000239"/>
    <s v="147.234.20.46"/>
    <s v="M033"/>
    <s v="Branch"/>
    <n v="27"/>
    <s v="Student"/>
    <n v="132"/>
    <n v="1"/>
    <n v="1381.75"/>
    <d v="2024-11-04T08:10:24"/>
    <n v="16"/>
    <s v="Monday"/>
    <n v="-1.0040333948818001"/>
    <b v="0"/>
    <b v="0"/>
    <b v="1"/>
    <n v="0"/>
    <m/>
    <n v="0"/>
    <m/>
  </r>
  <r>
    <s v="TX002340"/>
    <s v="AC00228"/>
    <n v="289.01"/>
    <d v="2023-08-28T16:41:21"/>
    <s v="Debit"/>
    <x v="19"/>
    <s v="D000202"/>
    <s v="191.91.45.159"/>
    <s v="M044"/>
    <s v="Online"/>
    <n v="66"/>
    <s v="Retired"/>
    <n v="96"/>
    <n v="1"/>
    <n v="4226.26"/>
    <d v="2024-11-04T08:08:12"/>
    <n v="16"/>
    <s v="Monday"/>
    <n v="-2.9401912375348199E-2"/>
    <b v="0"/>
    <b v="0"/>
    <b v="1"/>
    <n v="0"/>
    <m/>
    <n v="0"/>
    <m/>
  </r>
  <r>
    <s v="TX002341"/>
    <s v="AC00204"/>
    <n v="338.69"/>
    <d v="2023-10-23T18:46:51"/>
    <s v="Debit"/>
    <x v="33"/>
    <s v="D000476"/>
    <s v="48.89.167.189"/>
    <s v="M026"/>
    <s v="Branch"/>
    <n v="18"/>
    <s v="Student"/>
    <n v="169"/>
    <n v="1"/>
    <n v="1137.8900000000001"/>
    <d v="2024-11-04T08:06:32"/>
    <n v="18"/>
    <s v="Monday"/>
    <n v="0.140766401573202"/>
    <b v="0"/>
    <b v="0"/>
    <b v="1"/>
    <n v="0"/>
    <m/>
    <n v="0"/>
    <m/>
  </r>
  <r>
    <s v="TX002342"/>
    <s v="AC00144"/>
    <n v="97.73"/>
    <d v="2023-05-29T17:55:23"/>
    <s v="Debit"/>
    <x v="30"/>
    <s v="D000038"/>
    <s v="135.29.211.116"/>
    <s v="M018"/>
    <s v="Branch"/>
    <n v="69"/>
    <s v="Doctor"/>
    <n v="156"/>
    <n v="1"/>
    <n v="7885.21"/>
    <d v="2024-11-04T08:08:27"/>
    <n v="17"/>
    <s v="Monday"/>
    <n v="-0.68459102453474197"/>
    <b v="0"/>
    <b v="0"/>
    <b v="1"/>
    <n v="0"/>
    <m/>
    <n v="0"/>
    <m/>
  </r>
  <r>
    <s v="TX002343"/>
    <s v="AC00420"/>
    <n v="1021.16"/>
    <d v="2023-10-16T17:32:16"/>
    <s v="Debit"/>
    <x v="10"/>
    <s v="D000100"/>
    <s v="175.230.206.232"/>
    <s v="M046"/>
    <s v="ATM"/>
    <n v="20"/>
    <s v="Student"/>
    <n v="104"/>
    <n v="1"/>
    <n v="9427.06"/>
    <d v="2024-11-04T08:07:50"/>
    <n v="17"/>
    <s v="Monday"/>
    <n v="2.4784227868483"/>
    <b v="1"/>
    <b v="0"/>
    <b v="1"/>
    <n v="1"/>
    <m/>
    <n v="1"/>
    <m/>
  </r>
  <r>
    <s v="TX002344"/>
    <s v="AC00448"/>
    <n v="27.61"/>
    <d v="2023-03-10T16:28:07"/>
    <s v="Credit"/>
    <x v="18"/>
    <s v="D000463"/>
    <s v="116.43.88.219"/>
    <s v="M015"/>
    <s v="ATM"/>
    <n v="54"/>
    <s v="Retired"/>
    <n v="26"/>
    <n v="1"/>
    <n v="3679.64"/>
    <d v="2024-11-04T08:09:16"/>
    <n v="16"/>
    <s v="Friday"/>
    <n v="-0.92477222771655299"/>
    <b v="0"/>
    <b v="0"/>
    <b v="1"/>
    <n v="0"/>
    <m/>
    <n v="0"/>
    <m/>
  </r>
  <r>
    <s v="TX002345"/>
    <s v="AC00363"/>
    <n v="284.17"/>
    <d v="2023-05-24T16:02:39"/>
    <s v="Debit"/>
    <x v="11"/>
    <s v="D000247"/>
    <s v="40.192.99.27"/>
    <s v="M074"/>
    <s v="ATM"/>
    <n v="51"/>
    <s v="Retired"/>
    <n v="189"/>
    <n v="1"/>
    <n v="3479.56"/>
    <d v="2024-11-04T08:08:05"/>
    <n v="16"/>
    <s v="Wednesday"/>
    <n v="-4.5980306890464603E-2"/>
    <b v="0"/>
    <b v="0"/>
    <b v="1"/>
    <n v="0"/>
    <m/>
    <n v="0"/>
    <m/>
  </r>
  <r>
    <s v="TX002346"/>
    <s v="AC00396"/>
    <n v="76.209999999999994"/>
    <d v="2023-01-10T16:41:42"/>
    <s v="Debit"/>
    <x v="16"/>
    <s v="D000275"/>
    <s v="40.198.240.246"/>
    <s v="M055"/>
    <s v="Branch"/>
    <n v="22"/>
    <s v="Student"/>
    <n v="69"/>
    <n v="1"/>
    <n v="664.93"/>
    <d v="2024-11-04T08:10:44"/>
    <n v="16"/>
    <s v="Tuesday"/>
    <n v="-0.75830322494079705"/>
    <b v="0"/>
    <b v="0"/>
    <b v="1"/>
    <n v="0"/>
    <m/>
    <n v="0"/>
    <m/>
  </r>
  <r>
    <s v="TX002347"/>
    <s v="AC00456"/>
    <n v="334.79"/>
    <d v="2023-11-20T17:51:05"/>
    <s v="Credit"/>
    <x v="13"/>
    <s v="D000673"/>
    <s v="6.44.165.160"/>
    <s v="M097"/>
    <s v="Branch"/>
    <n v="69"/>
    <s v="Doctor"/>
    <n v="292"/>
    <n v="1"/>
    <n v="624.09"/>
    <d v="2024-11-04T08:08:26"/>
    <n v="17"/>
    <s v="Monday"/>
    <n v="0.127407777893666"/>
    <b v="0"/>
    <b v="0"/>
    <b v="1"/>
    <n v="0"/>
    <m/>
    <n v="0"/>
    <m/>
  </r>
  <r>
    <s v="TX002348"/>
    <s v="AC00363"/>
    <n v="584.51"/>
    <d v="2023-08-25T17:47:07"/>
    <s v="Debit"/>
    <x v="13"/>
    <s v="D000697"/>
    <s v="113.201.172.36"/>
    <s v="M010"/>
    <s v="ATM"/>
    <n v="74"/>
    <s v="Retired"/>
    <n v="76"/>
    <n v="1"/>
    <n v="3254.56"/>
    <d v="2024-11-04T08:08:49"/>
    <n v="17"/>
    <s v="Friday"/>
    <n v="0.982770727958722"/>
    <b v="0"/>
    <b v="0"/>
    <b v="1"/>
    <n v="0"/>
    <m/>
    <n v="0"/>
    <m/>
  </r>
  <r>
    <s v="TX002349"/>
    <s v="AC00326"/>
    <n v="432.18"/>
    <d v="2023-05-19T16:31:11"/>
    <s v="Debit"/>
    <x v="17"/>
    <s v="D000023"/>
    <s v="76.136.92.235"/>
    <s v="M008"/>
    <s v="Branch"/>
    <n v="18"/>
    <s v="Student"/>
    <n v="162"/>
    <n v="1"/>
    <n v="678.83"/>
    <d v="2024-11-04T08:08:30"/>
    <n v="16"/>
    <s v="Friday"/>
    <n v="0.460996588188539"/>
    <b v="0"/>
    <b v="0"/>
    <b v="1"/>
    <n v="0"/>
    <m/>
    <n v="0"/>
    <m/>
  </r>
  <r>
    <s v="TX002350"/>
    <s v="AC00500"/>
    <n v="134.55000000000001"/>
    <d v="2023-10-09T16:44:50"/>
    <s v="Debit"/>
    <x v="24"/>
    <s v="D000219"/>
    <s v="100.137.90.188"/>
    <s v="M026"/>
    <s v="Online"/>
    <n v="59"/>
    <s v="Doctor"/>
    <n v="165"/>
    <n v="1"/>
    <n v="14852.42"/>
    <d v="2024-11-04T08:08:25"/>
    <n v="16"/>
    <s v="Monday"/>
    <n v="-0.55847191584743106"/>
    <b v="0"/>
    <b v="0"/>
    <b v="1"/>
    <n v="0"/>
    <m/>
    <n v="0"/>
    <m/>
  </r>
  <r>
    <s v="TX002351"/>
    <s v="AC00076"/>
    <n v="61.66"/>
    <d v="2023-02-10T16:34:00"/>
    <s v="Debit"/>
    <x v="30"/>
    <s v="D000125"/>
    <s v="112.222.0.29"/>
    <s v="M085"/>
    <s v="ATM"/>
    <n v="26"/>
    <s v="Student"/>
    <n v="86"/>
    <n v="1"/>
    <n v="5705.4"/>
    <d v="2024-11-04T08:06:48"/>
    <n v="16"/>
    <s v="Friday"/>
    <n v="-0.80814116712983497"/>
    <b v="0"/>
    <b v="0"/>
    <b v="1"/>
    <n v="0"/>
    <m/>
    <n v="0"/>
    <m/>
  </r>
  <r>
    <s v="TX002352"/>
    <s v="AC00063"/>
    <n v="12.35"/>
    <d v="2023-02-06T18:39:50"/>
    <s v="Debit"/>
    <x v="41"/>
    <s v="D000213"/>
    <s v="144.228.168.6"/>
    <s v="M092"/>
    <s v="Branch"/>
    <n v="25"/>
    <s v="Student"/>
    <n v="22"/>
    <n v="1"/>
    <n v="1846.85"/>
    <d v="2024-11-04T08:11:12"/>
    <n v="18"/>
    <s v="Monday"/>
    <n v="-0.97704212447289096"/>
    <b v="0"/>
    <b v="0"/>
    <b v="1"/>
    <n v="0"/>
    <m/>
    <n v="0"/>
    <m/>
  </r>
  <r>
    <s v="TX002353"/>
    <s v="AC00376"/>
    <n v="213.25"/>
    <d v="2023-02-23T17:30:07"/>
    <s v="Debit"/>
    <x v="23"/>
    <s v="D000441"/>
    <s v="71.93.189.160"/>
    <s v="M076"/>
    <s v="Branch"/>
    <n v="25"/>
    <s v="Student"/>
    <n v="63"/>
    <n v="1"/>
    <n v="677.79"/>
    <d v="2024-11-04T08:08:03"/>
    <n v="17"/>
    <s v="Thursday"/>
    <n v="-0.288901740570641"/>
    <b v="0"/>
    <b v="0"/>
    <b v="1"/>
    <n v="0"/>
    <m/>
    <n v="0"/>
    <m/>
  </r>
  <r>
    <s v="TX002354"/>
    <s v="AC00392"/>
    <n v="34.93"/>
    <d v="2023-10-16T16:11:52"/>
    <s v="Debit"/>
    <x v="15"/>
    <s v="D000434"/>
    <s v="172.111.76.65"/>
    <s v="M056"/>
    <s v="Branch"/>
    <n v="31"/>
    <s v="Engineer"/>
    <n v="72"/>
    <n v="1"/>
    <n v="2810.37"/>
    <d v="2024-11-04T08:11:12"/>
    <n v="16"/>
    <s v="Monday"/>
    <n v="-0.89969911865650098"/>
    <b v="0"/>
    <b v="0"/>
    <b v="1"/>
    <n v="0"/>
    <m/>
    <n v="0"/>
    <m/>
  </r>
  <r>
    <s v="TX002355"/>
    <s v="AC00282"/>
    <n v="959.48"/>
    <d v="2023-01-10T16:28:02"/>
    <s v="Debit"/>
    <x v="19"/>
    <s v="D000120"/>
    <s v="90.111.245.138"/>
    <s v="M004"/>
    <s v="Branch"/>
    <n v="67"/>
    <s v="Doctor"/>
    <n v="36"/>
    <n v="1"/>
    <n v="10631.43"/>
    <d v="2024-11-04T08:07:57"/>
    <n v="16"/>
    <s v="Tuesday"/>
    <n v="2.2671510154242598"/>
    <b v="1"/>
    <b v="0"/>
    <b v="1"/>
    <n v="1"/>
    <m/>
    <n v="1"/>
    <m/>
  </r>
  <r>
    <s v="TX002356"/>
    <s v="AC00238"/>
    <n v="335.68"/>
    <d v="2023-11-06T17:20:40"/>
    <s v="Debit"/>
    <x v="28"/>
    <s v="D000558"/>
    <s v="86.83.61.143"/>
    <s v="M062"/>
    <s v="Online"/>
    <n v="24"/>
    <s v="Student"/>
    <n v="142"/>
    <n v="1"/>
    <n v="1188.95"/>
    <d v="2024-11-04T08:11:20"/>
    <n v="17"/>
    <s v="Monday"/>
    <n v="0.130456284323098"/>
    <b v="0"/>
    <b v="0"/>
    <b v="1"/>
    <n v="0"/>
    <m/>
    <n v="0"/>
    <m/>
  </r>
  <r>
    <s v="TX002357"/>
    <s v="AC00130"/>
    <n v="423.96"/>
    <d v="2023-01-30T18:50:14"/>
    <s v="Debit"/>
    <x v="0"/>
    <s v="D000042"/>
    <s v="138.181.222.38"/>
    <s v="M086"/>
    <s v="ATM"/>
    <n v="43"/>
    <s v="Doctor"/>
    <n v="75"/>
    <n v="1"/>
    <n v="8374.3799999999992"/>
    <d v="2024-11-04T08:08:41"/>
    <n v="18"/>
    <s v="Monday"/>
    <n v="0.43284071981782501"/>
    <b v="0"/>
    <b v="0"/>
    <b v="1"/>
    <n v="0"/>
    <m/>
    <n v="0"/>
    <m/>
  </r>
  <r>
    <s v="TX002358"/>
    <s v="AC00194"/>
    <n v="361.38"/>
    <d v="2023-03-02T17:02:57"/>
    <s v="Credit"/>
    <x v="20"/>
    <s v="D000444"/>
    <s v="60.89.202.192"/>
    <s v="M095"/>
    <s v="Online"/>
    <n v="72"/>
    <s v="Retired"/>
    <n v="71"/>
    <n v="3"/>
    <n v="4972.92"/>
    <d v="2024-11-04T08:12:17"/>
    <n v="17"/>
    <s v="Thursday"/>
    <n v="0.21848618908311701"/>
    <b v="0"/>
    <b v="1"/>
    <b v="1"/>
    <n v="1"/>
    <m/>
    <n v="0"/>
    <m/>
  </r>
  <r>
    <s v="TX002359"/>
    <s v="AC00132"/>
    <n v="220.82"/>
    <d v="2023-12-29T16:30:53"/>
    <s v="Debit"/>
    <x v="12"/>
    <s v="D000297"/>
    <s v="37.143.57.20"/>
    <s v="M089"/>
    <s v="Branch"/>
    <n v="42"/>
    <s v="Engineer"/>
    <n v="31"/>
    <n v="1"/>
    <n v="4298.13"/>
    <d v="2024-11-04T08:08:24"/>
    <n v="16"/>
    <s v="Friday"/>
    <n v="-0.26297230947985001"/>
    <b v="0"/>
    <b v="0"/>
    <b v="1"/>
    <n v="0"/>
    <m/>
    <n v="0"/>
    <m/>
  </r>
  <r>
    <s v="TX002360"/>
    <s v="AC00071"/>
    <n v="717.36"/>
    <d v="2023-01-02T17:00:33"/>
    <s v="Credit"/>
    <x v="0"/>
    <s v="D000035"/>
    <s v="51.196.87.214"/>
    <s v="M020"/>
    <s v="Online"/>
    <n v="22"/>
    <s v="Student"/>
    <n v="138"/>
    <n v="1"/>
    <n v="514.88"/>
    <d v="2024-11-04T08:09:39"/>
    <n v="17"/>
    <s v="Monday"/>
    <n v="1.4378202550936801"/>
    <b v="0"/>
    <b v="0"/>
    <b v="1"/>
    <n v="0"/>
    <m/>
    <n v="0"/>
    <m/>
  </r>
  <r>
    <s v="TX002361"/>
    <s v="AC00457"/>
    <n v="406.12"/>
    <d v="2023-08-03T17:32:39"/>
    <s v="Debit"/>
    <x v="1"/>
    <s v="D000109"/>
    <s v="181.223.246.123"/>
    <s v="M004"/>
    <s v="ATM"/>
    <n v="42"/>
    <s v="Doctor"/>
    <n v="106"/>
    <n v="1"/>
    <n v="10501.53"/>
    <d v="2024-11-04T08:11:29"/>
    <n v="17"/>
    <s v="Thursday"/>
    <n v="0.37173357970425602"/>
    <b v="0"/>
    <b v="0"/>
    <b v="1"/>
    <n v="0"/>
    <m/>
    <n v="0"/>
    <m/>
  </r>
  <r>
    <s v="TX002362"/>
    <s v="AC00153"/>
    <n v="427.83"/>
    <d v="2023-05-10T17:02:51"/>
    <s v="Debit"/>
    <x v="37"/>
    <s v="D000529"/>
    <s v="16.128.130.153"/>
    <s v="M066"/>
    <s v="ATM"/>
    <n v="47"/>
    <s v="Engineer"/>
    <n v="29"/>
    <n v="1"/>
    <n v="3293.06"/>
    <d v="2024-11-04T08:09:49"/>
    <n v="17"/>
    <s v="Wednesday"/>
    <n v="0.44609658485367198"/>
    <b v="0"/>
    <b v="0"/>
    <b v="1"/>
    <n v="0"/>
    <m/>
    <n v="0"/>
    <m/>
  </r>
  <r>
    <s v="TX002363"/>
    <s v="AC00003"/>
    <n v="416.62"/>
    <d v="2023-03-06T17:26:59"/>
    <s v="Credit"/>
    <x v="21"/>
    <s v="D000495"/>
    <s v="161.195.172.148"/>
    <s v="M091"/>
    <s v="Online"/>
    <n v="26"/>
    <s v="Student"/>
    <n v="67"/>
    <n v="1"/>
    <n v="9700.9"/>
    <d v="2024-11-04T08:11:23"/>
    <n v="17"/>
    <s v="Monday"/>
    <n v="0.40769910499531398"/>
    <b v="0"/>
    <b v="0"/>
    <b v="1"/>
    <n v="0"/>
    <m/>
    <n v="0"/>
    <m/>
  </r>
  <r>
    <s v="TX002364"/>
    <s v="AC00327"/>
    <n v="21.9"/>
    <d v="2023-04-10T17:04:28"/>
    <s v="Debit"/>
    <x v="37"/>
    <s v="D000216"/>
    <s v="136.172.149.77"/>
    <s v="M084"/>
    <s v="ATM"/>
    <n v="28"/>
    <s v="Student"/>
    <n v="30"/>
    <n v="1"/>
    <n v="1052.27"/>
    <d v="2024-11-04T08:11:15"/>
    <n v="17"/>
    <s v="Monday"/>
    <n v="-0.944330622898643"/>
    <b v="0"/>
    <b v="0"/>
    <b v="1"/>
    <n v="0"/>
    <m/>
    <n v="0"/>
    <m/>
  </r>
  <r>
    <s v="TX002365"/>
    <s v="AC00362"/>
    <n v="717.74"/>
    <d v="2023-12-08T16:51:28"/>
    <s v="Credit"/>
    <x v="30"/>
    <s v="D000030"/>
    <s v="161.168.126.136"/>
    <s v="M020"/>
    <s v="Online"/>
    <n v="42"/>
    <s v="Engineer"/>
    <n v="168"/>
    <n v="1"/>
    <n v="8375.16"/>
    <d v="2024-11-04T08:10:43"/>
    <n v="16"/>
    <s v="Friday"/>
    <n v="1.4391218645804"/>
    <b v="0"/>
    <b v="0"/>
    <b v="1"/>
    <n v="0"/>
    <m/>
    <n v="0"/>
    <m/>
  </r>
  <r>
    <s v="TX002366"/>
    <s v="AC00195"/>
    <n v="393.68"/>
    <d v="2023-09-18T16:40:55"/>
    <s v="Debit"/>
    <x v="0"/>
    <s v="D000034"/>
    <s v="145.179.219.57"/>
    <s v="M087"/>
    <s v="ATM"/>
    <n v="55"/>
    <s v="Doctor"/>
    <n v="141"/>
    <n v="1"/>
    <n v="10135.879999999999"/>
    <d v="2024-11-04T08:07:00"/>
    <n v="16"/>
    <s v="Monday"/>
    <n v="0.32912299545465901"/>
    <b v="0"/>
    <b v="0"/>
    <b v="1"/>
    <n v="0"/>
    <m/>
    <n v="0"/>
    <m/>
  </r>
  <r>
    <s v="TX002367"/>
    <s v="AC00010"/>
    <n v="281.91000000000003"/>
    <d v="2023-01-12T17:10:03"/>
    <s v="Debit"/>
    <x v="13"/>
    <s v="D000312"/>
    <s v="24.148.92.177"/>
    <s v="M069"/>
    <s v="Branch"/>
    <n v="25"/>
    <s v="Student"/>
    <n v="269"/>
    <n v="1"/>
    <n v="225.53"/>
    <d v="2024-11-04T08:07:24"/>
    <n v="17"/>
    <s v="Thursday"/>
    <n v="-5.3721458048349498E-2"/>
    <b v="0"/>
    <b v="0"/>
    <b v="1"/>
    <n v="0"/>
    <m/>
    <n v="0"/>
    <m/>
  </r>
  <r>
    <s v="TX002368"/>
    <s v="AC00032"/>
    <n v="239.85"/>
    <d v="2023-01-26T16:17:52"/>
    <s v="Debit"/>
    <x v="28"/>
    <s v="D000001"/>
    <s v="121.67.144.20"/>
    <s v="M047"/>
    <s v="ATM"/>
    <n v="70"/>
    <s v="Retired"/>
    <n v="50"/>
    <n v="1"/>
    <n v="1477.63"/>
    <d v="2024-11-04T08:07:51"/>
    <n v="16"/>
    <s v="Thursday"/>
    <n v="-0.19778907649996"/>
    <b v="0"/>
    <b v="0"/>
    <b v="1"/>
    <n v="0"/>
    <m/>
    <n v="0"/>
    <m/>
  </r>
  <r>
    <s v="TX002369"/>
    <s v="AC00202"/>
    <n v="237.84"/>
    <d v="2023-09-22T17:40:23"/>
    <s v="Debit"/>
    <x v="9"/>
    <s v="D000111"/>
    <s v="193.108.17.115"/>
    <s v="M047"/>
    <s v="Branch"/>
    <n v="26"/>
    <s v="Student"/>
    <n v="16"/>
    <n v="1"/>
    <n v="8932.39"/>
    <d v="2024-11-04T08:09:29"/>
    <n v="17"/>
    <s v="Friday"/>
    <n v="-0.204673905627105"/>
    <b v="0"/>
    <b v="0"/>
    <b v="1"/>
    <n v="0"/>
    <m/>
    <n v="0"/>
    <m/>
  </r>
  <r>
    <s v="TX002370"/>
    <s v="AC00262"/>
    <n v="459.29"/>
    <d v="2023-01-26T18:07:00"/>
    <s v="Credit"/>
    <x v="31"/>
    <s v="D000610"/>
    <s v="113.201.172.36"/>
    <s v="M016"/>
    <s v="Online"/>
    <n v="64"/>
    <s v="Retired"/>
    <n v="109"/>
    <n v="1"/>
    <n v="1006.12"/>
    <d v="2024-11-04T08:11:08"/>
    <n v="18"/>
    <s v="Thursday"/>
    <n v="0.55385614920192905"/>
    <b v="0"/>
    <b v="0"/>
    <b v="1"/>
    <n v="0"/>
    <m/>
    <n v="0"/>
    <m/>
  </r>
  <r>
    <s v="TX002371"/>
    <s v="AC00158"/>
    <n v="196.49"/>
    <d v="2023-12-22T17:31:59"/>
    <s v="Debit"/>
    <x v="5"/>
    <s v="D000342"/>
    <s v="139.23.212.102"/>
    <s v="M016"/>
    <s v="Branch"/>
    <n v="41"/>
    <s v="Engineer"/>
    <n v="65"/>
    <n v="1"/>
    <n v="7516.56"/>
    <d v="2024-11-04T08:09:30"/>
    <n v="17"/>
    <s v="Friday"/>
    <n v="-0.346309569511416"/>
    <b v="0"/>
    <b v="0"/>
    <b v="1"/>
    <n v="0"/>
    <m/>
    <n v="0"/>
    <m/>
  </r>
  <r>
    <s v="TX002372"/>
    <s v="AC00465"/>
    <n v="21.23"/>
    <d v="2023-09-11T16:35:15"/>
    <s v="Debit"/>
    <x v="33"/>
    <s v="D000174"/>
    <s v="63.191.171.41"/>
    <s v="M094"/>
    <s v="ATM"/>
    <n v="23"/>
    <s v="Student"/>
    <n v="103"/>
    <n v="4"/>
    <n v="319.18"/>
    <d v="2024-11-04T08:09:59"/>
    <n v="16"/>
    <s v="Monday"/>
    <n v="-0.94662556594102498"/>
    <b v="0"/>
    <b v="1"/>
    <b v="1"/>
    <n v="1"/>
    <m/>
    <n v="0"/>
    <m/>
  </r>
  <r>
    <s v="TX002373"/>
    <s v="AC00260"/>
    <n v="95.23"/>
    <d v="2023-10-16T18:47:17"/>
    <s v="Debit"/>
    <x v="13"/>
    <s v="D000287"/>
    <s v="5.252.94.135"/>
    <s v="M077"/>
    <s v="Online"/>
    <n v="20"/>
    <s v="Student"/>
    <n v="60"/>
    <n v="3"/>
    <n v="966.88"/>
    <d v="2024-11-04T08:11:38"/>
    <n v="18"/>
    <s v="Monday"/>
    <n v="-0.69315424484213695"/>
    <b v="0"/>
    <b v="1"/>
    <b v="1"/>
    <n v="1"/>
    <m/>
    <n v="0"/>
    <m/>
  </r>
  <r>
    <s v="TX002374"/>
    <s v="AC00130"/>
    <n v="344.87"/>
    <d v="2023-08-28T17:59:32"/>
    <s v="Debit"/>
    <x v="1"/>
    <s v="D000608"/>
    <s v="124.6.134.78"/>
    <s v="M090"/>
    <s v="Branch"/>
    <n v="58"/>
    <s v="Retired"/>
    <n v="25"/>
    <n v="1"/>
    <n v="7447.44"/>
    <d v="2024-11-04T08:11:21"/>
    <n v="17"/>
    <s v="Monday"/>
    <n v="0.16193468217308199"/>
    <b v="0"/>
    <b v="0"/>
    <b v="1"/>
    <n v="0"/>
    <m/>
    <n v="0"/>
    <m/>
  </r>
  <r>
    <s v="TX002375"/>
    <s v="AC00500"/>
    <n v="129.62"/>
    <d v="2023-07-06T16:47:00"/>
    <s v="Credit"/>
    <x v="24"/>
    <s v="D000179"/>
    <s v="37.143.57.20"/>
    <s v="M070"/>
    <s v="ATM"/>
    <n v="23"/>
    <s v="Student"/>
    <n v="124"/>
    <n v="1"/>
    <n v="620.28"/>
    <d v="2024-11-04T08:06:51"/>
    <n v="16"/>
    <s v="Thursday"/>
    <n v="-0.57535858629361403"/>
    <b v="0"/>
    <b v="0"/>
    <b v="1"/>
    <n v="0"/>
    <m/>
    <n v="0"/>
    <m/>
  </r>
  <r>
    <s v="TX002376"/>
    <s v="AC00384"/>
    <n v="16.53"/>
    <d v="2023-07-24T17:07:27"/>
    <s v="Debit"/>
    <x v="1"/>
    <s v="D000078"/>
    <s v="52.1.78.30"/>
    <s v="M017"/>
    <s v="ATM"/>
    <n v="21"/>
    <s v="Student"/>
    <n v="220"/>
    <n v="1"/>
    <n v="707.95"/>
    <d v="2024-11-04T08:08:29"/>
    <n v="17"/>
    <s v="Monday"/>
    <n v="-0.962724420118927"/>
    <b v="0"/>
    <b v="0"/>
    <b v="1"/>
    <n v="0"/>
    <m/>
    <n v="0"/>
    <m/>
  </r>
  <r>
    <s v="TX002377"/>
    <s v="AC00027"/>
    <n v="277.02"/>
    <d v="2023-11-13T16:16:48"/>
    <s v="Credit"/>
    <x v="13"/>
    <s v="D000561"/>
    <s v="65.149.11.248"/>
    <s v="M042"/>
    <s v="ATM"/>
    <n v="46"/>
    <s v="Doctor"/>
    <n v="227"/>
    <n v="1"/>
    <n v="8586.3799999999992"/>
    <d v="2024-11-04T08:09:56"/>
    <n v="16"/>
    <s v="Monday"/>
    <n v="-7.0471116969613903E-2"/>
    <b v="0"/>
    <b v="0"/>
    <b v="1"/>
    <n v="0"/>
    <m/>
    <n v="0"/>
    <m/>
  </r>
  <r>
    <s v="TX002378"/>
    <s v="AC00176"/>
    <n v="13.02"/>
    <d v="2023-06-14T16:24:08"/>
    <s v="Debit"/>
    <x v="27"/>
    <s v="D000387"/>
    <s v="121.67.144.20"/>
    <s v="M014"/>
    <s v="Branch"/>
    <n v="51"/>
    <s v="Doctor"/>
    <n v="42"/>
    <n v="1"/>
    <n v="6076.45"/>
    <d v="2024-11-04T08:11:43"/>
    <n v="16"/>
    <s v="Wednesday"/>
    <n v="-0.97474718143050898"/>
    <b v="0"/>
    <b v="0"/>
    <b v="1"/>
    <n v="0"/>
    <m/>
    <n v="0"/>
    <m/>
  </r>
  <r>
    <s v="TX002379"/>
    <s v="AC00150"/>
    <n v="199.02"/>
    <d v="2023-01-30T17:36:54"/>
    <s v="Debit"/>
    <x v="11"/>
    <s v="D000535"/>
    <s v="98.255.160.110"/>
    <s v="M081"/>
    <s v="ATM"/>
    <n v="22"/>
    <s v="Student"/>
    <n v="185"/>
    <n v="1"/>
    <n v="793.63"/>
    <d v="2024-11-04T08:08:22"/>
    <n v="17"/>
    <s v="Monday"/>
    <n v="-0.337643590560333"/>
    <b v="0"/>
    <b v="0"/>
    <b v="1"/>
    <n v="0"/>
    <m/>
    <n v="0"/>
    <m/>
  </r>
  <r>
    <s v="TX002380"/>
    <s v="AC00443"/>
    <n v="684.5"/>
    <d v="2023-07-31T18:52:14"/>
    <s v="Debit"/>
    <x v="18"/>
    <s v="D000075"/>
    <s v="190.251.45.32"/>
    <s v="M035"/>
    <s v="Branch"/>
    <n v="29"/>
    <s v="Doctor"/>
    <n v="76"/>
    <n v="1"/>
    <n v="6258.63"/>
    <d v="2024-11-04T08:10:14"/>
    <n v="18"/>
    <s v="Monday"/>
    <n v="1.32526528737328"/>
    <b v="0"/>
    <b v="0"/>
    <b v="1"/>
    <n v="0"/>
    <m/>
    <n v="0"/>
    <m/>
  </r>
  <r>
    <s v="TX002381"/>
    <s v="AC00098"/>
    <n v="1173.74"/>
    <d v="2023-09-25T16:44:52"/>
    <s v="Credit"/>
    <x v="33"/>
    <s v="D000639"/>
    <s v="193.190.29.63"/>
    <s v="M086"/>
    <s v="Online"/>
    <n v="61"/>
    <s v="Doctor"/>
    <n v="61"/>
    <n v="1"/>
    <n v="10456.24"/>
    <d v="2024-11-04T08:07:31"/>
    <n v="16"/>
    <s v="Monday"/>
    <n v="3.0010532486492201"/>
    <b v="1"/>
    <b v="0"/>
    <b v="1"/>
    <n v="1"/>
    <m/>
    <n v="1"/>
    <m/>
  </r>
  <r>
    <s v="TX002382"/>
    <s v="AC00452"/>
    <n v="45.92"/>
    <d v="2023-06-19T17:25:35"/>
    <s v="Debit"/>
    <x v="9"/>
    <s v="D000622"/>
    <s v="120.170.93.69"/>
    <s v="M087"/>
    <s v="ATM"/>
    <n v="26"/>
    <s v="Student"/>
    <n v="23"/>
    <n v="1"/>
    <n v="544.55999999999995"/>
    <d v="2024-11-04T08:06:32"/>
    <n v="17"/>
    <s v="Monday"/>
    <n v="-0.86205520218519305"/>
    <b v="0"/>
    <b v="0"/>
    <b v="1"/>
    <n v="0"/>
    <m/>
    <n v="0"/>
    <m/>
  </r>
  <r>
    <s v="TX002383"/>
    <s v="AC00119"/>
    <n v="761.73"/>
    <d v="2023-09-11T17:15:04"/>
    <s v="Debit"/>
    <x v="15"/>
    <s v="D000191"/>
    <s v="89.6.100.149"/>
    <s v="M075"/>
    <s v="ATM"/>
    <n v="19"/>
    <s v="Student"/>
    <n v="27"/>
    <n v="1"/>
    <n v="151.28"/>
    <d v="2024-11-04T08:09:23"/>
    <n v="17"/>
    <s v="Monday"/>
    <n v="1.5898002891093199"/>
    <b v="0"/>
    <b v="0"/>
    <b v="1"/>
    <n v="0"/>
    <m/>
    <n v="0"/>
    <m/>
  </r>
  <r>
    <s v="TX002384"/>
    <s v="AC00342"/>
    <n v="331.38"/>
    <d v="2023-05-30T17:13:38"/>
    <s v="Debit"/>
    <x v="19"/>
    <s v="D000621"/>
    <s v="19.20.13.234"/>
    <s v="M051"/>
    <s v="ATM"/>
    <n v="42"/>
    <s v="Engineer"/>
    <n v="122"/>
    <n v="1"/>
    <n v="844.55"/>
    <d v="2024-11-04T08:08:38"/>
    <n v="17"/>
    <s v="Tuesday"/>
    <n v="0.115727545394379"/>
    <b v="0"/>
    <b v="0"/>
    <b v="1"/>
    <n v="0"/>
    <m/>
    <n v="0"/>
    <m/>
  </r>
  <r>
    <s v="TX002385"/>
    <s v="AC00190"/>
    <n v="602.79999999999995"/>
    <d v="2023-03-20T17:25:15"/>
    <s v="Debit"/>
    <x v="21"/>
    <s v="D000333"/>
    <s v="170.225.23.251"/>
    <s v="M003"/>
    <s v="Branch"/>
    <n v="60"/>
    <s v="Retired"/>
    <n v="173"/>
    <n v="1"/>
    <n v="7417.69"/>
    <d v="2024-11-04T08:10:57"/>
    <n v="17"/>
    <s v="Monday"/>
    <n v="1.0454192477276201"/>
    <b v="0"/>
    <b v="0"/>
    <b v="1"/>
    <n v="0"/>
    <m/>
    <n v="0"/>
    <m/>
  </r>
  <r>
    <s v="TX002386"/>
    <s v="AC00075"/>
    <n v="64.12"/>
    <d v="2023-08-10T17:12:55"/>
    <s v="Credit"/>
    <x v="7"/>
    <s v="D000013"/>
    <s v="218.238.171.184"/>
    <s v="M097"/>
    <s v="Branch"/>
    <n v="57"/>
    <s v="Doctor"/>
    <n v="222"/>
    <n v="1"/>
    <n v="1029.0899999999999"/>
    <d v="2024-11-04T08:09:39"/>
    <n v="17"/>
    <s v="Thursday"/>
    <n v="-0.79971495834735895"/>
    <b v="0"/>
    <b v="0"/>
    <b v="1"/>
    <n v="0"/>
    <m/>
    <n v="0"/>
    <m/>
  </r>
  <r>
    <s v="TX002387"/>
    <s v="AC00450"/>
    <n v="57.38"/>
    <d v="2023-02-13T18:27:34"/>
    <s v="Debit"/>
    <x v="31"/>
    <s v="D000238"/>
    <s v="48.19.99.211"/>
    <s v="M062"/>
    <s v="Online"/>
    <n v="28"/>
    <s v="Student"/>
    <n v="86"/>
    <n v="1"/>
    <n v="899.52"/>
    <d v="2024-11-04T08:08:31"/>
    <n v="18"/>
    <s v="Monday"/>
    <n v="-0.82280140029609505"/>
    <b v="0"/>
    <b v="0"/>
    <b v="1"/>
    <n v="0"/>
    <m/>
    <n v="0"/>
    <m/>
  </r>
  <r>
    <s v="TX002388"/>
    <s v="AC00300"/>
    <n v="94.64"/>
    <d v="2023-05-15T18:30:55"/>
    <s v="Credit"/>
    <x v="22"/>
    <s v="D000543"/>
    <s v="216.32.4.105"/>
    <s v="M036"/>
    <s v="ATM"/>
    <n v="28"/>
    <s v="Student"/>
    <n v="144"/>
    <n v="1"/>
    <n v="586.76"/>
    <d v="2024-11-04T08:08:50"/>
    <n v="18"/>
    <s v="Monday"/>
    <n v="-0.695175164834682"/>
    <b v="0"/>
    <b v="0"/>
    <b v="1"/>
    <n v="0"/>
    <m/>
    <n v="0"/>
    <m/>
  </r>
  <r>
    <s v="TX002389"/>
    <s v="AC00183"/>
    <n v="155.56"/>
    <d v="2023-04-24T16:07:53"/>
    <s v="Credit"/>
    <x v="14"/>
    <s v="D000033"/>
    <s v="53.218.177.171"/>
    <s v="M014"/>
    <s v="Branch"/>
    <n v="19"/>
    <s v="Student"/>
    <n v="64"/>
    <n v="1"/>
    <n v="129.79"/>
    <d v="2024-11-04T08:07:46"/>
    <n v="16"/>
    <s v="Monday"/>
    <n v="-0.48650661238408499"/>
    <b v="0"/>
    <b v="0"/>
    <b v="1"/>
    <n v="0"/>
    <m/>
    <n v="0"/>
    <m/>
  </r>
  <r>
    <s v="TX002390"/>
    <s v="AC00079"/>
    <n v="301.39"/>
    <d v="2023-07-04T16:21:12"/>
    <s v="Credit"/>
    <x v="13"/>
    <s v="D000375"/>
    <s v="82.75.200.117"/>
    <s v="M050"/>
    <s v="Online"/>
    <n v="47"/>
    <s v="Doctor"/>
    <n v="104"/>
    <n v="1"/>
    <n v="10548.58"/>
    <d v="2024-11-04T08:07:22"/>
    <n v="16"/>
    <s v="Tuesday"/>
    <n v="1.3003154586871001E-2"/>
    <b v="0"/>
    <b v="0"/>
    <b v="1"/>
    <n v="0"/>
    <m/>
    <n v="0"/>
    <m/>
  </r>
  <r>
    <s v="TX002391"/>
    <s v="AC00004"/>
    <n v="136.31"/>
    <d v="2023-10-30T16:38:14"/>
    <s v="Debit"/>
    <x v="9"/>
    <s v="D000405"/>
    <s v="6.234.101.35"/>
    <s v="M055"/>
    <s v="Online"/>
    <n v="74"/>
    <s v="Retired"/>
    <n v="65"/>
    <n v="1"/>
    <n v="4384.95"/>
    <d v="2024-11-04T08:08:41"/>
    <n v="16"/>
    <s v="Monday"/>
    <n v="-0.55244340875102504"/>
    <b v="0"/>
    <b v="0"/>
    <b v="1"/>
    <n v="0"/>
    <m/>
    <n v="0"/>
    <m/>
  </r>
  <r>
    <s v="TX002392"/>
    <s v="AC00063"/>
    <n v="4.3899999999999997"/>
    <d v="2023-06-12T16:03:42"/>
    <s v="Debit"/>
    <x v="26"/>
    <s v="D000441"/>
    <s v="188.225.207.71"/>
    <s v="M084"/>
    <s v="ATM"/>
    <n v="26"/>
    <s v="Student"/>
    <n v="63"/>
    <n v="1"/>
    <n v="1429.61"/>
    <d v="2024-11-04T08:11:48"/>
    <n v="16"/>
    <s v="Monday"/>
    <n v="-1.00430741793163"/>
    <b v="0"/>
    <b v="0"/>
    <b v="1"/>
    <n v="0"/>
    <m/>
    <n v="0"/>
    <m/>
  </r>
  <r>
    <s v="TX002393"/>
    <s v="AC00345"/>
    <n v="429.25"/>
    <d v="2023-06-12T16:26:36"/>
    <s v="Debit"/>
    <x v="6"/>
    <s v="D000199"/>
    <s v="199.6.127.153"/>
    <s v="M090"/>
    <s v="Online"/>
    <n v="29"/>
    <s v="Engineer"/>
    <n v="107"/>
    <n v="1"/>
    <n v="5019.68"/>
    <d v="2024-11-04T08:08:36"/>
    <n v="16"/>
    <s v="Monday"/>
    <n v="0.45096049398827298"/>
    <b v="0"/>
    <b v="0"/>
    <b v="1"/>
    <n v="0"/>
    <m/>
    <n v="0"/>
    <m/>
  </r>
  <r>
    <s v="TX002394"/>
    <s v="AC00177"/>
    <n v="138.54"/>
    <d v="2023-01-03T17:56:37"/>
    <s v="Credit"/>
    <x v="14"/>
    <s v="D000022"/>
    <s v="195.237.152.198"/>
    <s v="M028"/>
    <s v="Branch"/>
    <n v="60"/>
    <s v="Engineer"/>
    <n v="93"/>
    <n v="1"/>
    <n v="8274.77"/>
    <d v="2024-11-04T08:09:05"/>
    <n v="17"/>
    <s v="Tuesday"/>
    <n v="-0.54480501623682898"/>
    <b v="0"/>
    <b v="0"/>
    <b v="1"/>
    <n v="0"/>
    <m/>
    <n v="0"/>
    <m/>
  </r>
  <r>
    <s v="TX002395"/>
    <s v="AC00165"/>
    <n v="33.03"/>
    <d v="2023-08-10T16:58:10"/>
    <s v="Debit"/>
    <x v="38"/>
    <s v="D000376"/>
    <s v="109.42.41.157"/>
    <s v="M019"/>
    <s v="Branch"/>
    <n v="21"/>
    <s v="Student"/>
    <n v="28"/>
    <n v="1"/>
    <n v="935.88"/>
    <d v="2024-11-04T08:09:57"/>
    <n v="16"/>
    <s v="Thursday"/>
    <n v="-0.90620716609012097"/>
    <b v="0"/>
    <b v="0"/>
    <b v="1"/>
    <n v="0"/>
    <m/>
    <n v="0"/>
    <m/>
  </r>
  <r>
    <s v="TX002396"/>
    <s v="AC00097"/>
    <n v="76.39"/>
    <d v="2023-02-27T16:28:23"/>
    <s v="Debit"/>
    <x v="30"/>
    <s v="D000132"/>
    <s v="23.255.214.209"/>
    <s v="M005"/>
    <s v="Online"/>
    <n v="30"/>
    <s v="Doctor"/>
    <n v="80"/>
    <n v="1"/>
    <n v="11584.32"/>
    <d v="2024-11-04T08:10:59"/>
    <n v="16"/>
    <s v="Monday"/>
    <n v="-0.757686673078665"/>
    <b v="0"/>
    <b v="0"/>
    <b v="1"/>
    <n v="0"/>
    <m/>
    <n v="0"/>
    <m/>
  </r>
  <r>
    <s v="TX002397"/>
    <s v="AC00241"/>
    <n v="25.32"/>
    <d v="2023-03-07T17:49:13"/>
    <s v="Debit"/>
    <x v="5"/>
    <s v="D000422"/>
    <s v="9.230.41.239"/>
    <s v="M090"/>
    <s v="ATM"/>
    <n v="19"/>
    <s v="Student"/>
    <n v="25"/>
    <n v="1"/>
    <n v="1642.34"/>
    <d v="2024-11-04T08:09:29"/>
    <n v="17"/>
    <s v="Tuesday"/>
    <n v="-0.932616137518127"/>
    <b v="0"/>
    <b v="0"/>
    <b v="1"/>
    <n v="0"/>
    <m/>
    <n v="0"/>
    <m/>
  </r>
  <r>
    <s v="TX002398"/>
    <s v="AC00308"/>
    <n v="330.91"/>
    <d v="2023-03-06T17:25:20"/>
    <s v="Debit"/>
    <x v="31"/>
    <s v="D000005"/>
    <s v="184.185.209.72"/>
    <s v="M041"/>
    <s v="ATM"/>
    <n v="36"/>
    <s v="Engineer"/>
    <n v="28"/>
    <n v="1"/>
    <n v="6481.35"/>
    <d v="2024-11-04T08:11:10"/>
    <n v="17"/>
    <s v="Monday"/>
    <n v="0.114117659976589"/>
    <b v="0"/>
    <b v="0"/>
    <b v="1"/>
    <n v="0"/>
    <m/>
    <n v="0"/>
    <m/>
  </r>
  <r>
    <s v="TX002399"/>
    <s v="AC00308"/>
    <n v="153.55000000000001"/>
    <d v="2023-11-08T17:53:52"/>
    <s v="Debit"/>
    <x v="13"/>
    <s v="D000438"/>
    <s v="168.55.35.243"/>
    <s v="M099"/>
    <s v="Online"/>
    <n v="37"/>
    <s v="Doctor"/>
    <n v="16"/>
    <n v="1"/>
    <n v="5619.91"/>
    <d v="2024-11-04T08:07:38"/>
    <n v="17"/>
    <s v="Wednesday"/>
    <n v="-0.49339144151122999"/>
    <b v="0"/>
    <b v="0"/>
    <b v="1"/>
    <n v="0"/>
    <m/>
    <n v="0"/>
    <m/>
  </r>
  <r>
    <s v="TX002400"/>
    <s v="AC00088"/>
    <n v="217.61"/>
    <d v="2023-02-28T17:34:08"/>
    <s v="Debit"/>
    <x v="32"/>
    <s v="D000512"/>
    <s v="19.228.76.177"/>
    <s v="M039"/>
    <s v="Online"/>
    <n v="27"/>
    <s v="Student"/>
    <n v="120"/>
    <n v="1"/>
    <n v="1661.1"/>
    <d v="2024-11-04T08:11:11"/>
    <n v="17"/>
    <s v="Tuesday"/>
    <n v="-0.27396748435454499"/>
    <b v="0"/>
    <b v="0"/>
    <b v="1"/>
    <n v="0"/>
    <m/>
    <n v="0"/>
    <m/>
  </r>
  <r>
    <s v="TX002401"/>
    <s v="AC00370"/>
    <n v="131.69"/>
    <d v="2023-10-16T16:22:32"/>
    <s v="Credit"/>
    <x v="13"/>
    <s v="D000044"/>
    <s v="30.229.179.194"/>
    <s v="M067"/>
    <s v="Branch"/>
    <n v="53"/>
    <s v="Engineer"/>
    <n v="59"/>
    <n v="1"/>
    <n v="2958.43"/>
    <d v="2024-11-04T08:07:03"/>
    <n v="16"/>
    <s v="Monday"/>
    <n v="-0.56826823987909103"/>
    <b v="0"/>
    <b v="0"/>
    <b v="1"/>
    <n v="0"/>
    <m/>
    <n v="0"/>
    <m/>
  </r>
  <r>
    <s v="TX002402"/>
    <s v="AC00073"/>
    <n v="953.17"/>
    <d v="2023-10-12T17:39:08"/>
    <s v="Debit"/>
    <x v="3"/>
    <s v="D000114"/>
    <s v="115.96.94.156"/>
    <s v="M024"/>
    <s v="Online"/>
    <n v="60"/>
    <s v="Retired"/>
    <n v="84"/>
    <n v="1"/>
    <n v="3506.11"/>
    <d v="2024-11-04T08:08:48"/>
    <n v="17"/>
    <s v="Thursday"/>
    <n v="2.24553744736839"/>
    <b v="1"/>
    <b v="0"/>
    <b v="1"/>
    <n v="1"/>
    <m/>
    <n v="1"/>
    <m/>
  </r>
  <r>
    <s v="TX002403"/>
    <s v="AC00452"/>
    <n v="68.489999999999995"/>
    <d v="2023-10-25T17:37:30"/>
    <s v="Debit"/>
    <x v="9"/>
    <s v="D000558"/>
    <s v="38.210.156.148"/>
    <s v="M051"/>
    <s v="Online"/>
    <n v="67"/>
    <s v="Retired"/>
    <n v="49"/>
    <n v="1"/>
    <n v="6683.31"/>
    <d v="2024-11-04T08:10:51"/>
    <n v="17"/>
    <s v="Wednesday"/>
    <n v="-0.78474644925003201"/>
    <b v="0"/>
    <b v="0"/>
    <b v="1"/>
    <n v="0"/>
    <m/>
    <n v="0"/>
    <m/>
  </r>
  <r>
    <s v="TX002404"/>
    <s v="AC00111"/>
    <n v="1493"/>
    <d v="2023-06-07T17:05:41"/>
    <s v="Debit"/>
    <x v="40"/>
    <s v="D000344"/>
    <s v="136.162.111.135"/>
    <s v="M096"/>
    <s v="ATM"/>
    <n v="69"/>
    <s v="Retired"/>
    <n v="151"/>
    <n v="1"/>
    <n v="1619.16"/>
    <d v="2024-11-04T08:07:07"/>
    <n v="17"/>
    <s v="Wednesday"/>
    <n v="4.09461073478478"/>
    <b v="1"/>
    <b v="0"/>
    <b v="1"/>
    <n v="1"/>
    <m/>
    <n v="1"/>
    <m/>
  </r>
  <r>
    <s v="TX002405"/>
    <s v="AC00150"/>
    <n v="470.62"/>
    <d v="2023-02-27T17:52:43"/>
    <s v="Debit"/>
    <x v="28"/>
    <s v="D000642"/>
    <s v="180.224.54.115"/>
    <s v="M002"/>
    <s v="Branch"/>
    <n v="57"/>
    <s v="Doctor"/>
    <n v="127"/>
    <n v="1"/>
    <n v="12470.62"/>
    <d v="2024-11-04T08:06:42"/>
    <n v="17"/>
    <s v="Monday"/>
    <n v="0.592664663635043"/>
    <b v="0"/>
    <b v="0"/>
    <b v="1"/>
    <n v="0"/>
    <m/>
    <n v="0"/>
    <m/>
  </r>
  <r>
    <s v="TX002406"/>
    <s v="AC00103"/>
    <n v="385.35"/>
    <d v="2023-10-03T17:14:49"/>
    <s v="Debit"/>
    <x v="19"/>
    <s v="D000326"/>
    <s v="194.174.252.1"/>
    <s v="M045"/>
    <s v="Branch"/>
    <n v="38"/>
    <s v="Doctor"/>
    <n v="269"/>
    <n v="1"/>
    <n v="5184.13"/>
    <d v="2024-11-04T08:12:12"/>
    <n v="17"/>
    <s v="Tuesday"/>
    <n v="0.30059034539041901"/>
    <b v="0"/>
    <b v="0"/>
    <b v="1"/>
    <n v="0"/>
    <m/>
    <n v="0"/>
    <m/>
  </r>
  <r>
    <s v="TX002407"/>
    <s v="AC00176"/>
    <n v="74.72"/>
    <d v="2023-07-25T18:58:19"/>
    <s v="Debit"/>
    <x v="37"/>
    <s v="D000272"/>
    <s v="77.21.150.75"/>
    <s v="M031"/>
    <s v="Online"/>
    <n v="26"/>
    <s v="Student"/>
    <n v="132"/>
    <n v="1"/>
    <n v="165.75"/>
    <d v="2024-11-04T08:10:19"/>
    <n v="18"/>
    <s v="Tuesday"/>
    <n v="-0.76340690424400504"/>
    <b v="0"/>
    <b v="0"/>
    <b v="1"/>
    <n v="0"/>
    <m/>
    <n v="0"/>
    <m/>
  </r>
  <r>
    <s v="TX002408"/>
    <s v="AC00194"/>
    <n v="352.03"/>
    <d v="2023-06-08T16:49:20"/>
    <s v="Credit"/>
    <x v="37"/>
    <s v="D000599"/>
    <s v="13.30.106.126"/>
    <s v="M001"/>
    <s v="Online"/>
    <n v="27"/>
    <s v="Student"/>
    <n v="219"/>
    <n v="1"/>
    <n v="4846.68"/>
    <d v="2024-11-04T08:11:14"/>
    <n v="16"/>
    <s v="Thursday"/>
    <n v="0.186459745133461"/>
    <b v="0"/>
    <b v="0"/>
    <b v="1"/>
    <n v="0"/>
    <m/>
    <n v="0"/>
    <m/>
  </r>
  <r>
    <s v="TX002409"/>
    <s v="AC00225"/>
    <n v="275.87"/>
    <d v="2023-08-28T18:27:59"/>
    <s v="Debit"/>
    <x v="6"/>
    <s v="D000302"/>
    <s v="111.78.64.133"/>
    <s v="M096"/>
    <s v="ATM"/>
    <n v="25"/>
    <s v="Student"/>
    <n v="112"/>
    <n v="1"/>
    <n v="1697.58"/>
    <d v="2024-11-04T08:07:09"/>
    <n v="18"/>
    <s v="Monday"/>
    <n v="-7.4410198311015502E-2"/>
    <b v="0"/>
    <b v="0"/>
    <b v="1"/>
    <n v="0"/>
    <m/>
    <n v="0"/>
    <m/>
  </r>
  <r>
    <s v="TX002410"/>
    <s v="AC00267"/>
    <n v="90.94"/>
    <d v="2023-11-24T17:55:11"/>
    <s v="Credit"/>
    <x v="40"/>
    <s v="D000594"/>
    <s v="45.241.13.208"/>
    <s v="M084"/>
    <s v="ATM"/>
    <n v="63"/>
    <s v="Retired"/>
    <n v="56"/>
    <n v="1"/>
    <n v="3896.08"/>
    <d v="2024-11-04T08:12:21"/>
    <n v="17"/>
    <s v="Friday"/>
    <n v="-0.70784873088962696"/>
    <b v="0"/>
    <b v="0"/>
    <b v="1"/>
    <n v="0"/>
    <m/>
    <n v="0"/>
    <m/>
  </r>
  <r>
    <s v="TX002411"/>
    <s v="AC00129"/>
    <n v="206.25"/>
    <d v="2023-10-03T16:22:49"/>
    <s v="Debit"/>
    <x v="21"/>
    <s v="D000045"/>
    <s v="157.47.114.20"/>
    <s v="M074"/>
    <s v="ATM"/>
    <n v="74"/>
    <s v="Retired"/>
    <n v="56"/>
    <n v="1"/>
    <n v="3651.07"/>
    <d v="2024-11-04T08:07:59"/>
    <n v="16"/>
    <s v="Tuesday"/>
    <n v="-0.31287875743134702"/>
    <b v="0"/>
    <b v="0"/>
    <b v="1"/>
    <n v="0"/>
    <m/>
    <n v="0"/>
    <m/>
  </r>
  <r>
    <s v="TX002412"/>
    <s v="AC00362"/>
    <n v="116.76"/>
    <d v="2023-01-16T16:55:13"/>
    <s v="Debit"/>
    <x v="26"/>
    <s v="D000496"/>
    <s v="60.153.124.80"/>
    <s v="M067"/>
    <s v="ATM"/>
    <n v="51"/>
    <s v="Engineer"/>
    <n v="212"/>
    <n v="1"/>
    <n v="4480.43"/>
    <d v="2024-11-04T08:07:09"/>
    <n v="16"/>
    <s v="Monday"/>
    <n v="-0.61940779155485304"/>
    <b v="0"/>
    <b v="0"/>
    <b v="1"/>
    <n v="0"/>
    <m/>
    <n v="0"/>
    <m/>
  </r>
  <r>
    <s v="TX002413"/>
    <s v="AC00155"/>
    <n v="91.5"/>
    <d v="2023-03-27T16:26:42"/>
    <s v="Debit"/>
    <x v="32"/>
    <s v="D000113"/>
    <s v="168.128.200.203"/>
    <s v="M033"/>
    <s v="ATM"/>
    <n v="47"/>
    <s v="Doctor"/>
    <n v="77"/>
    <n v="1"/>
    <n v="667.66"/>
    <d v="2024-11-04T08:07:56"/>
    <n v="16"/>
    <s v="Monday"/>
    <n v="-0.70593056954077005"/>
    <b v="0"/>
    <b v="0"/>
    <b v="1"/>
    <n v="0"/>
    <m/>
    <n v="0"/>
    <m/>
  </r>
  <r>
    <s v="TX002414"/>
    <s v="AC00019"/>
    <n v="489.31"/>
    <d v="2023-04-03T16:34:10"/>
    <s v="Debit"/>
    <x v="12"/>
    <s v="D000293"/>
    <s v="156.235.3.171"/>
    <s v="M089"/>
    <s v="Branch"/>
    <n v="43"/>
    <s v="Engineer"/>
    <n v="36"/>
    <n v="1"/>
    <n v="5595.22"/>
    <d v="2024-11-04T08:12:22"/>
    <n v="16"/>
    <s v="Monday"/>
    <n v="0.65668329865312702"/>
    <b v="0"/>
    <b v="0"/>
    <b v="1"/>
    <n v="0"/>
    <m/>
    <n v="0"/>
    <m/>
  </r>
  <r>
    <s v="TX002415"/>
    <s v="AC00028"/>
    <n v="1664.33"/>
    <d v="2023-09-25T17:11:19"/>
    <s v="Debit"/>
    <x v="25"/>
    <s v="D000072"/>
    <s v="116.106.207.139"/>
    <s v="M064"/>
    <s v="Branch"/>
    <n v="18"/>
    <s v="Student"/>
    <n v="65"/>
    <n v="1"/>
    <n v="1588.31"/>
    <d v="2024-11-04T08:07:07"/>
    <n v="17"/>
    <s v="Monday"/>
    <n v="4.6814653488911597"/>
    <b v="1"/>
    <b v="0"/>
    <b v="1"/>
    <n v="1"/>
    <m/>
    <n v="1"/>
    <m/>
  </r>
  <r>
    <s v="TX002416"/>
    <s v="AC00459"/>
    <n v="414.49"/>
    <d v="2023-02-13T16:03:33"/>
    <s v="Credit"/>
    <x v="37"/>
    <s v="D000311"/>
    <s v="109.42.41.157"/>
    <s v="M051"/>
    <s v="Online"/>
    <n v="58"/>
    <s v="Doctor"/>
    <n v="108"/>
    <n v="1"/>
    <n v="12709.58"/>
    <d v="2024-11-04T08:09:08"/>
    <n v="16"/>
    <s v="Monday"/>
    <n v="0.40040324129341398"/>
    <b v="0"/>
    <b v="0"/>
    <b v="1"/>
    <n v="0"/>
    <m/>
    <n v="0"/>
    <m/>
  </r>
  <r>
    <s v="TX002417"/>
    <s v="AC00069"/>
    <n v="315.13"/>
    <d v="2023-12-05T16:04:34"/>
    <s v="Debit"/>
    <x v="32"/>
    <s v="D000171"/>
    <s v="107.248.120.12"/>
    <s v="M045"/>
    <s v="Branch"/>
    <n v="30"/>
    <s v="Engineer"/>
    <n v="143"/>
    <n v="1"/>
    <n v="6570.94"/>
    <d v="2024-11-04T08:07:21"/>
    <n v="16"/>
    <s v="Tuesday"/>
    <n v="6.0066613396313098E-2"/>
    <b v="0"/>
    <b v="0"/>
    <b v="1"/>
    <n v="0"/>
    <m/>
    <n v="0"/>
    <m/>
  </r>
  <r>
    <s v="TX002418"/>
    <s v="AC00046"/>
    <n v="28.38"/>
    <d v="2023-10-03T16:39:18"/>
    <s v="Debit"/>
    <x v="28"/>
    <s v="D000202"/>
    <s v="30.92.249.132"/>
    <s v="M042"/>
    <s v="Branch"/>
    <n v="45"/>
    <s v="Doctor"/>
    <n v="260"/>
    <n v="1"/>
    <n v="8892.6200000000008"/>
    <d v="2024-11-04T08:09:52"/>
    <n v="16"/>
    <s v="Tuesday"/>
    <n v="-0.92213475586187499"/>
    <b v="0"/>
    <b v="0"/>
    <b v="1"/>
    <n v="0"/>
    <m/>
    <n v="0"/>
    <m/>
  </r>
  <r>
    <s v="TX002419"/>
    <s v="AC00067"/>
    <n v="456.05"/>
    <d v="2023-03-17T17:03:03"/>
    <s v="Debit"/>
    <x v="8"/>
    <s v="D000220"/>
    <s v="90.111.245.138"/>
    <s v="M073"/>
    <s v="Branch"/>
    <n v="68"/>
    <s v="Doctor"/>
    <n v="20"/>
    <n v="1"/>
    <n v="11729.51"/>
    <d v="2024-11-04T08:10:37"/>
    <n v="17"/>
    <s v="Friday"/>
    <n v="0.54275821568354599"/>
    <b v="0"/>
    <b v="0"/>
    <b v="1"/>
    <n v="0"/>
    <m/>
    <n v="0"/>
    <m/>
  </r>
  <r>
    <s v="TX002420"/>
    <s v="AC00257"/>
    <n v="277.22000000000003"/>
    <d v="2023-08-17T17:10:25"/>
    <s v="Debit"/>
    <x v="31"/>
    <s v="D000582"/>
    <s v="148.42.122.1"/>
    <s v="M035"/>
    <s v="Branch"/>
    <n v="35"/>
    <s v="Doctor"/>
    <n v="41"/>
    <n v="1"/>
    <n v="12104.51"/>
    <d v="2024-11-04T08:07:27"/>
    <n v="17"/>
    <s v="Thursday"/>
    <n v="-6.9786059345022203E-2"/>
    <b v="0"/>
    <b v="0"/>
    <b v="1"/>
    <n v="0"/>
    <m/>
    <n v="0"/>
    <m/>
  </r>
  <r>
    <s v="TX002421"/>
    <s v="AC00215"/>
    <n v="54.84"/>
    <d v="2023-05-08T16:48:31"/>
    <s v="Debit"/>
    <x v="31"/>
    <s v="D000140"/>
    <s v="186.54.68.246"/>
    <s v="M002"/>
    <s v="Online"/>
    <n v="52"/>
    <s v="Retired"/>
    <n v="124"/>
    <n v="1"/>
    <n v="3495.51"/>
    <d v="2024-11-04T08:11:44"/>
    <n v="16"/>
    <s v="Monday"/>
    <n v="-0.831501632128408"/>
    <b v="0"/>
    <b v="0"/>
    <b v="1"/>
    <n v="0"/>
    <m/>
    <n v="0"/>
    <m/>
  </r>
  <r>
    <s v="TX002422"/>
    <s v="AC00152"/>
    <n v="29.92"/>
    <d v="2024-01-01T16:25:13"/>
    <s v="Credit"/>
    <x v="13"/>
    <s v="D000672"/>
    <s v="167.95.191.52"/>
    <s v="M010"/>
    <s v="Online"/>
    <n v="68"/>
    <s v="Doctor"/>
    <n v="63"/>
    <n v="1"/>
    <n v="7855.01"/>
    <d v="2024-11-04T08:10:15"/>
    <n v="16"/>
    <s v="Monday"/>
    <n v="-0.91685981215251999"/>
    <b v="0"/>
    <b v="0"/>
    <b v="1"/>
    <n v="0"/>
    <m/>
    <n v="0"/>
    <m/>
  </r>
  <r>
    <s v="TX002423"/>
    <s v="AC00306"/>
    <n v="133.06"/>
    <d v="2023-02-03T17:00:39"/>
    <s v="Debit"/>
    <x v="17"/>
    <s v="D000616"/>
    <s v="106.244.1.47"/>
    <s v="M072"/>
    <s v="Online"/>
    <n v="35"/>
    <s v="Engineer"/>
    <n v="143"/>
    <n v="1"/>
    <n v="8843.44"/>
    <d v="2024-11-04T08:09:53"/>
    <n v="17"/>
    <s v="Friday"/>
    <n v="-0.56357559515063804"/>
    <b v="0"/>
    <b v="0"/>
    <b v="1"/>
    <n v="0"/>
    <m/>
    <n v="0"/>
    <m/>
  </r>
  <r>
    <s v="TX002424"/>
    <s v="AC00340"/>
    <n v="332.06"/>
    <d v="2023-06-21T16:38:54"/>
    <s v="Debit"/>
    <x v="6"/>
    <s v="D000365"/>
    <s v="94.37.250.128"/>
    <s v="M086"/>
    <s v="ATM"/>
    <n v="29"/>
    <s v="Doctor"/>
    <n v="221"/>
    <n v="4"/>
    <n v="11826.52"/>
    <d v="2024-11-04T08:06:23"/>
    <n v="16"/>
    <s v="Wednesday"/>
    <n v="0.118056741317991"/>
    <b v="0"/>
    <b v="1"/>
    <b v="1"/>
    <n v="1"/>
    <m/>
    <n v="0"/>
    <m/>
  </r>
  <r>
    <s v="TX002425"/>
    <s v="AC00116"/>
    <n v="14.34"/>
    <d v="2023-10-17T17:51:19"/>
    <s v="Credit"/>
    <x v="11"/>
    <s v="D000620"/>
    <s v="80.92.209.207"/>
    <s v="M004"/>
    <s v="Online"/>
    <n v="67"/>
    <s v="Retired"/>
    <n v="24"/>
    <n v="1"/>
    <n v="7932.51"/>
    <d v="2024-11-04T08:07:06"/>
    <n v="17"/>
    <s v="Tuesday"/>
    <n v="-0.970225801108205"/>
    <b v="0"/>
    <b v="0"/>
    <b v="1"/>
    <n v="0"/>
    <m/>
    <n v="0"/>
    <m/>
  </r>
  <r>
    <s v="TX002426"/>
    <s v="AC00306"/>
    <n v="468.32"/>
    <d v="2023-06-08T16:20:29"/>
    <s v="Debit"/>
    <x v="41"/>
    <s v="D000200"/>
    <s v="203.245.215.62"/>
    <s v="M095"/>
    <s v="Online"/>
    <n v="69"/>
    <s v="Retired"/>
    <n v="152"/>
    <n v="1"/>
    <n v="4710.04"/>
    <d v="2024-11-04T08:06:47"/>
    <n v="16"/>
    <s v="Thursday"/>
    <n v="0.58478650095223905"/>
    <b v="0"/>
    <b v="0"/>
    <b v="1"/>
    <n v="0"/>
    <m/>
    <n v="0"/>
    <m/>
  </r>
  <r>
    <s v="TX002427"/>
    <s v="AC00032"/>
    <n v="582.16999999999996"/>
    <d v="2023-12-07T16:02:47"/>
    <s v="Debit"/>
    <x v="28"/>
    <s v="D000032"/>
    <s v="147.114.91.132"/>
    <s v="M093"/>
    <s v="Branch"/>
    <n v="57"/>
    <s v="Engineer"/>
    <n v="135"/>
    <n v="1"/>
    <n v="7310.83"/>
    <d v="2024-11-04T08:08:05"/>
    <n v="16"/>
    <s v="Thursday"/>
    <n v="0.97475555375100098"/>
    <b v="0"/>
    <b v="0"/>
    <b v="1"/>
    <n v="0"/>
    <m/>
    <n v="0"/>
    <m/>
  </r>
  <r>
    <s v="TX002428"/>
    <s v="AC00374"/>
    <n v="245.62"/>
    <d v="2023-12-15T17:01:58"/>
    <s v="Debit"/>
    <x v="25"/>
    <s v="D000045"/>
    <s v="167.164.55.0"/>
    <s v="M021"/>
    <s v="Branch"/>
    <n v="23"/>
    <s v="Student"/>
    <n v="127"/>
    <n v="1"/>
    <n v="1879.82"/>
    <d v="2024-11-04T08:08:30"/>
    <n v="17"/>
    <s v="Friday"/>
    <n v="-0.17802516403049301"/>
    <b v="0"/>
    <b v="0"/>
    <b v="1"/>
    <n v="0"/>
    <m/>
    <n v="0"/>
    <m/>
  </r>
  <r>
    <s v="TX002429"/>
    <s v="AC00303"/>
    <n v="981.9"/>
    <d v="2023-11-28T16:17:46"/>
    <s v="Credit"/>
    <x v="21"/>
    <s v="D000686"/>
    <s v="160.65.101.37"/>
    <s v="M029"/>
    <s v="Online"/>
    <n v="43"/>
    <s v="Doctor"/>
    <n v="112"/>
    <n v="1"/>
    <n v="9018.33"/>
    <d v="2024-11-04T08:06:53"/>
    <n v="16"/>
    <s v="Tuesday"/>
    <n v="2.3439459751409699"/>
    <b v="1"/>
    <b v="0"/>
    <b v="1"/>
    <n v="1"/>
    <m/>
    <n v="1"/>
    <m/>
  </r>
  <r>
    <s v="TX002430"/>
    <s v="AC00464"/>
    <n v="83.6"/>
    <d v="2023-12-29T18:29:23"/>
    <s v="Debit"/>
    <x v="24"/>
    <s v="D000236"/>
    <s v="79.227.202.117"/>
    <s v="M090"/>
    <s v="ATM"/>
    <n v="47"/>
    <s v="Doctor"/>
    <n v="192"/>
    <n v="1"/>
    <n v="13899.24"/>
    <d v="2024-11-04T08:09:19"/>
    <n v="18"/>
    <s v="Friday"/>
    <n v="-0.73299034571213795"/>
    <b v="0"/>
    <b v="0"/>
    <b v="1"/>
    <n v="0"/>
    <m/>
    <n v="0"/>
    <m/>
  </r>
  <r>
    <s v="TX002431"/>
    <s v="AC00245"/>
    <n v="331.22"/>
    <d v="2023-05-25T16:27:17"/>
    <s v="Credit"/>
    <x v="5"/>
    <s v="D000444"/>
    <s v="101.90.40.193"/>
    <s v="M035"/>
    <s v="Branch"/>
    <n v="61"/>
    <s v="Doctor"/>
    <n v="161"/>
    <n v="1"/>
    <n v="12613.25"/>
    <d v="2024-11-04T08:12:21"/>
    <n v="16"/>
    <s v="Thursday"/>
    <n v="0.115179499294706"/>
    <b v="0"/>
    <b v="0"/>
    <b v="1"/>
    <n v="0"/>
    <m/>
    <n v="0"/>
    <m/>
  </r>
  <r>
    <s v="TX002432"/>
    <s v="AC00373"/>
    <n v="57.49"/>
    <d v="2023-11-16T18:09:35"/>
    <s v="Credit"/>
    <x v="8"/>
    <s v="D000533"/>
    <s v="60.166.231.236"/>
    <s v="M014"/>
    <s v="Online"/>
    <n v="24"/>
    <s v="Student"/>
    <n v="177"/>
    <n v="1"/>
    <n v="765.15"/>
    <d v="2024-11-04T08:11:34"/>
    <n v="18"/>
    <s v="Thursday"/>
    <n v="-0.82242461860256999"/>
    <b v="0"/>
    <b v="0"/>
    <b v="1"/>
    <n v="0"/>
    <m/>
    <n v="0"/>
    <m/>
  </r>
  <r>
    <s v="TX002433"/>
    <s v="AC00386"/>
    <n v="85.58"/>
    <d v="2023-11-23T17:17:59"/>
    <s v="Debit"/>
    <x v="18"/>
    <s v="D000502"/>
    <s v="38.210.156.148"/>
    <s v="M029"/>
    <s v="ATM"/>
    <n v="55"/>
    <s v="Engineer"/>
    <n v="60"/>
    <n v="1"/>
    <n v="7794.84"/>
    <d v="2024-11-04T08:07:49"/>
    <n v="17"/>
    <s v="Thursday"/>
    <n v="-0.72620827522868103"/>
    <b v="0"/>
    <b v="0"/>
    <b v="1"/>
    <n v="0"/>
    <m/>
    <n v="0"/>
    <m/>
  </r>
  <r>
    <s v="TX002434"/>
    <s v="AC00078"/>
    <n v="157.56"/>
    <d v="2023-04-11T17:06:47"/>
    <s v="Debit"/>
    <x v="7"/>
    <s v="D000550"/>
    <s v="63.82.133.139"/>
    <s v="M056"/>
    <s v="Branch"/>
    <n v="43"/>
    <s v="Doctor"/>
    <n v="159"/>
    <n v="1"/>
    <n v="7541.16"/>
    <d v="2024-11-04T08:07:45"/>
    <n v="17"/>
    <s v="Tuesday"/>
    <n v="-0.47965603613816898"/>
    <b v="0"/>
    <b v="0"/>
    <b v="1"/>
    <n v="0"/>
    <m/>
    <n v="0"/>
    <m/>
  </r>
  <r>
    <s v="TX002435"/>
    <s v="AC00424"/>
    <n v="230.3"/>
    <d v="2023-02-24T16:57:24"/>
    <s v="Debit"/>
    <x v="40"/>
    <s v="D000029"/>
    <s v="145.1.251.175"/>
    <s v="M032"/>
    <s v="Online"/>
    <n v="46"/>
    <s v="Engineer"/>
    <n v="24"/>
    <n v="1"/>
    <n v="8356.8799999999992"/>
    <d v="2024-11-04T08:08:21"/>
    <n v="16"/>
    <s v="Friday"/>
    <n v="-0.23050057807420801"/>
    <b v="0"/>
    <b v="0"/>
    <b v="1"/>
    <n v="0"/>
    <m/>
    <n v="0"/>
    <m/>
  </r>
  <r>
    <s v="TX002436"/>
    <s v="AC00033"/>
    <n v="305.92"/>
    <d v="2023-12-06T16:42:18"/>
    <s v="Debit"/>
    <x v="39"/>
    <s v="D000128"/>
    <s v="136.172.149.77"/>
    <s v="M057"/>
    <s v="ATM"/>
    <n v="72"/>
    <s v="Retired"/>
    <n v="88"/>
    <n v="1"/>
    <n v="1445.47"/>
    <d v="2024-11-04T08:08:28"/>
    <n v="16"/>
    <s v="Wednesday"/>
    <n v="2.85197097838705E-2"/>
    <b v="0"/>
    <b v="0"/>
    <b v="1"/>
    <n v="0"/>
    <m/>
    <n v="0"/>
    <m/>
  </r>
  <r>
    <s v="TX002437"/>
    <s v="AC00046"/>
    <n v="942.7"/>
    <d v="2023-11-06T16:24:45"/>
    <s v="Debit"/>
    <x v="35"/>
    <s v="D000565"/>
    <s v="1.198.76.182"/>
    <s v="M048"/>
    <s v="Online"/>
    <n v="35"/>
    <s v="Engineer"/>
    <n v="29"/>
    <n v="1"/>
    <n v="5141.32"/>
    <d v="2024-11-04T08:11:10"/>
    <n v="16"/>
    <s v="Monday"/>
    <n v="2.2096746807210201"/>
    <b v="1"/>
    <b v="0"/>
    <b v="1"/>
    <n v="1"/>
    <m/>
    <n v="1"/>
    <m/>
  </r>
  <r>
    <s v="TX002438"/>
    <s v="AC00298"/>
    <n v="116.33"/>
    <d v="2023-02-17T16:37:06"/>
    <s v="Debit"/>
    <x v="41"/>
    <s v="D000391"/>
    <s v="173.135.78.201"/>
    <s v="M090"/>
    <s v="Branch"/>
    <n v="27"/>
    <s v="Student"/>
    <n v="144"/>
    <n v="1"/>
    <n v="1696.15"/>
    <d v="2024-11-04T08:08:42"/>
    <n v="16"/>
    <s v="Friday"/>
    <n v="-0.62088066544772502"/>
    <b v="0"/>
    <b v="0"/>
    <b v="1"/>
    <n v="0"/>
    <m/>
    <n v="0"/>
    <m/>
  </r>
  <r>
    <s v="TX002439"/>
    <s v="AC00432"/>
    <n v="537.71"/>
    <d v="2023-04-04T16:07:04"/>
    <s v="Credit"/>
    <x v="2"/>
    <s v="D000073"/>
    <s v="146.69.70.214"/>
    <s v="M078"/>
    <s v="Online"/>
    <n v="19"/>
    <s v="Student"/>
    <n v="175"/>
    <n v="1"/>
    <n v="1806.08"/>
    <d v="2024-11-04T08:07:22"/>
    <n v="16"/>
    <s v="Tuesday"/>
    <n v="0.82246724380429104"/>
    <b v="0"/>
    <b v="0"/>
    <b v="1"/>
    <n v="0"/>
    <m/>
    <n v="0"/>
    <m/>
  </r>
  <r>
    <s v="TX002440"/>
    <s v="AC00439"/>
    <n v="538.16999999999996"/>
    <d v="2023-09-26T17:27:17"/>
    <s v="Credit"/>
    <x v="38"/>
    <s v="D000430"/>
    <s v="116.44.12.250"/>
    <s v="M055"/>
    <s v="Branch"/>
    <n v="27"/>
    <s v="Engineer"/>
    <n v="252"/>
    <n v="1"/>
    <n v="5908.04"/>
    <d v="2024-11-04T08:10:25"/>
    <n v="17"/>
    <s v="Tuesday"/>
    <n v="0.82404287634085105"/>
    <b v="0"/>
    <b v="0"/>
    <b v="1"/>
    <n v="0"/>
    <m/>
    <n v="0"/>
    <m/>
  </r>
  <r>
    <s v="TX002441"/>
    <s v="AC00407"/>
    <n v="219.44"/>
    <d v="2023-07-20T18:13:07"/>
    <s v="Debit"/>
    <x v="38"/>
    <s v="D000685"/>
    <s v="60.89.202.192"/>
    <s v="M003"/>
    <s v="Online"/>
    <n v="42"/>
    <s v="Engineer"/>
    <n v="23"/>
    <n v="1"/>
    <n v="4207.2700000000004"/>
    <d v="2024-11-04T08:09:38"/>
    <n v="18"/>
    <s v="Thursday"/>
    <n v="-0.26769920708953199"/>
    <b v="0"/>
    <b v="0"/>
    <b v="1"/>
    <n v="0"/>
    <m/>
    <n v="0"/>
    <m/>
  </r>
  <r>
    <s v="TX002442"/>
    <s v="AC00004"/>
    <n v="61.62"/>
    <d v="2023-10-09T16:01:25"/>
    <s v="Debit"/>
    <x v="19"/>
    <s v="D000134"/>
    <s v="93.218.115.132"/>
    <s v="M066"/>
    <s v="Online"/>
    <n v="57"/>
    <s v="Doctor"/>
    <n v="19"/>
    <n v="1"/>
    <n v="8365.3700000000008"/>
    <d v="2024-11-04T08:12:02"/>
    <n v="16"/>
    <s v="Monday"/>
    <n v="-0.80827817865475404"/>
    <b v="0"/>
    <b v="0"/>
    <b v="1"/>
    <n v="0"/>
    <m/>
    <n v="0"/>
    <m/>
  </r>
  <r>
    <s v="TX002443"/>
    <s v="AC00079"/>
    <n v="58.77"/>
    <d v="2023-07-13T16:35:37"/>
    <s v="Debit"/>
    <x v="11"/>
    <s v="D000238"/>
    <s v="137.135.250.168"/>
    <s v="M036"/>
    <s v="Online"/>
    <n v="27"/>
    <s v="Engineer"/>
    <n v="191"/>
    <n v="1"/>
    <n v="7261.7"/>
    <d v="2024-11-04T08:06:39"/>
    <n v="16"/>
    <s v="Thursday"/>
    <n v="-0.81804024980518397"/>
    <b v="0"/>
    <b v="0"/>
    <b v="1"/>
    <n v="0"/>
    <m/>
    <n v="0"/>
    <m/>
  </r>
  <r>
    <s v="TX002444"/>
    <s v="AC00356"/>
    <n v="538.13"/>
    <d v="2023-09-07T17:44:26"/>
    <s v="Debit"/>
    <x v="27"/>
    <s v="D000407"/>
    <s v="32.169.88.41"/>
    <s v="M045"/>
    <s v="ATM"/>
    <n v="62"/>
    <s v="Retired"/>
    <n v="165"/>
    <n v="1"/>
    <n v="5008.59"/>
    <d v="2024-11-04T08:12:13"/>
    <n v="17"/>
    <s v="Thursday"/>
    <n v="0.82390586481593298"/>
    <b v="0"/>
    <b v="0"/>
    <b v="1"/>
    <n v="0"/>
    <m/>
    <n v="0"/>
    <m/>
  </r>
  <r>
    <s v="TX002445"/>
    <s v="AC00269"/>
    <n v="177.05"/>
    <d v="2023-08-29T16:22:40"/>
    <s v="Debit"/>
    <x v="26"/>
    <s v="D000603"/>
    <s v="40.45.69.120"/>
    <s v="M060"/>
    <s v="Branch"/>
    <n v="24"/>
    <s v="Student"/>
    <n v="235"/>
    <n v="1"/>
    <n v="4287.82"/>
    <d v="2024-11-04T08:06:55"/>
    <n v="16"/>
    <s v="Tuesday"/>
    <n v="-0.41289717062171899"/>
    <b v="0"/>
    <b v="0"/>
    <b v="1"/>
    <n v="0"/>
    <m/>
    <n v="0"/>
    <m/>
  </r>
  <r>
    <s v="TX002446"/>
    <s v="AC00439"/>
    <n v="403.01"/>
    <d v="2023-09-04T17:32:35"/>
    <s v="Debit"/>
    <x v="38"/>
    <s v="D000677"/>
    <s v="223.32.70.156"/>
    <s v="M029"/>
    <s v="Online"/>
    <n v="63"/>
    <s v="Doctor"/>
    <n v="286"/>
    <n v="3"/>
    <n v="10513.52"/>
    <d v="2024-11-04T08:09:32"/>
    <n v="17"/>
    <s v="Monday"/>
    <n v="0.36108093364185601"/>
    <b v="0"/>
    <b v="1"/>
    <b v="1"/>
    <n v="1"/>
    <m/>
    <n v="0"/>
    <m/>
  </r>
  <r>
    <s v="TX002447"/>
    <s v="AC00014"/>
    <n v="719.76"/>
    <d v="2023-03-30T17:50:23"/>
    <s v="Debit"/>
    <x v="23"/>
    <s v="D000548"/>
    <s v="161.25.82.11"/>
    <s v="M038"/>
    <s v="Branch"/>
    <n v="19"/>
    <s v="Student"/>
    <n v="190"/>
    <n v="1"/>
    <n v="690.52"/>
    <d v="2024-11-04T08:11:25"/>
    <n v="17"/>
    <s v="Thursday"/>
    <n v="1.44604094658878"/>
    <b v="0"/>
    <b v="0"/>
    <b v="1"/>
    <n v="0"/>
    <m/>
    <n v="0"/>
    <m/>
  </r>
  <r>
    <s v="TX002448"/>
    <s v="AC00140"/>
    <n v="163.22"/>
    <d v="2023-04-06T18:06:12"/>
    <s v="Debit"/>
    <x v="19"/>
    <s v="D000193"/>
    <s v="186.54.68.246"/>
    <s v="M029"/>
    <s v="Online"/>
    <n v="26"/>
    <s v="Student"/>
    <n v="217"/>
    <n v="1"/>
    <n v="1788.27"/>
    <d v="2024-11-04T08:07:56"/>
    <n v="18"/>
    <s v="Thursday"/>
    <n v="-0.46026890536222698"/>
    <b v="0"/>
    <b v="0"/>
    <b v="1"/>
    <n v="0"/>
    <m/>
    <n v="0"/>
    <m/>
  </r>
  <r>
    <s v="TX002449"/>
    <s v="AC00460"/>
    <n v="242.85"/>
    <d v="2023-10-23T16:19:39"/>
    <s v="Debit"/>
    <x v="25"/>
    <s v="D000068"/>
    <s v="124.6.134.78"/>
    <s v="M036"/>
    <s v="Online"/>
    <n v="42"/>
    <s v="Engineer"/>
    <n v="93"/>
    <n v="1"/>
    <n v="4672.8"/>
    <d v="2024-11-04T08:10:22"/>
    <n v="16"/>
    <s v="Monday"/>
    <n v="-0.18751321213108599"/>
    <b v="0"/>
    <b v="0"/>
    <b v="1"/>
    <n v="0"/>
    <m/>
    <n v="0"/>
    <m/>
  </r>
  <r>
    <s v="TX002450"/>
    <s v="AC00494"/>
    <n v="291.22000000000003"/>
    <d v="2023-11-03T16:45:25"/>
    <s v="Credit"/>
    <x v="21"/>
    <s v="D000555"/>
    <s v="174.61.77.54"/>
    <s v="M095"/>
    <s v="Online"/>
    <n v="41"/>
    <s v="Engineer"/>
    <n v="100"/>
    <n v="1"/>
    <n v="3677.63"/>
    <d v="2024-11-04T08:09:36"/>
    <n v="16"/>
    <s v="Friday"/>
    <n v="-2.1832025623611001E-2"/>
    <b v="0"/>
    <b v="0"/>
    <b v="1"/>
    <n v="0"/>
    <m/>
    <n v="0"/>
    <m/>
  </r>
  <r>
    <s v="TX002451"/>
    <s v="AC00325"/>
    <n v="56.52"/>
    <d v="2023-12-04T16:08:59"/>
    <s v="Debit"/>
    <x v="32"/>
    <s v="D000146"/>
    <s v="156.134.123.253"/>
    <s v="M077"/>
    <s v="ATM"/>
    <n v="42"/>
    <s v="Engineer"/>
    <n v="152"/>
    <n v="1"/>
    <n v="6911.2"/>
    <d v="2024-11-04T08:08:50"/>
    <n v="16"/>
    <s v="Monday"/>
    <n v="-0.82574714808183902"/>
    <b v="0"/>
    <b v="0"/>
    <b v="1"/>
    <n v="0"/>
    <m/>
    <n v="0"/>
    <m/>
  </r>
  <r>
    <s v="TX002452"/>
    <s v="AC00150"/>
    <n v="195.8"/>
    <d v="2023-02-28T17:37:48"/>
    <s v="Debit"/>
    <x v="3"/>
    <s v="D000511"/>
    <s v="82.75.200.117"/>
    <s v="M052"/>
    <s v="Online"/>
    <n v="39"/>
    <s v="Doctor"/>
    <n v="186"/>
    <n v="1"/>
    <n v="12027.68"/>
    <d v="2024-11-04T08:06:59"/>
    <n v="17"/>
    <s v="Tuesday"/>
    <n v="-0.34867301831625702"/>
    <b v="0"/>
    <b v="0"/>
    <b v="1"/>
    <n v="0"/>
    <m/>
    <n v="0"/>
    <m/>
  </r>
  <r>
    <s v="TX002453"/>
    <s v="AC00242"/>
    <n v="66.760000000000005"/>
    <d v="2023-04-24T18:29:26"/>
    <s v="Credit"/>
    <x v="14"/>
    <s v="D000670"/>
    <s v="97.106.5.76"/>
    <s v="M004"/>
    <s v="Branch"/>
    <n v="36"/>
    <s v="Doctor"/>
    <n v="44"/>
    <n v="1"/>
    <n v="184.72"/>
    <d v="2024-11-04T08:10:58"/>
    <n v="18"/>
    <s v="Monday"/>
    <n v="-0.79067219770274999"/>
    <b v="0"/>
    <b v="0"/>
    <b v="1"/>
    <n v="0"/>
    <m/>
    <n v="0"/>
    <m/>
  </r>
  <r>
    <s v="TX002454"/>
    <s v="AC00222"/>
    <n v="190.9"/>
    <d v="2023-10-09T16:17:07"/>
    <s v="Debit"/>
    <x v="36"/>
    <s v="D000390"/>
    <s v="42.61.10.112"/>
    <s v="M002"/>
    <s v="Online"/>
    <n v="28"/>
    <s v="Student"/>
    <n v="40"/>
    <n v="1"/>
    <n v="101.25"/>
    <d v="2024-11-04T08:10:27"/>
    <n v="16"/>
    <s v="Monday"/>
    <n v="-0.36545693011875102"/>
    <b v="0"/>
    <b v="0"/>
    <b v="1"/>
    <n v="0"/>
    <m/>
    <n v="0"/>
    <m/>
  </r>
  <r>
    <s v="TX002455"/>
    <s v="AC00170"/>
    <n v="106.99"/>
    <d v="2023-11-24T17:00:27"/>
    <s v="Debit"/>
    <x v="32"/>
    <s v="D000092"/>
    <s v="193.190.29.63"/>
    <s v="M078"/>
    <s v="Branch"/>
    <n v="38"/>
    <s v="Engineer"/>
    <n v="152"/>
    <n v="1"/>
    <n v="5771.4"/>
    <d v="2024-11-04T08:10:43"/>
    <n v="17"/>
    <s v="Friday"/>
    <n v="-0.65287285651615201"/>
    <b v="0"/>
    <b v="0"/>
    <b v="1"/>
    <n v="0"/>
    <m/>
    <n v="0"/>
    <m/>
  </r>
  <r>
    <s v="TX002456"/>
    <s v="AC00043"/>
    <n v="655.81"/>
    <d v="2023-05-05T16:52:44"/>
    <s v="Debit"/>
    <x v="32"/>
    <s v="D000567"/>
    <s v="86.83.61.143"/>
    <s v="M044"/>
    <s v="ATM"/>
    <n v="55"/>
    <s v="Retired"/>
    <n v="164"/>
    <n v="2"/>
    <n v="4539.99"/>
    <d v="2024-11-04T08:12:08"/>
    <n v="16"/>
    <s v="Friday"/>
    <n v="1.22699377112562"/>
    <b v="0"/>
    <b v="1"/>
    <b v="1"/>
    <n v="1"/>
    <m/>
    <n v="0"/>
    <m/>
  </r>
  <r>
    <s v="TX002457"/>
    <s v="AC00487"/>
    <n v="107.1"/>
    <d v="2023-06-16T16:41:13"/>
    <s v="Credit"/>
    <x v="26"/>
    <s v="D000453"/>
    <s v="163.129.70.210"/>
    <s v="M052"/>
    <s v="Online"/>
    <n v="25"/>
    <s v="Student"/>
    <n v="175"/>
    <n v="1"/>
    <n v="193.8"/>
    <d v="2024-11-04T08:11:33"/>
    <n v="16"/>
    <s v="Friday"/>
    <n v="-0.65249607482262695"/>
    <b v="0"/>
    <b v="0"/>
    <b v="1"/>
    <n v="0"/>
    <m/>
    <n v="0"/>
    <m/>
  </r>
  <r>
    <s v="TX002458"/>
    <s v="AC00315"/>
    <n v="79.92"/>
    <d v="2023-02-06T17:32:11"/>
    <s v="Debit"/>
    <x v="19"/>
    <s v="D000193"/>
    <s v="42.3.3.101"/>
    <s v="M003"/>
    <s v="ATM"/>
    <n v="44"/>
    <s v="Engineer"/>
    <n v="274"/>
    <n v="2"/>
    <n v="9138.76"/>
    <d v="2024-11-04T08:09:14"/>
    <n v="17"/>
    <s v="Monday"/>
    <n v="-0.74559540600462304"/>
    <b v="0"/>
    <b v="1"/>
    <b v="1"/>
    <n v="1"/>
    <m/>
    <n v="0"/>
    <m/>
  </r>
  <r>
    <s v="TX002459"/>
    <s v="AC00312"/>
    <n v="430.83"/>
    <d v="2023-08-14T16:09:21"/>
    <s v="Debit"/>
    <x v="16"/>
    <s v="D000195"/>
    <s v="87.50.72.69"/>
    <s v="M079"/>
    <s v="Branch"/>
    <n v="18"/>
    <s v="Student"/>
    <n v="292"/>
    <n v="1"/>
    <n v="941.49"/>
    <d v="2024-11-04T08:07:49"/>
    <n v="16"/>
    <s v="Monday"/>
    <n v="0.45637244922254599"/>
    <b v="0"/>
    <b v="0"/>
    <b v="1"/>
    <n v="0"/>
    <m/>
    <n v="0"/>
    <m/>
  </r>
  <r>
    <s v="TX002460"/>
    <s v="AC00483"/>
    <n v="235.34"/>
    <d v="2023-10-16T16:13:57"/>
    <s v="Debit"/>
    <x v="38"/>
    <s v="D000631"/>
    <s v="198.166.198.233"/>
    <s v="M085"/>
    <s v="Branch"/>
    <n v="26"/>
    <s v="Student"/>
    <n v="68"/>
    <n v="1"/>
    <n v="566.83000000000004"/>
    <d v="2024-11-04T08:12:01"/>
    <n v="16"/>
    <s v="Monday"/>
    <n v="-0.2132371259345"/>
    <b v="0"/>
    <b v="0"/>
    <b v="1"/>
    <n v="0"/>
    <m/>
    <n v="0"/>
    <m/>
  </r>
  <r>
    <s v="TX002461"/>
    <s v="AC00430"/>
    <n v="86.35"/>
    <d v="2023-09-04T17:17:40"/>
    <s v="Credit"/>
    <x v="7"/>
    <s v="D000280"/>
    <s v="111.226.226.202"/>
    <s v="M026"/>
    <s v="Branch"/>
    <n v="52"/>
    <s v="Retired"/>
    <n v="24"/>
    <n v="1"/>
    <n v="1550.48"/>
    <d v="2024-11-04T08:10:10"/>
    <n v="17"/>
    <s v="Monday"/>
    <n v="-0.72357080337400403"/>
    <b v="0"/>
    <b v="0"/>
    <b v="1"/>
    <n v="0"/>
    <m/>
    <n v="0"/>
    <m/>
  </r>
  <r>
    <s v="TX002462"/>
    <s v="AC00320"/>
    <n v="337.99"/>
    <d v="2023-03-02T16:41:57"/>
    <s v="Debit"/>
    <x v="40"/>
    <s v="D000420"/>
    <s v="113.115.81.178"/>
    <s v="M069"/>
    <s v="ATM"/>
    <n v="70"/>
    <s v="Doctor"/>
    <n v="115"/>
    <n v="1"/>
    <n v="9038.6299999999992"/>
    <d v="2024-11-04T08:06:36"/>
    <n v="16"/>
    <s v="Thursday"/>
    <n v="0.13836869988713099"/>
    <b v="0"/>
    <b v="0"/>
    <b v="1"/>
    <n v="0"/>
    <m/>
    <n v="0"/>
    <m/>
  </r>
  <r>
    <s v="TX002463"/>
    <s v="AC00464"/>
    <n v="577.13"/>
    <d v="2023-09-27T16:50:01"/>
    <s v="Credit"/>
    <x v="24"/>
    <s v="D000438"/>
    <s v="194.88.79.54"/>
    <s v="M065"/>
    <s v="Branch"/>
    <n v="40"/>
    <s v="Engineer"/>
    <n v="66"/>
    <n v="1"/>
    <n v="6640.51"/>
    <d v="2024-11-04T08:08:42"/>
    <n v="16"/>
    <s v="Wednesday"/>
    <n v="0.95749210161129295"/>
    <b v="0"/>
    <b v="0"/>
    <b v="1"/>
    <n v="0"/>
    <m/>
    <n v="0"/>
    <m/>
  </r>
  <r>
    <s v="TX002464"/>
    <s v="AC00436"/>
    <n v="213.33"/>
    <d v="2023-08-28T16:41:57"/>
    <s v="Debit"/>
    <x v="32"/>
    <s v="D000319"/>
    <s v="60.197.167.40"/>
    <s v="M088"/>
    <s v="ATM"/>
    <n v="52"/>
    <s v="Retired"/>
    <n v="161"/>
    <n v="1"/>
    <n v="5400.44"/>
    <d v="2024-11-04T08:12:15"/>
    <n v="16"/>
    <s v="Monday"/>
    <n v="-0.28862771752080502"/>
    <b v="0"/>
    <b v="0"/>
    <b v="1"/>
    <n v="0"/>
    <m/>
    <n v="0"/>
    <m/>
  </r>
  <r>
    <s v="TX002465"/>
    <s v="AC00279"/>
    <n v="54.52"/>
    <d v="2023-03-02T17:32:19"/>
    <s v="Debit"/>
    <x v="7"/>
    <s v="D000582"/>
    <s v="110.247.153.70"/>
    <s v="M047"/>
    <s v="Branch"/>
    <n v="32"/>
    <s v="Doctor"/>
    <n v="164"/>
    <n v="1"/>
    <n v="6980.98"/>
    <d v="2024-11-04T08:09:06"/>
    <n v="17"/>
    <s v="Thursday"/>
    <n v="-0.83259772432775503"/>
    <b v="0"/>
    <b v="0"/>
    <b v="1"/>
    <n v="0"/>
    <m/>
    <n v="0"/>
    <m/>
  </r>
  <r>
    <s v="TX002466"/>
    <s v="AC00436"/>
    <n v="100.13"/>
    <d v="2023-12-11T16:40:52"/>
    <s v="Debit"/>
    <x v="13"/>
    <s v="D000216"/>
    <s v="27.93.195.98"/>
    <s v="M068"/>
    <s v="Branch"/>
    <n v="57"/>
    <s v="Doctor"/>
    <n v="168"/>
    <n v="1"/>
    <n v="5209.16"/>
    <d v="2024-11-04T08:11:08"/>
    <n v="16"/>
    <s v="Monday"/>
    <n v="-0.676370333039643"/>
    <b v="0"/>
    <b v="0"/>
    <b v="1"/>
    <n v="0"/>
    <m/>
    <n v="0"/>
    <m/>
  </r>
  <r>
    <s v="TX002467"/>
    <s v="AC00251"/>
    <n v="883.92"/>
    <d v="2023-11-03T16:08:00"/>
    <s v="Credit"/>
    <x v="28"/>
    <s v="D000058"/>
    <s v="117.67.192.211"/>
    <s v="M006"/>
    <s v="Online"/>
    <n v="53"/>
    <s v="Retired"/>
    <n v="129"/>
    <n v="1"/>
    <n v="2342.64"/>
    <d v="2024-11-04T08:11:08"/>
    <n v="16"/>
    <s v="Friday"/>
    <n v="2.0083362448535498"/>
    <b v="0"/>
    <b v="0"/>
    <b v="1"/>
    <n v="0"/>
    <m/>
    <n v="0"/>
    <m/>
  </r>
  <r>
    <s v="TX002468"/>
    <s v="AC00412"/>
    <n v="69.8"/>
    <d v="2023-05-02T16:01:04"/>
    <s v="Credit"/>
    <x v="22"/>
    <s v="D000361"/>
    <s v="125.225.212.244"/>
    <s v="M004"/>
    <s v="Branch"/>
    <n v="27"/>
    <s v="Student"/>
    <n v="138"/>
    <n v="1"/>
    <n v="136.77000000000001"/>
    <d v="2024-11-04T08:09:01"/>
    <n v="16"/>
    <s v="Tuesday"/>
    <n v="-0.78025932180895796"/>
    <b v="0"/>
    <b v="0"/>
    <b v="1"/>
    <n v="0"/>
    <m/>
    <n v="0"/>
    <m/>
  </r>
  <r>
    <s v="TX002469"/>
    <s v="AC00284"/>
    <n v="768.94"/>
    <d v="2023-10-11T17:36:16"/>
    <s v="Debit"/>
    <x v="7"/>
    <s v="D000281"/>
    <s v="47.82.77.181"/>
    <s v="M051"/>
    <s v="Branch"/>
    <n v="64"/>
    <s v="Retired"/>
    <n v="53"/>
    <n v="1"/>
    <n v="6860.18"/>
    <d v="2024-11-04T08:07:37"/>
    <n v="17"/>
    <s v="Wednesday"/>
    <n v="1.6144966164758501"/>
    <b v="0"/>
    <b v="0"/>
    <b v="1"/>
    <n v="0"/>
    <m/>
    <n v="0"/>
    <m/>
  </r>
  <r>
    <s v="TX002470"/>
    <s v="AC00054"/>
    <n v="179.62"/>
    <d v="2023-11-15T16:00:38"/>
    <s v="Debit"/>
    <x v="28"/>
    <s v="D000504"/>
    <s v="93.52.44.101"/>
    <s v="M082"/>
    <s v="Online"/>
    <n v="24"/>
    <s v="Student"/>
    <n v="119"/>
    <n v="1"/>
    <n v="409.26"/>
    <d v="2024-11-04T08:11:42"/>
    <n v="16"/>
    <s v="Wednesday"/>
    <n v="-0.40409418014571702"/>
    <b v="0"/>
    <b v="0"/>
    <b v="1"/>
    <n v="0"/>
    <m/>
    <n v="0"/>
    <m/>
  </r>
  <r>
    <s v="TX002471"/>
    <s v="AC00128"/>
    <n v="425.91"/>
    <d v="2023-03-24T16:34:27"/>
    <s v="Debit"/>
    <x v="36"/>
    <s v="D000412"/>
    <s v="177.116.108.246"/>
    <s v="M038"/>
    <s v="ATM"/>
    <n v="23"/>
    <s v="Student"/>
    <n v="47"/>
    <n v="1"/>
    <n v="383.58"/>
    <d v="2024-11-04T08:07:14"/>
    <n v="16"/>
    <s v="Friday"/>
    <n v="0.43952003165759301"/>
    <b v="0"/>
    <b v="0"/>
    <b v="1"/>
    <n v="0"/>
    <m/>
    <n v="0"/>
    <m/>
  </r>
  <r>
    <s v="TX002472"/>
    <s v="AC00236"/>
    <n v="263.33999999999997"/>
    <d v="2023-03-08T17:43:41"/>
    <s v="Debit"/>
    <x v="13"/>
    <s v="D000506"/>
    <s v="209.214.250.164"/>
    <s v="M084"/>
    <s v="ATM"/>
    <n v="64"/>
    <s v="Retired"/>
    <n v="55"/>
    <n v="1"/>
    <n v="2411.02"/>
    <d v="2024-11-04T08:11:16"/>
    <n v="17"/>
    <s v="Wednesday"/>
    <n v="-0.117329058491678"/>
    <b v="0"/>
    <b v="0"/>
    <b v="1"/>
    <n v="0"/>
    <m/>
    <n v="0"/>
    <m/>
  </r>
  <r>
    <s v="TX002473"/>
    <s v="AC00275"/>
    <n v="113.03"/>
    <d v="2023-03-15T17:53:09"/>
    <s v="Credit"/>
    <x v="28"/>
    <s v="D000521"/>
    <s v="11.3.59.231"/>
    <s v="M001"/>
    <s v="Online"/>
    <n v="36"/>
    <s v="Doctor"/>
    <n v="12"/>
    <n v="1"/>
    <n v="6756.13"/>
    <d v="2024-11-04T08:08:48"/>
    <n v="17"/>
    <s v="Wednesday"/>
    <n v="-0.63218411625348603"/>
    <b v="0"/>
    <b v="0"/>
    <b v="1"/>
    <n v="0"/>
    <m/>
    <n v="0"/>
    <m/>
  </r>
  <r>
    <s v="TX002474"/>
    <s v="AC00122"/>
    <n v="11.02"/>
    <d v="2023-07-31T17:49:23"/>
    <s v="Debit"/>
    <x v="14"/>
    <s v="D000371"/>
    <s v="77.208.193.198"/>
    <s v="M070"/>
    <s v="Online"/>
    <n v="42"/>
    <s v="Doctor"/>
    <n v="42"/>
    <n v="1"/>
    <n v="7879.66"/>
    <d v="2024-11-04T08:07:22"/>
    <n v="17"/>
    <s v="Monday"/>
    <n v="-0.98159775767642499"/>
    <b v="0"/>
    <b v="0"/>
    <b v="1"/>
    <n v="0"/>
    <m/>
    <n v="0"/>
    <m/>
  </r>
  <r>
    <s v="TX002475"/>
    <s v="AC00302"/>
    <n v="865.17"/>
    <d v="2023-12-07T17:13:16"/>
    <s v="Debit"/>
    <x v="1"/>
    <s v="D000381"/>
    <s v="77.21.150.75"/>
    <s v="M009"/>
    <s v="Branch"/>
    <n v="24"/>
    <s v="Student"/>
    <n v="161"/>
    <n v="1"/>
    <n v="9297.5"/>
    <d v="2024-11-04T08:10:13"/>
    <n v="17"/>
    <s v="Thursday"/>
    <n v="1.9441120925480899"/>
    <b v="0"/>
    <b v="0"/>
    <b v="1"/>
    <n v="0"/>
    <m/>
    <n v="0"/>
    <m/>
  </r>
  <r>
    <s v="TX002476"/>
    <s v="AC00058"/>
    <n v="152"/>
    <d v="2023-12-18T18:11:24"/>
    <s v="Debit"/>
    <x v="10"/>
    <s v="D000177"/>
    <s v="203.174.215.229"/>
    <s v="M060"/>
    <s v="ATM"/>
    <n v="51"/>
    <s v="Engineer"/>
    <n v="63"/>
    <n v="1"/>
    <n v="7531.43"/>
    <d v="2024-11-04T08:07:25"/>
    <n v="18"/>
    <s v="Monday"/>
    <n v="-0.49870063810181497"/>
    <b v="0"/>
    <b v="0"/>
    <b v="1"/>
    <n v="0"/>
    <m/>
    <n v="0"/>
    <m/>
  </r>
  <r>
    <s v="TX002477"/>
    <s v="AC00058"/>
    <n v="270.39"/>
    <d v="2023-06-12T17:30:53"/>
    <s v="Debit"/>
    <x v="36"/>
    <s v="D000214"/>
    <s v="111.226.226.202"/>
    <s v="M006"/>
    <s v="ATM"/>
    <n v="25"/>
    <s v="Student"/>
    <n v="104"/>
    <n v="1"/>
    <n v="899.15"/>
    <d v="2024-11-04T08:07:39"/>
    <n v="17"/>
    <s v="Monday"/>
    <n v="-9.3180777224825095E-2"/>
    <b v="0"/>
    <b v="0"/>
    <b v="1"/>
    <n v="0"/>
    <m/>
    <n v="0"/>
    <m/>
  </r>
  <r>
    <s v="TX002478"/>
    <s v="AC00042"/>
    <n v="246.41"/>
    <d v="2023-05-26T17:10:40"/>
    <s v="Debit"/>
    <x v="8"/>
    <s v="D000501"/>
    <s v="56.89.80.133"/>
    <s v="M071"/>
    <s v="ATM"/>
    <n v="54"/>
    <s v="Retired"/>
    <n v="23"/>
    <n v="1"/>
    <n v="1431.6"/>
    <d v="2024-11-04T08:12:12"/>
    <n v="17"/>
    <s v="Friday"/>
    <n v="-0.175319186413356"/>
    <b v="0"/>
    <b v="0"/>
    <b v="1"/>
    <n v="0"/>
    <m/>
    <n v="0"/>
    <m/>
  </r>
  <r>
    <s v="TX002479"/>
    <s v="AC00276"/>
    <n v="336.84"/>
    <d v="2023-03-07T17:24:45"/>
    <s v="Debit"/>
    <x v="38"/>
    <s v="D000559"/>
    <s v="161.195.172.148"/>
    <s v="M073"/>
    <s v="ATM"/>
    <n v="22"/>
    <s v="Student"/>
    <n v="100"/>
    <n v="1"/>
    <n v="4500.26"/>
    <d v="2024-11-04T08:09:58"/>
    <n v="17"/>
    <s v="Tuesday"/>
    <n v="0.13442961854572899"/>
    <b v="0"/>
    <b v="0"/>
    <b v="1"/>
    <n v="0"/>
    <m/>
    <n v="0"/>
    <m/>
  </r>
  <r>
    <s v="TX002480"/>
    <s v="AC00275"/>
    <n v="261.45"/>
    <d v="2023-10-27T17:02:06"/>
    <s v="Credit"/>
    <x v="5"/>
    <s v="D000005"/>
    <s v="73.156.208.26"/>
    <s v="M071"/>
    <s v="Online"/>
    <n v="50"/>
    <s v="Engineer"/>
    <n v="96"/>
    <n v="1"/>
    <n v="6735.74"/>
    <d v="2024-11-04T08:09:11"/>
    <n v="17"/>
    <s v="Friday"/>
    <n v="-0.123802853044069"/>
    <b v="0"/>
    <b v="0"/>
    <b v="1"/>
    <n v="0"/>
    <m/>
    <n v="0"/>
    <m/>
  </r>
  <r>
    <s v="TX002481"/>
    <s v="AC00070"/>
    <n v="99.98"/>
    <d v="2023-03-30T16:52:05"/>
    <s v="Credit"/>
    <x v="38"/>
    <s v="D000269"/>
    <s v="22.196.202.183"/>
    <s v="M093"/>
    <s v="Online"/>
    <n v="73"/>
    <s v="Retired"/>
    <n v="152"/>
    <n v="1"/>
    <n v="3037.97"/>
    <d v="2024-11-04T08:07:59"/>
    <n v="16"/>
    <s v="Thursday"/>
    <n v="-0.67688412625808703"/>
    <b v="0"/>
    <b v="0"/>
    <b v="1"/>
    <n v="0"/>
    <m/>
    <n v="0"/>
    <m/>
  </r>
  <r>
    <s v="TX002482"/>
    <s v="AC00317"/>
    <n v="400.69"/>
    <d v="2023-04-03T16:19:59"/>
    <s v="Debit"/>
    <x v="17"/>
    <s v="D000107"/>
    <s v="155.140.33.42"/>
    <s v="M066"/>
    <s v="Online"/>
    <n v="32"/>
    <s v="Engineer"/>
    <n v="26"/>
    <n v="1"/>
    <n v="9040.33"/>
    <d v="2024-11-04T08:07:57"/>
    <n v="16"/>
    <s v="Monday"/>
    <n v="0.35313426519659402"/>
    <b v="0"/>
    <b v="0"/>
    <b v="1"/>
    <n v="0"/>
    <m/>
    <n v="0"/>
    <m/>
  </r>
  <r>
    <s v="TX002483"/>
    <s v="AC00347"/>
    <n v="411.47"/>
    <d v="2023-12-25T16:25:42"/>
    <s v="Debit"/>
    <x v="18"/>
    <s v="D000110"/>
    <s v="33.28.138.82"/>
    <s v="M080"/>
    <s v="ATM"/>
    <n v="26"/>
    <s v="Student"/>
    <n v="120"/>
    <n v="1"/>
    <n v="796.63"/>
    <d v="2024-11-04T08:11:11"/>
    <n v="16"/>
    <s v="Monday"/>
    <n v="0.39005887116208099"/>
    <b v="0"/>
    <b v="0"/>
    <b v="1"/>
    <n v="0"/>
    <m/>
    <n v="0"/>
    <m/>
  </r>
  <r>
    <s v="TX002484"/>
    <s v="AC00179"/>
    <n v="204.63"/>
    <d v="2023-06-21T17:48:16"/>
    <s v="Debit"/>
    <x v="17"/>
    <s v="D000699"/>
    <s v="147.227.81.224"/>
    <s v="M090"/>
    <s v="Online"/>
    <n v="52"/>
    <s v="Engineer"/>
    <n v="92"/>
    <n v="1"/>
    <n v="9199.52"/>
    <d v="2024-11-04T08:09:54"/>
    <n v="17"/>
    <s v="Wednesday"/>
    <n v="-0.318427724190539"/>
    <b v="0"/>
    <b v="0"/>
    <b v="1"/>
    <n v="0"/>
    <m/>
    <n v="0"/>
    <m/>
  </r>
  <r>
    <s v="TX002485"/>
    <s v="AC00172"/>
    <n v="421.56"/>
    <d v="2023-07-18T17:56:55"/>
    <s v="Debit"/>
    <x v="24"/>
    <s v="D000056"/>
    <s v="86.220.59.252"/>
    <s v="M047"/>
    <s v="Online"/>
    <n v="53"/>
    <s v="Engineer"/>
    <n v="144"/>
    <n v="1"/>
    <n v="8037.87"/>
    <d v="2024-11-04T08:10:58"/>
    <n v="17"/>
    <s v="Tuesday"/>
    <n v="0.424620028322726"/>
    <b v="0"/>
    <b v="0"/>
    <b v="1"/>
    <n v="0"/>
    <m/>
    <n v="0"/>
    <m/>
  </r>
  <r>
    <s v="TX002486"/>
    <s v="AC00051"/>
    <n v="193.38"/>
    <d v="2023-07-20T16:05:11"/>
    <s v="Debit"/>
    <x v="11"/>
    <s v="D000188"/>
    <s v="91.204.200.167"/>
    <s v="M069"/>
    <s v="ATM"/>
    <n v="18"/>
    <s v="Student"/>
    <n v="285"/>
    <n v="1"/>
    <n v="1081.79"/>
    <d v="2024-11-04T08:10:56"/>
    <n v="16"/>
    <s v="Thursday"/>
    <n v="-0.35696221557381502"/>
    <b v="0"/>
    <b v="0"/>
    <b v="1"/>
    <n v="0"/>
    <m/>
    <n v="0"/>
    <m/>
  </r>
  <r>
    <s v="TX002487"/>
    <s v="AC00202"/>
    <n v="377.04"/>
    <d v="2023-03-16T16:52:04"/>
    <s v="Debit"/>
    <x v="29"/>
    <s v="D000587"/>
    <s v="203.170.198.177"/>
    <s v="M054"/>
    <s v="ATM"/>
    <n v="34"/>
    <s v="Engineer"/>
    <n v="64"/>
    <n v="1"/>
    <n v="3812.87"/>
    <d v="2024-11-04T08:09:54"/>
    <n v="16"/>
    <s v="Thursday"/>
    <n v="0.272126201088639"/>
    <b v="0"/>
    <b v="0"/>
    <b v="1"/>
    <n v="0"/>
    <m/>
    <n v="0"/>
    <m/>
  </r>
  <r>
    <s v="TX002488"/>
    <s v="AC00125"/>
    <n v="54.1"/>
    <d v="2023-05-19T17:47:41"/>
    <s v="Credit"/>
    <x v="35"/>
    <s v="D000031"/>
    <s v="110.64.1.201"/>
    <s v="M085"/>
    <s v="Branch"/>
    <n v="28"/>
    <s v="Engineer"/>
    <n v="17"/>
    <n v="1"/>
    <n v="940.91"/>
    <d v="2024-11-04T08:06:59"/>
    <n v="17"/>
    <s v="Friday"/>
    <n v="-0.83403634533939697"/>
    <b v="0"/>
    <b v="0"/>
    <b v="1"/>
    <n v="0"/>
    <m/>
    <n v="0"/>
    <m/>
  </r>
  <r>
    <s v="TX002489"/>
    <s v="AC00311"/>
    <n v="18.100000000000001"/>
    <d v="2023-04-14T16:33:13"/>
    <s v="Debit"/>
    <x v="12"/>
    <s v="D000066"/>
    <s v="147.119.62.178"/>
    <s v="M020"/>
    <s v="ATM"/>
    <n v="57"/>
    <s v="Retired"/>
    <n v="66"/>
    <n v="1"/>
    <n v="6474.34"/>
    <d v="2024-11-04T08:06:41"/>
    <n v="16"/>
    <s v="Friday"/>
    <n v="-0.95734671776588298"/>
    <b v="0"/>
    <b v="0"/>
    <b v="1"/>
    <n v="0"/>
    <m/>
    <n v="0"/>
    <m/>
  </r>
  <r>
    <s v="TX002490"/>
    <s v="AC00116"/>
    <n v="408.62"/>
    <d v="2023-05-22T17:41:48"/>
    <s v="Credit"/>
    <x v="18"/>
    <s v="D000684"/>
    <s v="58.1.27.124"/>
    <s v="M021"/>
    <s v="Online"/>
    <n v="48"/>
    <s v="Engineer"/>
    <n v="159"/>
    <n v="1"/>
    <n v="2498.48"/>
    <d v="2024-11-04T08:07:08"/>
    <n v="17"/>
    <s v="Monday"/>
    <n v="0.38029680001165"/>
    <b v="0"/>
    <b v="0"/>
    <b v="1"/>
    <n v="0"/>
    <m/>
    <n v="0"/>
    <m/>
  </r>
  <r>
    <s v="TX002491"/>
    <s v="AC00265"/>
    <n v="162.1"/>
    <d v="2023-12-04T16:14:07"/>
    <s v="Debit"/>
    <x v="21"/>
    <s v="D000427"/>
    <s v="193.190.29.63"/>
    <s v="M018"/>
    <s v="Branch"/>
    <n v="64"/>
    <s v="Doctor"/>
    <n v="221"/>
    <n v="1"/>
    <n v="9578.74"/>
    <d v="2024-11-04T08:11:35"/>
    <n v="16"/>
    <s v="Monday"/>
    <n v="-0.46410522805993998"/>
    <b v="0"/>
    <b v="0"/>
    <b v="1"/>
    <n v="0"/>
    <m/>
    <n v="0"/>
    <m/>
  </r>
  <r>
    <s v="TX002492"/>
    <s v="AC00493"/>
    <n v="165.31"/>
    <d v="2023-04-03T16:05:30"/>
    <s v="Debit"/>
    <x v="35"/>
    <s v="D000353"/>
    <s v="72.192.101.196"/>
    <s v="M059"/>
    <s v="ATM"/>
    <n v="49"/>
    <s v="Doctor"/>
    <n v="28"/>
    <n v="1"/>
    <n v="7346.66"/>
    <d v="2024-11-04T08:10:12"/>
    <n v="16"/>
    <s v="Monday"/>
    <n v="-0.453110053185245"/>
    <b v="0"/>
    <b v="0"/>
    <b v="1"/>
    <n v="0"/>
    <m/>
    <n v="0"/>
    <m/>
  </r>
  <r>
    <s v="TX002493"/>
    <s v="AC00057"/>
    <n v="267.48"/>
    <d v="2023-01-30T17:05:46"/>
    <s v="Debit"/>
    <x v="10"/>
    <s v="D000497"/>
    <s v="170.225.23.251"/>
    <s v="M002"/>
    <s v="ATM"/>
    <n v="21"/>
    <s v="Student"/>
    <n v="159"/>
    <n v="2"/>
    <n v="811.86"/>
    <d v="2024-11-04T08:09:32"/>
    <n v="17"/>
    <s v="Monday"/>
    <n v="-0.103148365662632"/>
    <b v="0"/>
    <b v="1"/>
    <b v="1"/>
    <n v="1"/>
    <m/>
    <n v="0"/>
    <m/>
  </r>
  <r>
    <s v="TX002494"/>
    <s v="AC00279"/>
    <n v="856.9"/>
    <d v="2023-03-17T16:10:35"/>
    <s v="Debit"/>
    <x v="22"/>
    <s v="D000673"/>
    <s v="191.25.177.160"/>
    <s v="M088"/>
    <s v="Branch"/>
    <n v="36"/>
    <s v="Engineer"/>
    <n v="150"/>
    <n v="1"/>
    <n v="8579.69"/>
    <d v="2024-11-04T08:09:52"/>
    <n v="16"/>
    <s v="Friday"/>
    <n v="1.91578495977123"/>
    <b v="0"/>
    <b v="0"/>
    <b v="1"/>
    <n v="0"/>
    <m/>
    <n v="0"/>
    <m/>
  </r>
  <r>
    <s v="TX002495"/>
    <s v="AC00322"/>
    <n v="433.9"/>
    <d v="2023-03-10T17:38:58"/>
    <s v="Debit"/>
    <x v="10"/>
    <s v="D000295"/>
    <s v="38.210.156.148"/>
    <s v="M013"/>
    <s v="Online"/>
    <n v="65"/>
    <s v="Doctor"/>
    <n v="37"/>
    <n v="1"/>
    <n v="9013.1"/>
    <d v="2024-11-04T08:07:44"/>
    <n v="17"/>
    <s v="Friday"/>
    <n v="0.466888083760027"/>
    <b v="0"/>
    <b v="0"/>
    <b v="1"/>
    <n v="0"/>
    <m/>
    <n v="0"/>
    <m/>
  </r>
  <r>
    <s v="TX002496"/>
    <s v="AC00182"/>
    <n v="271.22000000000003"/>
    <d v="2023-04-03T16:07:53"/>
    <s v="Credit"/>
    <x v="12"/>
    <s v="D000052"/>
    <s v="4.105.134.118"/>
    <s v="M056"/>
    <s v="ATM"/>
    <n v="45"/>
    <s v="Doctor"/>
    <n v="87"/>
    <n v="1"/>
    <n v="6863.02"/>
    <d v="2024-11-04T08:06:52"/>
    <n v="16"/>
    <s v="Monday"/>
    <n v="-9.0337788082769793E-2"/>
    <b v="0"/>
    <b v="0"/>
    <b v="1"/>
    <n v="0"/>
    <m/>
    <n v="0"/>
    <m/>
  </r>
  <r>
    <s v="TX002497"/>
    <s v="AC00432"/>
    <n v="307.68"/>
    <d v="2023-01-18T17:21:27"/>
    <s v="Credit"/>
    <x v="8"/>
    <s v="D000451"/>
    <s v="5.74.9.122"/>
    <s v="M068"/>
    <s v="Online"/>
    <n v="75"/>
    <s v="Retired"/>
    <n v="162"/>
    <n v="1"/>
    <n v="2052.84"/>
    <d v="2024-11-04T08:12:03"/>
    <n v="17"/>
    <s v="Wednesday"/>
    <n v="3.4548216880276497E-2"/>
    <b v="0"/>
    <b v="0"/>
    <b v="1"/>
    <n v="0"/>
    <m/>
    <n v="0"/>
    <m/>
  </r>
  <r>
    <s v="TX002498"/>
    <s v="AC00030"/>
    <n v="348.17"/>
    <d v="2023-05-10T17:56:31"/>
    <s v="Debit"/>
    <x v="39"/>
    <s v="D000269"/>
    <s v="82.51.236.134"/>
    <s v="M072"/>
    <s v="ATM"/>
    <n v="21"/>
    <s v="Student"/>
    <n v="181"/>
    <n v="1"/>
    <n v="1887.84"/>
    <d v="2024-11-04T08:11:06"/>
    <n v="17"/>
    <s v="Wednesday"/>
    <n v="0.173238132978843"/>
    <b v="0"/>
    <b v="0"/>
    <b v="1"/>
    <n v="0"/>
    <m/>
    <n v="0"/>
    <m/>
  </r>
  <r>
    <s v="TX002499"/>
    <s v="AC00407"/>
    <n v="43.1"/>
    <d v="2023-10-04T18:25:44"/>
    <s v="Debit"/>
    <x v="13"/>
    <s v="D000254"/>
    <s v="65.124.242.67"/>
    <s v="M092"/>
    <s v="Branch"/>
    <n v="25"/>
    <s v="Student"/>
    <n v="102"/>
    <n v="1"/>
    <n v="6944.9"/>
    <d v="2024-11-04T08:07:24"/>
    <n v="18"/>
    <s v="Wednesday"/>
    <n v="-0.87171451469193495"/>
    <b v="0"/>
    <b v="0"/>
    <b v="1"/>
    <n v="0"/>
    <m/>
    <n v="0"/>
    <m/>
  </r>
  <r>
    <s v="TX002500"/>
    <s v="AC00089"/>
    <n v="557.78"/>
    <d v="2023-05-30T16:55:04"/>
    <s v="Credit"/>
    <x v="37"/>
    <s v="D000202"/>
    <s v="142.160.124.244"/>
    <s v="M072"/>
    <s v="Branch"/>
    <n v="26"/>
    <s v="Student"/>
    <n v="102"/>
    <n v="1"/>
    <n v="1289.48"/>
    <d v="2024-11-04T08:11:13"/>
    <n v="16"/>
    <s v="Tuesday"/>
    <n v="0.89121277643205699"/>
    <b v="0"/>
    <b v="0"/>
    <b v="1"/>
    <n v="0"/>
    <m/>
    <n v="0"/>
    <m/>
  </r>
  <r>
    <s v="TX002501"/>
    <s v="AC00375"/>
    <n v="325.60000000000002"/>
    <d v="2023-09-26T16:15:36"/>
    <s v="Debit"/>
    <x v="34"/>
    <s v="D000389"/>
    <s v="145.76.10.8"/>
    <s v="M026"/>
    <s v="ATM"/>
    <n v="69"/>
    <s v="Doctor"/>
    <n v="88"/>
    <n v="1"/>
    <n v="13777.1"/>
    <d v="2024-11-04T08:10:49"/>
    <n v="16"/>
    <s v="Tuesday"/>
    <n v="9.5929380043682802E-2"/>
    <b v="0"/>
    <b v="0"/>
    <b v="1"/>
    <n v="0"/>
    <m/>
    <n v="0"/>
    <m/>
  </r>
  <r>
    <s v="TX002502"/>
    <s v="AC00216"/>
    <n v="235.83"/>
    <d v="2023-09-01T16:26:50"/>
    <s v="Credit"/>
    <x v="11"/>
    <s v="D000299"/>
    <s v="157.47.114.20"/>
    <s v="M012"/>
    <s v="Online"/>
    <n v="53"/>
    <s v="Engineer"/>
    <n v="169"/>
    <n v="1"/>
    <n v="4120.75"/>
    <d v="2024-11-04T08:08:53"/>
    <n v="16"/>
    <s v="Friday"/>
    <n v="-0.21155873475425099"/>
    <b v="0"/>
    <b v="0"/>
    <b v="1"/>
    <n v="0"/>
    <m/>
    <n v="0"/>
    <m/>
  </r>
  <r>
    <s v="TX002503"/>
    <s v="AC00069"/>
    <n v="603.54"/>
    <d v="2023-04-21T16:22:38"/>
    <s v="Debit"/>
    <x v="10"/>
    <s v="D000321"/>
    <s v="112.86.148.212"/>
    <s v="M029"/>
    <s v="Online"/>
    <n v="44"/>
    <s v="Doctor"/>
    <n v="26"/>
    <n v="1"/>
    <n v="10517.47"/>
    <d v="2024-11-04T08:08:08"/>
    <n v="16"/>
    <s v="Friday"/>
    <n v="1.0479539609386099"/>
    <b v="0"/>
    <b v="0"/>
    <b v="1"/>
    <n v="0"/>
    <m/>
    <n v="0"/>
    <m/>
  </r>
  <r>
    <s v="TX002504"/>
    <s v="AC00427"/>
    <n v="270.25"/>
    <d v="2023-11-06T16:56:41"/>
    <s v="Debit"/>
    <x v="28"/>
    <s v="D000224"/>
    <s v="147.114.91.132"/>
    <s v="M065"/>
    <s v="ATM"/>
    <n v="31"/>
    <s v="Engineer"/>
    <n v="42"/>
    <n v="1"/>
    <n v="5414.97"/>
    <d v="2024-11-04T08:10:48"/>
    <n v="16"/>
    <s v="Monday"/>
    <n v="-9.3660317562039103E-2"/>
    <b v="0"/>
    <b v="0"/>
    <b v="1"/>
    <n v="0"/>
    <m/>
    <n v="0"/>
    <m/>
  </r>
  <r>
    <s v="TX002505"/>
    <s v="AC00047"/>
    <n v="123.38"/>
    <d v="2024-01-01T17:21:56"/>
    <s v="Debit"/>
    <x v="30"/>
    <s v="D000219"/>
    <s v="163.129.70.210"/>
    <s v="M049"/>
    <s v="Online"/>
    <n v="59"/>
    <s v="Doctor"/>
    <n v="40"/>
    <n v="1"/>
    <n v="13542.41"/>
    <d v="2024-11-04T08:10:53"/>
    <n v="17"/>
    <s v="Monday"/>
    <n v="-0.59673238418087104"/>
    <b v="0"/>
    <b v="0"/>
    <b v="1"/>
    <n v="0"/>
    <m/>
    <n v="0"/>
    <m/>
  </r>
  <r>
    <s v="TX002506"/>
    <s v="AC00377"/>
    <n v="577.12"/>
    <d v="2023-01-27T17:38:07"/>
    <s v="Debit"/>
    <x v="33"/>
    <s v="D000110"/>
    <s v="120.16.186.17"/>
    <s v="M075"/>
    <s v="ATM"/>
    <n v="39"/>
    <s v="Engineer"/>
    <n v="69"/>
    <n v="1"/>
    <n v="5265.88"/>
    <d v="2024-11-04T08:10:50"/>
    <n v="17"/>
    <s v="Friday"/>
    <n v="0.95745784873006301"/>
    <b v="0"/>
    <b v="0"/>
    <b v="1"/>
    <n v="0"/>
    <m/>
    <n v="0"/>
    <m/>
  </r>
  <r>
    <s v="TX002507"/>
    <s v="AC00258"/>
    <n v="92.24"/>
    <d v="2023-04-13T17:45:33"/>
    <s v="Debit"/>
    <x v="26"/>
    <s v="D000531"/>
    <s v="189.183.50.147"/>
    <s v="M076"/>
    <s v="Branch"/>
    <n v="60"/>
    <s v="Engineer"/>
    <n v="93"/>
    <n v="1"/>
    <n v="6937.48"/>
    <d v="2024-11-04T08:09:06"/>
    <n v="17"/>
    <s v="Thursday"/>
    <n v="-0.70339585632978097"/>
    <b v="0"/>
    <b v="0"/>
    <b v="1"/>
    <n v="0"/>
    <m/>
    <n v="0"/>
    <m/>
  </r>
  <r>
    <s v="TX002508"/>
    <s v="AC00297"/>
    <n v="856.21"/>
    <d v="2023-04-26T17:09:36"/>
    <s v="Credit"/>
    <x v="40"/>
    <s v="D000625"/>
    <s v="21.157.41.17"/>
    <s v="M072"/>
    <s v="Branch"/>
    <n v="33"/>
    <s v="Doctor"/>
    <n v="109"/>
    <n v="1"/>
    <n v="12690.79"/>
    <d v="2024-11-04T08:11:29"/>
    <n v="17"/>
    <s v="Wednesday"/>
    <n v="1.9134215109663899"/>
    <b v="0"/>
    <b v="0"/>
    <b v="1"/>
    <n v="0"/>
    <m/>
    <n v="0"/>
    <m/>
  </r>
  <r>
    <s v="TX002509"/>
    <s v="AC00322"/>
    <n v="251.54"/>
    <d v="2023-03-22T17:36:48"/>
    <s v="Debit"/>
    <x v="28"/>
    <s v="D000410"/>
    <s v="49.174.157.140"/>
    <s v="M029"/>
    <s v="Branch"/>
    <n v="48"/>
    <s v="Doctor"/>
    <n v="177"/>
    <n v="1"/>
    <n v="254.75"/>
    <d v="2024-11-04T08:11:42"/>
    <n v="17"/>
    <s v="Wednesday"/>
    <n v="-0.157747458342582"/>
    <b v="0"/>
    <b v="0"/>
    <b v="1"/>
    <n v="0"/>
    <m/>
    <n v="0"/>
    <m/>
  </r>
  <r>
    <s v="TX002510"/>
    <s v="AC00095"/>
    <n v="28.63"/>
    <d v="2023-08-21T17:08:50"/>
    <s v="Debit"/>
    <x v="0"/>
    <s v="D000095"/>
    <s v="58.1.27.124"/>
    <s v="M087"/>
    <s v="Branch"/>
    <n v="56"/>
    <s v="Retired"/>
    <n v="146"/>
    <n v="1"/>
    <n v="3382.91"/>
    <d v="2024-11-04T08:08:39"/>
    <n v="17"/>
    <s v="Monday"/>
    <n v="-0.92127843383113595"/>
    <b v="0"/>
    <b v="0"/>
    <b v="1"/>
    <n v="0"/>
    <m/>
    <n v="0"/>
    <m/>
  </r>
  <r>
    <s v="TX002511"/>
    <s v="AC00118"/>
    <n v="185.97"/>
    <d v="2023-02-24T16:24:46"/>
    <s v="Debit"/>
    <x v="13"/>
    <s v="D000634"/>
    <s v="21.190.11.223"/>
    <s v="M041"/>
    <s v="Online"/>
    <n v="23"/>
    <s v="Student"/>
    <n v="19"/>
    <n v="1"/>
    <n v="1776.91"/>
    <d v="2024-11-04T08:12:22"/>
    <n v="16"/>
    <s v="Friday"/>
    <n v="-0.38234360056493399"/>
    <b v="0"/>
    <b v="0"/>
    <b v="1"/>
    <n v="0"/>
    <m/>
    <n v="0"/>
    <m/>
  </r>
  <r>
    <s v="TX002512"/>
    <s v="AC00009"/>
    <n v="243.08"/>
    <d v="2023-02-14T16:21:23"/>
    <s v="Credit"/>
    <x v="36"/>
    <s v="D000215"/>
    <s v="59.127.135.25"/>
    <s v="M041"/>
    <s v="Online"/>
    <n v="24"/>
    <s v="Student"/>
    <n v="93"/>
    <n v="1"/>
    <n v="131.25"/>
    <d v="2024-11-04T08:07:49"/>
    <n v="16"/>
    <s v="Tuesday"/>
    <n v="-0.18672539586280601"/>
    <b v="0"/>
    <b v="0"/>
    <b v="1"/>
    <n v="0"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92665-CA03-4905-94F1-BF9C4260C87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4" firstHeaderRow="1" firstDataRow="1" firstDataCol="1"/>
  <pivotFields count="26">
    <pivotField showAll="0"/>
    <pivotField showAll="0"/>
    <pivotField showAll="0"/>
    <pivotField numFmtId="22" showAll="0"/>
    <pivotField showAll="0"/>
    <pivotField axis="axisRow" showAll="0" measureFilter="1">
      <items count="44">
        <item x="10"/>
        <item x="4"/>
        <item x="14"/>
        <item x="21"/>
        <item x="35"/>
        <item x="27"/>
        <item x="29"/>
        <item x="40"/>
        <item x="15"/>
        <item x="34"/>
        <item x="13"/>
        <item x="8"/>
        <item x="39"/>
        <item x="18"/>
        <item x="41"/>
        <item x="1"/>
        <item x="7"/>
        <item x="36"/>
        <item x="31"/>
        <item x="17"/>
        <item x="16"/>
        <item x="12"/>
        <item x="11"/>
        <item x="2"/>
        <item x="19"/>
        <item x="20"/>
        <item x="9"/>
        <item x="22"/>
        <item x="5"/>
        <item x="32"/>
        <item x="26"/>
        <item x="37"/>
        <item x="42"/>
        <item x="3"/>
        <item x="30"/>
        <item x="25"/>
        <item x="0"/>
        <item x="23"/>
        <item x="24"/>
        <item x="6"/>
        <item x="28"/>
        <item x="33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11">
    <i>
      <x v="2"/>
    </i>
    <i>
      <x v="8"/>
    </i>
    <i>
      <x v="11"/>
    </i>
    <i>
      <x v="12"/>
    </i>
    <i>
      <x v="25"/>
    </i>
    <i>
      <x v="29"/>
    </i>
    <i>
      <x v="30"/>
    </i>
    <i>
      <x v="35"/>
    </i>
    <i>
      <x v="36"/>
    </i>
    <i>
      <x v="37"/>
    </i>
    <i t="grand">
      <x/>
    </i>
  </rowItems>
  <colItems count="1">
    <i/>
  </colItems>
  <dataFields count="1">
    <dataField name="Sum of Amount_Outlier_Flag" fld="24" baseField="5" baseItem="39"/>
  </dataFields>
  <chartFormats count="1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sum" evalOrder="-1" id="12" iMeasureFld="0">
      <autoFilter ref="A1">
        <filterColumn colId="0">
          <top10 val="45" filterVal="4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4A9C-C3A6-4830-87BE-A5CBA392CB27}">
  <dimension ref="A3:B14"/>
  <sheetViews>
    <sheetView zoomScale="52" workbookViewId="0">
      <selection activeCell="A13" sqref="A13"/>
    </sheetView>
  </sheetViews>
  <sheetFormatPr defaultRowHeight="14.4" x14ac:dyDescent="0.3"/>
  <cols>
    <col min="1" max="1" width="19.5546875" bestFit="1" customWidth="1"/>
    <col min="2" max="3" width="36.44140625" bestFit="1" customWidth="1"/>
  </cols>
  <sheetData>
    <row r="3" spans="1:2" x14ac:dyDescent="0.3">
      <c r="A3" s="3" t="s">
        <v>4461</v>
      </c>
      <c r="B3" t="s">
        <v>4463</v>
      </c>
    </row>
    <row r="4" spans="1:2" x14ac:dyDescent="0.3">
      <c r="A4" s="4" t="s">
        <v>131</v>
      </c>
      <c r="B4">
        <v>8</v>
      </c>
    </row>
    <row r="5" spans="1:2" x14ac:dyDescent="0.3">
      <c r="A5" s="4" t="s">
        <v>137</v>
      </c>
      <c r="B5">
        <v>5</v>
      </c>
    </row>
    <row r="6" spans="1:2" x14ac:dyDescent="0.3">
      <c r="A6" s="4" t="s">
        <v>85</v>
      </c>
      <c r="B6">
        <v>5</v>
      </c>
    </row>
    <row r="7" spans="1:2" x14ac:dyDescent="0.3">
      <c r="A7" s="4" t="s">
        <v>519</v>
      </c>
      <c r="B7">
        <v>3</v>
      </c>
    </row>
    <row r="8" spans="1:2" x14ac:dyDescent="0.3">
      <c r="A8" s="4" t="s">
        <v>191</v>
      </c>
      <c r="B8">
        <v>3</v>
      </c>
    </row>
    <row r="9" spans="1:2" x14ac:dyDescent="0.3">
      <c r="A9" s="4" t="s">
        <v>309</v>
      </c>
      <c r="B9">
        <v>4</v>
      </c>
    </row>
    <row r="10" spans="1:2" x14ac:dyDescent="0.3">
      <c r="A10" s="4" t="s">
        <v>256</v>
      </c>
      <c r="B10">
        <v>4</v>
      </c>
    </row>
    <row r="11" spans="1:2" x14ac:dyDescent="0.3">
      <c r="A11" s="4" t="s">
        <v>250</v>
      </c>
      <c r="B11">
        <v>4</v>
      </c>
    </row>
    <row r="12" spans="1:2" x14ac:dyDescent="0.3">
      <c r="A12" s="4" t="s">
        <v>26</v>
      </c>
      <c r="B12">
        <v>5</v>
      </c>
    </row>
    <row r="13" spans="1:2" x14ac:dyDescent="0.3">
      <c r="A13" s="4" t="s">
        <v>225</v>
      </c>
      <c r="B13">
        <v>4</v>
      </c>
    </row>
    <row r="14" spans="1:2" x14ac:dyDescent="0.3">
      <c r="A14" s="4" t="s">
        <v>4462</v>
      </c>
      <c r="B14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4110-A2B0-4A67-ACDD-F364C5C51386}">
  <dimension ref="A1:AC2513"/>
  <sheetViews>
    <sheetView topLeftCell="A1207" zoomScale="55" zoomScaleNormal="55" workbookViewId="0">
      <selection activeCell="W2" sqref="W2:W2513"/>
    </sheetView>
  </sheetViews>
  <sheetFormatPr defaultRowHeight="14.4" x14ac:dyDescent="0.3"/>
  <cols>
    <col min="28" max="28" width="33.21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4460</v>
      </c>
      <c r="AB1" t="s">
        <v>4465</v>
      </c>
    </row>
    <row r="2" spans="1:29" x14ac:dyDescent="0.3">
      <c r="A2" t="s">
        <v>23</v>
      </c>
      <c r="B2" t="s">
        <v>24</v>
      </c>
      <c r="C2">
        <v>14.09</v>
      </c>
      <c r="D2" s="1">
        <v>45027.686967592592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70</v>
      </c>
      <c r="L2" t="s">
        <v>31</v>
      </c>
      <c r="M2">
        <v>81</v>
      </c>
      <c r="N2">
        <v>1</v>
      </c>
      <c r="O2">
        <v>5112.21</v>
      </c>
      <c r="P2" s="1">
        <v>45600.33898148148</v>
      </c>
      <c r="Q2">
        <v>16</v>
      </c>
      <c r="R2" t="s">
        <v>32</v>
      </c>
      <c r="S2">
        <v>-0.97108212313894404</v>
      </c>
      <c r="T2" t="b">
        <v>0</v>
      </c>
      <c r="U2" t="b">
        <v>0</v>
      </c>
      <c r="V2" t="b">
        <f>ISLOGICAL(T2)</f>
        <v>1</v>
      </c>
      <c r="W2">
        <v>0</v>
      </c>
      <c r="Y2">
        <f>--T2</f>
        <v>0</v>
      </c>
      <c r="AB2" t="s">
        <v>4466</v>
      </c>
      <c r="AC2">
        <f>COUNTA(A2:A2513)</f>
        <v>2512</v>
      </c>
    </row>
    <row r="3" spans="1:29" ht="15" x14ac:dyDescent="0.35">
      <c r="A3" t="s">
        <v>33</v>
      </c>
      <c r="B3" t="s">
        <v>34</v>
      </c>
      <c r="C3">
        <v>376.24</v>
      </c>
      <c r="D3" s="1">
        <v>45104.697442129633</v>
      </c>
      <c r="E3" t="s">
        <v>25</v>
      </c>
      <c r="F3" t="s">
        <v>35</v>
      </c>
      <c r="G3" t="s">
        <v>36</v>
      </c>
      <c r="H3" t="s">
        <v>37</v>
      </c>
      <c r="I3" t="s">
        <v>38</v>
      </c>
      <c r="J3" t="s">
        <v>30</v>
      </c>
      <c r="K3">
        <v>68</v>
      </c>
      <c r="L3" t="s">
        <v>31</v>
      </c>
      <c r="M3">
        <v>141</v>
      </c>
      <c r="N3">
        <v>1</v>
      </c>
      <c r="O3">
        <v>13758.91</v>
      </c>
      <c r="P3" s="1">
        <v>45600.339988425927</v>
      </c>
      <c r="Q3">
        <v>16</v>
      </c>
      <c r="R3" t="s">
        <v>32</v>
      </c>
      <c r="S3">
        <v>0.26938597059027197</v>
      </c>
      <c r="T3" t="b">
        <v>0</v>
      </c>
      <c r="U3" t="b">
        <v>0</v>
      </c>
      <c r="V3" t="b">
        <f t="shared" ref="V3:V66" si="0">ISLOGICAL(T3)</f>
        <v>1</v>
      </c>
      <c r="W3">
        <v>0</v>
      </c>
      <c r="Y3">
        <f t="shared" ref="Y3:Y66" si="1">--T3</f>
        <v>0</v>
      </c>
      <c r="AB3" s="5" t="s">
        <v>4467</v>
      </c>
      <c r="AC3">
        <f>COUNTIF(W2:W2513,"&gt;=1")</f>
        <v>230</v>
      </c>
    </row>
    <row r="4" spans="1:29" x14ac:dyDescent="0.3">
      <c r="A4" t="s">
        <v>39</v>
      </c>
      <c r="B4" t="s">
        <v>40</v>
      </c>
      <c r="C4">
        <v>126.29</v>
      </c>
      <c r="D4" s="1">
        <v>45117.761203703703</v>
      </c>
      <c r="E4" t="s">
        <v>25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>
        <v>19</v>
      </c>
      <c r="L4" t="s">
        <v>46</v>
      </c>
      <c r="M4">
        <v>56</v>
      </c>
      <c r="N4">
        <v>1</v>
      </c>
      <c r="O4">
        <v>1122.3499999999999</v>
      </c>
      <c r="P4" s="1">
        <v>45600.338240740741</v>
      </c>
      <c r="Q4">
        <v>18</v>
      </c>
      <c r="R4" t="s">
        <v>47</v>
      </c>
      <c r="S4">
        <v>-0.58676479574306395</v>
      </c>
      <c r="T4" t="b">
        <v>0</v>
      </c>
      <c r="U4" t="b">
        <v>0</v>
      </c>
      <c r="V4" t="b">
        <f t="shared" si="0"/>
        <v>1</v>
      </c>
      <c r="W4">
        <v>0</v>
      </c>
      <c r="Y4">
        <f t="shared" si="1"/>
        <v>0</v>
      </c>
      <c r="AB4" t="s">
        <v>4468</v>
      </c>
      <c r="AC4">
        <f>ROUND(AC3/AC2*100,2)</f>
        <v>9.16</v>
      </c>
    </row>
    <row r="5" spans="1:29" x14ac:dyDescent="0.3">
      <c r="A5" t="s">
        <v>48</v>
      </c>
      <c r="B5" t="s">
        <v>49</v>
      </c>
      <c r="C5">
        <v>184.5</v>
      </c>
      <c r="D5" s="1">
        <v>45051.689016203702</v>
      </c>
      <c r="E5" t="s">
        <v>25</v>
      </c>
      <c r="F5" t="s">
        <v>50</v>
      </c>
      <c r="G5" t="s">
        <v>51</v>
      </c>
      <c r="H5" t="s">
        <v>52</v>
      </c>
      <c r="I5" t="s">
        <v>53</v>
      </c>
      <c r="J5" t="s">
        <v>45</v>
      </c>
      <c r="K5">
        <v>26</v>
      </c>
      <c r="L5" t="s">
        <v>46</v>
      </c>
      <c r="M5">
        <v>25</v>
      </c>
      <c r="N5">
        <v>1</v>
      </c>
      <c r="O5">
        <v>8569.06</v>
      </c>
      <c r="P5" s="1">
        <v>45600.33965277778</v>
      </c>
      <c r="Q5">
        <v>16</v>
      </c>
      <c r="R5" t="s">
        <v>54</v>
      </c>
      <c r="S5">
        <v>-0.387378774105682</v>
      </c>
      <c r="T5" t="b">
        <v>0</v>
      </c>
      <c r="U5" t="b">
        <v>0</v>
      </c>
      <c r="V5" t="b">
        <f t="shared" si="0"/>
        <v>1</v>
      </c>
      <c r="W5">
        <v>0</v>
      </c>
      <c r="Y5">
        <f t="shared" si="1"/>
        <v>0</v>
      </c>
      <c r="AB5" t="s">
        <v>4464</v>
      </c>
      <c r="AC5">
        <f>COUNTIF(W2:W2513,2)</f>
        <v>5</v>
      </c>
    </row>
    <row r="6" spans="1:29" x14ac:dyDescent="0.3">
      <c r="A6" t="s">
        <v>55</v>
      </c>
      <c r="B6" t="s">
        <v>56</v>
      </c>
      <c r="C6">
        <v>13.45</v>
      </c>
      <c r="D6" s="1">
        <v>45215.744027777779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45</v>
      </c>
      <c r="K6">
        <v>26</v>
      </c>
      <c r="L6" t="s">
        <v>46</v>
      </c>
      <c r="M6">
        <v>198</v>
      </c>
      <c r="N6">
        <v>1</v>
      </c>
      <c r="O6">
        <v>7429.4</v>
      </c>
      <c r="P6" s="1">
        <v>45600.337951388887</v>
      </c>
      <c r="Q6">
        <v>17</v>
      </c>
      <c r="R6" t="s">
        <v>47</v>
      </c>
      <c r="S6">
        <v>-0.97327430753763799</v>
      </c>
      <c r="T6" t="b">
        <v>0</v>
      </c>
      <c r="U6" t="b">
        <v>0</v>
      </c>
      <c r="V6" t="b">
        <f t="shared" si="0"/>
        <v>1</v>
      </c>
      <c r="W6">
        <v>0</v>
      </c>
      <c r="Y6">
        <f t="shared" si="1"/>
        <v>0</v>
      </c>
    </row>
    <row r="7" spans="1:29" x14ac:dyDescent="0.3">
      <c r="A7" t="s">
        <v>62</v>
      </c>
      <c r="B7" t="s">
        <v>63</v>
      </c>
      <c r="C7">
        <v>92.15</v>
      </c>
      <c r="D7" s="1">
        <v>45019.718761574077</v>
      </c>
      <c r="E7" t="s">
        <v>25</v>
      </c>
      <c r="F7" t="s">
        <v>64</v>
      </c>
      <c r="G7" t="s">
        <v>65</v>
      </c>
      <c r="H7" t="s">
        <v>66</v>
      </c>
      <c r="I7" t="s">
        <v>67</v>
      </c>
      <c r="J7" t="s">
        <v>30</v>
      </c>
      <c r="K7">
        <v>18</v>
      </c>
      <c r="L7" t="s">
        <v>46</v>
      </c>
      <c r="M7">
        <v>172</v>
      </c>
      <c r="N7">
        <v>1</v>
      </c>
      <c r="O7">
        <v>781.68</v>
      </c>
      <c r="P7" s="1">
        <v>45600.337916666664</v>
      </c>
      <c r="Q7">
        <v>17</v>
      </c>
      <c r="R7" t="s">
        <v>47</v>
      </c>
      <c r="S7">
        <v>-0.70370413226084805</v>
      </c>
      <c r="T7" t="b">
        <v>0</v>
      </c>
      <c r="U7" t="b">
        <v>0</v>
      </c>
      <c r="V7" t="b">
        <f t="shared" si="0"/>
        <v>1</v>
      </c>
      <c r="W7">
        <v>0</v>
      </c>
      <c r="Y7">
        <f t="shared" si="1"/>
        <v>0</v>
      </c>
    </row>
    <row r="8" spans="1:29" x14ac:dyDescent="0.3">
      <c r="A8" t="s">
        <v>68</v>
      </c>
      <c r="B8" t="s">
        <v>69</v>
      </c>
      <c r="C8">
        <v>7.08</v>
      </c>
      <c r="D8" s="1">
        <v>44972.69222222222</v>
      </c>
      <c r="E8" t="s">
        <v>57</v>
      </c>
      <c r="F8" t="s">
        <v>70</v>
      </c>
      <c r="G8" t="s">
        <v>71</v>
      </c>
      <c r="H8" t="s">
        <v>72</v>
      </c>
      <c r="I8" t="s">
        <v>73</v>
      </c>
      <c r="J8" t="s">
        <v>30</v>
      </c>
      <c r="K8">
        <v>37</v>
      </c>
      <c r="L8" t="s">
        <v>31</v>
      </c>
      <c r="M8">
        <v>139</v>
      </c>
      <c r="N8">
        <v>1</v>
      </c>
      <c r="O8">
        <v>13316.71</v>
      </c>
      <c r="P8" s="1">
        <v>45600.340381944443</v>
      </c>
      <c r="Q8">
        <v>16</v>
      </c>
      <c r="R8" t="s">
        <v>74</v>
      </c>
      <c r="S8">
        <v>-0.99509339288087995</v>
      </c>
      <c r="T8" t="b">
        <v>0</v>
      </c>
      <c r="U8" t="b">
        <v>0</v>
      </c>
      <c r="V8" t="b">
        <f t="shared" si="0"/>
        <v>1</v>
      </c>
      <c r="W8">
        <v>0</v>
      </c>
      <c r="Y8">
        <f t="shared" si="1"/>
        <v>0</v>
      </c>
    </row>
    <row r="9" spans="1:29" x14ac:dyDescent="0.3">
      <c r="A9" t="s">
        <v>75</v>
      </c>
      <c r="B9" t="s">
        <v>76</v>
      </c>
      <c r="C9">
        <v>171.42</v>
      </c>
      <c r="D9" s="1">
        <v>45054.741655092592</v>
      </c>
      <c r="E9" t="s">
        <v>57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>
        <v>67</v>
      </c>
      <c r="L9" t="s">
        <v>82</v>
      </c>
      <c r="M9">
        <v>291</v>
      </c>
      <c r="N9">
        <v>1</v>
      </c>
      <c r="O9">
        <v>2796.24</v>
      </c>
      <c r="P9" s="1">
        <v>45600.340914351851</v>
      </c>
      <c r="Q9">
        <v>17</v>
      </c>
      <c r="R9" t="s">
        <v>47</v>
      </c>
      <c r="S9">
        <v>-0.43218154275397203</v>
      </c>
      <c r="T9" t="b">
        <v>0</v>
      </c>
      <c r="U9" t="b">
        <v>0</v>
      </c>
      <c r="V9" t="b">
        <f t="shared" si="0"/>
        <v>1</v>
      </c>
      <c r="W9">
        <v>0</v>
      </c>
      <c r="Y9">
        <f t="shared" si="1"/>
        <v>0</v>
      </c>
    </row>
    <row r="10" spans="1:29" x14ac:dyDescent="0.3">
      <c r="A10" t="s">
        <v>83</v>
      </c>
      <c r="B10" t="s">
        <v>84</v>
      </c>
      <c r="C10">
        <v>106.23</v>
      </c>
      <c r="D10" s="1">
        <v>45006.708171296297</v>
      </c>
      <c r="E10" t="s">
        <v>57</v>
      </c>
      <c r="F10" t="s">
        <v>85</v>
      </c>
      <c r="G10" t="s">
        <v>86</v>
      </c>
      <c r="H10" t="s">
        <v>87</v>
      </c>
      <c r="I10" t="s">
        <v>88</v>
      </c>
      <c r="J10" t="s">
        <v>81</v>
      </c>
      <c r="K10">
        <v>51</v>
      </c>
      <c r="L10" t="s">
        <v>89</v>
      </c>
      <c r="M10">
        <v>86</v>
      </c>
      <c r="N10">
        <v>1</v>
      </c>
      <c r="O10">
        <v>9095.14</v>
      </c>
      <c r="P10" s="1">
        <v>45600.341134259259</v>
      </c>
      <c r="Q10">
        <v>16</v>
      </c>
      <c r="R10" t="s">
        <v>32</v>
      </c>
      <c r="S10">
        <v>-0.65547607548959996</v>
      </c>
      <c r="T10" t="b">
        <v>0</v>
      </c>
      <c r="U10" t="b">
        <v>0</v>
      </c>
      <c r="V10" t="b">
        <f t="shared" si="0"/>
        <v>1</v>
      </c>
      <c r="W10">
        <v>0</v>
      </c>
      <c r="Y10">
        <f t="shared" si="1"/>
        <v>0</v>
      </c>
    </row>
    <row r="11" spans="1:29" x14ac:dyDescent="0.3">
      <c r="A11" t="s">
        <v>90</v>
      </c>
      <c r="B11" t="s">
        <v>91</v>
      </c>
      <c r="C11">
        <v>815.96</v>
      </c>
      <c r="D11" s="1">
        <v>45016.671493055554</v>
      </c>
      <c r="E11" t="s">
        <v>25</v>
      </c>
      <c r="F11" t="s">
        <v>92</v>
      </c>
      <c r="G11" t="s">
        <v>93</v>
      </c>
      <c r="H11" t="s">
        <v>94</v>
      </c>
      <c r="I11" t="s">
        <v>95</v>
      </c>
      <c r="J11" t="s">
        <v>30</v>
      </c>
      <c r="K11">
        <v>55</v>
      </c>
      <c r="L11" t="s">
        <v>31</v>
      </c>
      <c r="M11">
        <v>120</v>
      </c>
      <c r="N11">
        <v>1</v>
      </c>
      <c r="O11">
        <v>1021.88</v>
      </c>
      <c r="P11" s="1">
        <v>45600.337870370371</v>
      </c>
      <c r="Q11">
        <v>16</v>
      </c>
      <c r="R11" t="s">
        <v>54</v>
      </c>
      <c r="S11">
        <v>1.7755536640173299</v>
      </c>
      <c r="T11" t="b">
        <v>0</v>
      </c>
      <c r="U11" t="b">
        <v>0</v>
      </c>
      <c r="V11" t="b">
        <f t="shared" si="0"/>
        <v>1</v>
      </c>
      <c r="W11">
        <v>0</v>
      </c>
      <c r="Y11">
        <f t="shared" si="1"/>
        <v>0</v>
      </c>
    </row>
    <row r="12" spans="1:29" x14ac:dyDescent="0.3">
      <c r="A12" t="s">
        <v>96</v>
      </c>
      <c r="B12" t="s">
        <v>97</v>
      </c>
      <c r="C12">
        <v>17.78</v>
      </c>
      <c r="D12" s="1">
        <v>44999.69872685185</v>
      </c>
      <c r="E12" t="s">
        <v>57</v>
      </c>
      <c r="F12" t="s">
        <v>98</v>
      </c>
      <c r="G12" t="s">
        <v>99</v>
      </c>
      <c r="H12" t="s">
        <v>100</v>
      </c>
      <c r="I12" t="s">
        <v>101</v>
      </c>
      <c r="J12" t="s">
        <v>45</v>
      </c>
      <c r="K12">
        <v>52</v>
      </c>
      <c r="L12" t="s">
        <v>89</v>
      </c>
      <c r="M12">
        <v>59</v>
      </c>
      <c r="N12">
        <v>1</v>
      </c>
      <c r="O12">
        <v>7599.52</v>
      </c>
      <c r="P12" s="1">
        <v>45600.338020833333</v>
      </c>
      <c r="Q12">
        <v>16</v>
      </c>
      <c r="R12" t="s">
        <v>32</v>
      </c>
      <c r="S12">
        <v>-0.95844280996523001</v>
      </c>
      <c r="T12" t="b">
        <v>0</v>
      </c>
      <c r="U12" t="b">
        <v>0</v>
      </c>
      <c r="V12" t="b">
        <f t="shared" si="0"/>
        <v>1</v>
      </c>
      <c r="W12">
        <v>0</v>
      </c>
      <c r="Y12">
        <f t="shared" si="1"/>
        <v>0</v>
      </c>
    </row>
    <row r="13" spans="1:29" x14ac:dyDescent="0.3">
      <c r="A13" t="s">
        <v>102</v>
      </c>
      <c r="B13" t="s">
        <v>103</v>
      </c>
      <c r="C13">
        <v>190.02</v>
      </c>
      <c r="D13" s="1">
        <v>44963.729166666664</v>
      </c>
      <c r="E13" t="s">
        <v>25</v>
      </c>
      <c r="F13" t="s">
        <v>104</v>
      </c>
      <c r="G13" t="s">
        <v>105</v>
      </c>
      <c r="H13" t="s">
        <v>106</v>
      </c>
      <c r="I13" t="s">
        <v>107</v>
      </c>
      <c r="J13" t="s">
        <v>45</v>
      </c>
      <c r="K13">
        <v>21</v>
      </c>
      <c r="L13" t="s">
        <v>46</v>
      </c>
      <c r="M13">
        <v>173</v>
      </c>
      <c r="N13">
        <v>1</v>
      </c>
      <c r="O13">
        <v>1528.81</v>
      </c>
      <c r="P13" s="1">
        <v>45600.338333333333</v>
      </c>
      <c r="Q13">
        <v>17</v>
      </c>
      <c r="R13" t="s">
        <v>47</v>
      </c>
      <c r="S13">
        <v>-0.36847118366695403</v>
      </c>
      <c r="T13" t="b">
        <v>0</v>
      </c>
      <c r="U13" t="b">
        <v>0</v>
      </c>
      <c r="V13" t="b">
        <f t="shared" si="0"/>
        <v>1</v>
      </c>
      <c r="W13">
        <v>0</v>
      </c>
      <c r="Y13">
        <f t="shared" si="1"/>
        <v>0</v>
      </c>
    </row>
    <row r="14" spans="1:29" x14ac:dyDescent="0.3">
      <c r="A14" t="s">
        <v>108</v>
      </c>
      <c r="B14" t="s">
        <v>109</v>
      </c>
      <c r="C14">
        <v>494.52</v>
      </c>
      <c r="D14" s="1">
        <v>45084.723240740743</v>
      </c>
      <c r="E14" t="s">
        <v>57</v>
      </c>
      <c r="F14" t="s">
        <v>41</v>
      </c>
      <c r="G14" t="s">
        <v>110</v>
      </c>
      <c r="H14" t="s">
        <v>111</v>
      </c>
      <c r="I14" t="s">
        <v>112</v>
      </c>
      <c r="J14" t="s">
        <v>81</v>
      </c>
      <c r="K14">
        <v>24</v>
      </c>
      <c r="L14" t="s">
        <v>46</v>
      </c>
      <c r="M14">
        <v>111</v>
      </c>
      <c r="N14">
        <v>1</v>
      </c>
      <c r="O14">
        <v>1620.02</v>
      </c>
      <c r="P14" s="1">
        <v>45600.339328703703</v>
      </c>
      <c r="Q14">
        <v>17</v>
      </c>
      <c r="R14" t="s">
        <v>74</v>
      </c>
      <c r="S14">
        <v>0.67452904977373696</v>
      </c>
      <c r="T14" t="b">
        <v>0</v>
      </c>
      <c r="U14" t="b">
        <v>0</v>
      </c>
      <c r="V14" t="b">
        <f t="shared" si="0"/>
        <v>1</v>
      </c>
      <c r="W14">
        <v>0</v>
      </c>
      <c r="Y14">
        <f t="shared" si="1"/>
        <v>0</v>
      </c>
    </row>
    <row r="15" spans="1:29" x14ac:dyDescent="0.3">
      <c r="A15" t="s">
        <v>113</v>
      </c>
      <c r="B15" t="s">
        <v>114</v>
      </c>
      <c r="C15">
        <v>781.76</v>
      </c>
      <c r="D15" s="1">
        <v>45250.693923611114</v>
      </c>
      <c r="E15" t="s">
        <v>25</v>
      </c>
      <c r="F15" t="s">
        <v>104</v>
      </c>
      <c r="G15" t="s">
        <v>115</v>
      </c>
      <c r="H15" t="s">
        <v>116</v>
      </c>
      <c r="I15" t="s">
        <v>117</v>
      </c>
      <c r="J15" t="s">
        <v>30</v>
      </c>
      <c r="K15">
        <v>26</v>
      </c>
      <c r="L15" t="s">
        <v>46</v>
      </c>
      <c r="M15">
        <v>123</v>
      </c>
      <c r="N15">
        <v>1</v>
      </c>
      <c r="O15">
        <v>189.69</v>
      </c>
      <c r="P15" s="1">
        <v>45600.338263888887</v>
      </c>
      <c r="Q15">
        <v>16</v>
      </c>
      <c r="R15" t="s">
        <v>47</v>
      </c>
      <c r="S15">
        <v>1.6584088102121699</v>
      </c>
      <c r="T15" t="b">
        <v>0</v>
      </c>
      <c r="U15" t="b">
        <v>0</v>
      </c>
      <c r="V15" t="b">
        <f t="shared" si="0"/>
        <v>1</v>
      </c>
      <c r="W15">
        <v>0</v>
      </c>
      <c r="Y15">
        <f t="shared" si="1"/>
        <v>0</v>
      </c>
    </row>
    <row r="16" spans="1:29" x14ac:dyDescent="0.3">
      <c r="A16" t="s">
        <v>118</v>
      </c>
      <c r="B16" t="s">
        <v>119</v>
      </c>
      <c r="C16">
        <v>166.99</v>
      </c>
      <c r="D16" s="1">
        <v>44970.704131944447</v>
      </c>
      <c r="E16" t="s">
        <v>25</v>
      </c>
      <c r="F16" t="s">
        <v>120</v>
      </c>
      <c r="G16" t="s">
        <v>121</v>
      </c>
      <c r="H16" t="s">
        <v>122</v>
      </c>
      <c r="I16" t="s">
        <v>123</v>
      </c>
      <c r="J16" t="s">
        <v>45</v>
      </c>
      <c r="K16">
        <v>18</v>
      </c>
      <c r="L16" t="s">
        <v>46</v>
      </c>
      <c r="M16">
        <v>134</v>
      </c>
      <c r="N16">
        <v>1</v>
      </c>
      <c r="O16">
        <v>299.93</v>
      </c>
      <c r="P16" s="1">
        <v>45600.340381944443</v>
      </c>
      <c r="Q16">
        <v>16</v>
      </c>
      <c r="R16" t="s">
        <v>47</v>
      </c>
      <c r="S16">
        <v>-0.44735556913867502</v>
      </c>
      <c r="T16" t="b">
        <v>0</v>
      </c>
      <c r="U16" t="b">
        <v>0</v>
      </c>
      <c r="V16" t="b">
        <f t="shared" si="0"/>
        <v>1</v>
      </c>
      <c r="W16">
        <v>0</v>
      </c>
      <c r="Y16">
        <f t="shared" si="1"/>
        <v>0</v>
      </c>
    </row>
    <row r="17" spans="1:25" x14ac:dyDescent="0.3">
      <c r="A17" t="s">
        <v>124</v>
      </c>
      <c r="B17" t="s">
        <v>125</v>
      </c>
      <c r="C17">
        <v>465.45</v>
      </c>
      <c r="D17" s="1">
        <v>45272.682997685188</v>
      </c>
      <c r="E17" t="s">
        <v>25</v>
      </c>
      <c r="F17" t="s">
        <v>126</v>
      </c>
      <c r="G17" t="s">
        <v>127</v>
      </c>
      <c r="H17" t="s">
        <v>128</v>
      </c>
      <c r="I17" t="s">
        <v>117</v>
      </c>
      <c r="J17" t="s">
        <v>30</v>
      </c>
      <c r="K17">
        <v>36</v>
      </c>
      <c r="L17" t="s">
        <v>89</v>
      </c>
      <c r="M17">
        <v>129</v>
      </c>
      <c r="N17">
        <v>1</v>
      </c>
      <c r="O17">
        <v>3465.54</v>
      </c>
      <c r="P17" s="1">
        <v>45600.341886574075</v>
      </c>
      <c r="Q17">
        <v>16</v>
      </c>
      <c r="R17" t="s">
        <v>32</v>
      </c>
      <c r="S17">
        <v>0.57495592403935003</v>
      </c>
      <c r="T17" t="b">
        <v>0</v>
      </c>
      <c r="U17" t="b">
        <v>0</v>
      </c>
      <c r="V17" t="b">
        <f t="shared" si="0"/>
        <v>1</v>
      </c>
      <c r="W17">
        <v>0</v>
      </c>
      <c r="Y17">
        <f t="shared" si="1"/>
        <v>0</v>
      </c>
    </row>
    <row r="18" spans="1:25" x14ac:dyDescent="0.3">
      <c r="A18" t="s">
        <v>129</v>
      </c>
      <c r="B18" t="s">
        <v>130</v>
      </c>
      <c r="C18">
        <v>555.79999999999995</v>
      </c>
      <c r="D18" s="1">
        <v>45229.703344907408</v>
      </c>
      <c r="E18" t="s">
        <v>57</v>
      </c>
      <c r="F18" t="s">
        <v>131</v>
      </c>
      <c r="G18" t="s">
        <v>132</v>
      </c>
      <c r="H18" t="s">
        <v>133</v>
      </c>
      <c r="I18" t="s">
        <v>134</v>
      </c>
      <c r="J18" t="s">
        <v>81</v>
      </c>
      <c r="K18">
        <v>19</v>
      </c>
      <c r="L18" t="s">
        <v>46</v>
      </c>
      <c r="M18">
        <v>158</v>
      </c>
      <c r="N18">
        <v>1</v>
      </c>
      <c r="O18">
        <v>1131.26</v>
      </c>
      <c r="P18" s="1">
        <v>45600.338599537034</v>
      </c>
      <c r="Q18">
        <v>16</v>
      </c>
      <c r="R18" t="s">
        <v>47</v>
      </c>
      <c r="S18">
        <v>0.88443070594859996</v>
      </c>
      <c r="T18" t="b">
        <v>0</v>
      </c>
      <c r="U18" t="b">
        <v>0</v>
      </c>
      <c r="V18" t="b">
        <f t="shared" si="0"/>
        <v>1</v>
      </c>
      <c r="W18">
        <v>0</v>
      </c>
      <c r="Y18">
        <f t="shared" si="1"/>
        <v>0</v>
      </c>
    </row>
    <row r="19" spans="1:25" x14ac:dyDescent="0.3">
      <c r="A19" t="s">
        <v>135</v>
      </c>
      <c r="B19" t="s">
        <v>136</v>
      </c>
      <c r="C19">
        <v>492.93</v>
      </c>
      <c r="D19" s="1">
        <v>45274.77238425926</v>
      </c>
      <c r="E19" t="s">
        <v>25</v>
      </c>
      <c r="F19" t="s">
        <v>137</v>
      </c>
      <c r="G19" t="s">
        <v>138</v>
      </c>
      <c r="H19" t="s">
        <v>139</v>
      </c>
      <c r="I19" t="s">
        <v>140</v>
      </c>
      <c r="J19" t="s">
        <v>45</v>
      </c>
      <c r="K19">
        <v>39</v>
      </c>
      <c r="L19" t="s">
        <v>89</v>
      </c>
      <c r="M19">
        <v>234</v>
      </c>
      <c r="N19">
        <v>1</v>
      </c>
      <c r="O19">
        <v>5109.97</v>
      </c>
      <c r="P19" s="1">
        <v>45600.341562499998</v>
      </c>
      <c r="Q19">
        <v>18</v>
      </c>
      <c r="R19" t="s">
        <v>141</v>
      </c>
      <c r="S19">
        <v>0.66908284165823395</v>
      </c>
      <c r="T19" t="b">
        <v>0</v>
      </c>
      <c r="U19" t="b">
        <v>0</v>
      </c>
      <c r="V19" t="b">
        <f t="shared" si="0"/>
        <v>1</v>
      </c>
      <c r="W19">
        <v>0</v>
      </c>
      <c r="Y19">
        <f t="shared" si="1"/>
        <v>0</v>
      </c>
    </row>
    <row r="20" spans="1:25" x14ac:dyDescent="0.3">
      <c r="A20" t="s">
        <v>142</v>
      </c>
      <c r="B20" t="s">
        <v>143</v>
      </c>
      <c r="C20">
        <v>18.68</v>
      </c>
      <c r="D20" s="1">
        <v>44978.706134259257</v>
      </c>
      <c r="E20" t="s">
        <v>57</v>
      </c>
      <c r="F20" t="s">
        <v>98</v>
      </c>
      <c r="G20" t="s">
        <v>144</v>
      </c>
      <c r="H20" t="s">
        <v>145</v>
      </c>
      <c r="I20" t="s">
        <v>67</v>
      </c>
      <c r="J20" t="s">
        <v>81</v>
      </c>
      <c r="K20">
        <v>59</v>
      </c>
      <c r="L20" t="s">
        <v>82</v>
      </c>
      <c r="M20">
        <v>106</v>
      </c>
      <c r="N20">
        <v>1</v>
      </c>
      <c r="O20">
        <v>7948.37</v>
      </c>
      <c r="P20" s="1">
        <v>45600.341678240744</v>
      </c>
      <c r="Q20">
        <v>16</v>
      </c>
      <c r="R20" t="s">
        <v>32</v>
      </c>
      <c r="S20">
        <v>-0.95536005065456697</v>
      </c>
      <c r="T20" t="b">
        <v>0</v>
      </c>
      <c r="U20" t="b">
        <v>0</v>
      </c>
      <c r="V20" t="b">
        <f t="shared" si="0"/>
        <v>1</v>
      </c>
      <c r="W20">
        <v>0</v>
      </c>
      <c r="Y20">
        <f t="shared" si="1"/>
        <v>0</v>
      </c>
    </row>
    <row r="21" spans="1:25" x14ac:dyDescent="0.3">
      <c r="A21" t="s">
        <v>146</v>
      </c>
      <c r="B21" t="s">
        <v>147</v>
      </c>
      <c r="C21">
        <v>71.48</v>
      </c>
      <c r="D21" s="1">
        <v>45085.763078703705</v>
      </c>
      <c r="E21" t="s">
        <v>57</v>
      </c>
      <c r="F21" t="s">
        <v>137</v>
      </c>
      <c r="G21" t="s">
        <v>148</v>
      </c>
      <c r="H21" t="s">
        <v>149</v>
      </c>
      <c r="I21" t="s">
        <v>150</v>
      </c>
      <c r="J21" t="s">
        <v>45</v>
      </c>
      <c r="K21">
        <v>18</v>
      </c>
      <c r="L21" t="s">
        <v>46</v>
      </c>
      <c r="M21">
        <v>169</v>
      </c>
      <c r="N21">
        <v>1</v>
      </c>
      <c r="O21">
        <v>6568.59</v>
      </c>
      <c r="P21" s="1">
        <v>45600.339814814812</v>
      </c>
      <c r="Q21">
        <v>18</v>
      </c>
      <c r="R21" t="s">
        <v>141</v>
      </c>
      <c r="S21">
        <v>-0.77450483776238799</v>
      </c>
      <c r="T21" t="b">
        <v>0</v>
      </c>
      <c r="U21" t="b">
        <v>0</v>
      </c>
      <c r="V21" t="b">
        <f t="shared" si="0"/>
        <v>1</v>
      </c>
      <c r="W21">
        <v>0</v>
      </c>
      <c r="Y21">
        <f t="shared" si="1"/>
        <v>0</v>
      </c>
    </row>
    <row r="22" spans="1:25" x14ac:dyDescent="0.3">
      <c r="A22" t="s">
        <v>151</v>
      </c>
      <c r="B22" t="s">
        <v>152</v>
      </c>
      <c r="C22">
        <v>59.32</v>
      </c>
      <c r="D22" s="1">
        <v>44985.692337962966</v>
      </c>
      <c r="E22" t="s">
        <v>25</v>
      </c>
      <c r="F22" t="s">
        <v>153</v>
      </c>
      <c r="G22" t="s">
        <v>154</v>
      </c>
      <c r="H22" t="s">
        <v>155</v>
      </c>
      <c r="I22" t="s">
        <v>156</v>
      </c>
      <c r="J22" t="s">
        <v>81</v>
      </c>
      <c r="K22">
        <v>71</v>
      </c>
      <c r="L22" t="s">
        <v>82</v>
      </c>
      <c r="M22">
        <v>38</v>
      </c>
      <c r="N22">
        <v>1</v>
      </c>
      <c r="O22">
        <v>5750.89</v>
      </c>
      <c r="P22" s="1">
        <v>45600.339861111112</v>
      </c>
      <c r="Q22">
        <v>16</v>
      </c>
      <c r="R22" t="s">
        <v>32</v>
      </c>
      <c r="S22">
        <v>-0.81615634133755699</v>
      </c>
      <c r="T22" t="b">
        <v>0</v>
      </c>
      <c r="U22" t="b">
        <v>0</v>
      </c>
      <c r="V22" t="b">
        <f t="shared" si="0"/>
        <v>1</v>
      </c>
      <c r="W22">
        <v>0</v>
      </c>
      <c r="Y22">
        <f t="shared" si="1"/>
        <v>0</v>
      </c>
    </row>
    <row r="23" spans="1:25" x14ac:dyDescent="0.3">
      <c r="A23" t="s">
        <v>157</v>
      </c>
      <c r="B23" t="s">
        <v>158</v>
      </c>
      <c r="C23">
        <v>85.77</v>
      </c>
      <c r="D23" s="1">
        <v>45149.771886574075</v>
      </c>
      <c r="E23" t="s">
        <v>25</v>
      </c>
      <c r="F23" t="s">
        <v>159</v>
      </c>
      <c r="G23" t="s">
        <v>160</v>
      </c>
      <c r="H23" t="s">
        <v>161</v>
      </c>
      <c r="I23" t="s">
        <v>162</v>
      </c>
      <c r="J23" t="s">
        <v>81</v>
      </c>
      <c r="K23">
        <v>38</v>
      </c>
      <c r="L23" t="s">
        <v>31</v>
      </c>
      <c r="M23">
        <v>93</v>
      </c>
      <c r="N23">
        <v>1</v>
      </c>
      <c r="O23">
        <v>9146.19</v>
      </c>
      <c r="P23" s="1">
        <v>45600.339039351849</v>
      </c>
      <c r="Q23">
        <v>18</v>
      </c>
      <c r="R23" t="s">
        <v>54</v>
      </c>
      <c r="S23">
        <v>-0.72555747048531904</v>
      </c>
      <c r="T23" t="b">
        <v>0</v>
      </c>
      <c r="U23" t="b">
        <v>0</v>
      </c>
      <c r="V23" t="b">
        <f t="shared" si="0"/>
        <v>1</v>
      </c>
      <c r="W23">
        <v>0</v>
      </c>
      <c r="Y23">
        <f t="shared" si="1"/>
        <v>0</v>
      </c>
    </row>
    <row r="24" spans="1:25" x14ac:dyDescent="0.3">
      <c r="A24" t="s">
        <v>163</v>
      </c>
      <c r="B24" t="s">
        <v>164</v>
      </c>
      <c r="C24">
        <v>52.2</v>
      </c>
      <c r="D24" s="1">
        <v>45083.787673611114</v>
      </c>
      <c r="E24" t="s">
        <v>25</v>
      </c>
      <c r="F24" t="s">
        <v>58</v>
      </c>
      <c r="G24" t="s">
        <v>165</v>
      </c>
      <c r="H24" t="s">
        <v>166</v>
      </c>
      <c r="I24" t="s">
        <v>167</v>
      </c>
      <c r="J24" t="s">
        <v>45</v>
      </c>
      <c r="K24">
        <v>39</v>
      </c>
      <c r="L24" t="s">
        <v>89</v>
      </c>
      <c r="M24">
        <v>120</v>
      </c>
      <c r="N24">
        <v>1</v>
      </c>
      <c r="O24">
        <v>8974.93</v>
      </c>
      <c r="P24" s="1">
        <v>45600.338206018518</v>
      </c>
      <c r="Q24">
        <v>18</v>
      </c>
      <c r="R24" t="s">
        <v>32</v>
      </c>
      <c r="S24">
        <v>-0.84054439277301696</v>
      </c>
      <c r="T24" t="b">
        <v>0</v>
      </c>
      <c r="U24" t="b">
        <v>0</v>
      </c>
      <c r="V24" t="b">
        <f t="shared" si="0"/>
        <v>1</v>
      </c>
      <c r="W24">
        <v>0</v>
      </c>
      <c r="Y24">
        <f t="shared" si="1"/>
        <v>0</v>
      </c>
    </row>
    <row r="25" spans="1:25" x14ac:dyDescent="0.3">
      <c r="A25" t="s">
        <v>168</v>
      </c>
      <c r="B25" t="s">
        <v>169</v>
      </c>
      <c r="C25">
        <v>345.84</v>
      </c>
      <c r="D25" s="1">
        <v>45048.767893518518</v>
      </c>
      <c r="E25" t="s">
        <v>25</v>
      </c>
      <c r="F25" t="s">
        <v>170</v>
      </c>
      <c r="G25" t="s">
        <v>171</v>
      </c>
      <c r="H25" t="s">
        <v>172</v>
      </c>
      <c r="I25" t="s">
        <v>173</v>
      </c>
      <c r="J25" t="s">
        <v>45</v>
      </c>
      <c r="K25">
        <v>22</v>
      </c>
      <c r="L25" t="s">
        <v>46</v>
      </c>
      <c r="M25">
        <v>142</v>
      </c>
      <c r="N25">
        <v>3</v>
      </c>
      <c r="O25">
        <v>1402.5</v>
      </c>
      <c r="P25" s="1">
        <v>45600.338240740741</v>
      </c>
      <c r="Q25">
        <v>18</v>
      </c>
      <c r="R25" t="s">
        <v>32</v>
      </c>
      <c r="S25">
        <v>0.16525721165235099</v>
      </c>
      <c r="T25" t="b">
        <v>0</v>
      </c>
      <c r="U25" t="b">
        <v>1</v>
      </c>
      <c r="V25" t="b">
        <f t="shared" si="0"/>
        <v>1</v>
      </c>
      <c r="W25">
        <v>1</v>
      </c>
      <c r="Y25">
        <f t="shared" si="1"/>
        <v>0</v>
      </c>
    </row>
    <row r="26" spans="1:25" x14ac:dyDescent="0.3">
      <c r="A26" t="s">
        <v>174</v>
      </c>
      <c r="B26" t="s">
        <v>175</v>
      </c>
      <c r="C26">
        <v>145.54</v>
      </c>
      <c r="D26" s="1">
        <v>44987.697175925925</v>
      </c>
      <c r="E26" t="s">
        <v>25</v>
      </c>
      <c r="F26" t="s">
        <v>50</v>
      </c>
      <c r="G26" t="s">
        <v>176</v>
      </c>
      <c r="H26" t="s">
        <v>177</v>
      </c>
      <c r="I26" t="s">
        <v>178</v>
      </c>
      <c r="J26" t="s">
        <v>45</v>
      </c>
      <c r="K26">
        <v>21</v>
      </c>
      <c r="L26" t="s">
        <v>46</v>
      </c>
      <c r="M26">
        <v>96</v>
      </c>
      <c r="N26">
        <v>1</v>
      </c>
      <c r="O26">
        <v>1930.96</v>
      </c>
      <c r="P26" s="1">
        <v>45600.33829861111</v>
      </c>
      <c r="Q26">
        <v>16</v>
      </c>
      <c r="R26" t="s">
        <v>141</v>
      </c>
      <c r="S26">
        <v>-0.52082799937612301</v>
      </c>
      <c r="T26" t="b">
        <v>0</v>
      </c>
      <c r="U26" t="b">
        <v>0</v>
      </c>
      <c r="V26" t="b">
        <f t="shared" si="0"/>
        <v>1</v>
      </c>
      <c r="W26">
        <v>0</v>
      </c>
      <c r="Y26">
        <f t="shared" si="1"/>
        <v>0</v>
      </c>
    </row>
    <row r="27" spans="1:25" x14ac:dyDescent="0.3">
      <c r="A27" t="s">
        <v>179</v>
      </c>
      <c r="B27" t="s">
        <v>180</v>
      </c>
      <c r="C27">
        <v>7.49</v>
      </c>
      <c r="D27" s="1">
        <v>45219.745289351849</v>
      </c>
      <c r="E27" t="s">
        <v>57</v>
      </c>
      <c r="F27" t="s">
        <v>35</v>
      </c>
      <c r="G27" t="s">
        <v>132</v>
      </c>
      <c r="H27" t="s">
        <v>181</v>
      </c>
      <c r="I27" t="s">
        <v>182</v>
      </c>
      <c r="J27" t="s">
        <v>45</v>
      </c>
      <c r="K27">
        <v>65</v>
      </c>
      <c r="L27" t="s">
        <v>82</v>
      </c>
      <c r="M27">
        <v>276</v>
      </c>
      <c r="N27">
        <v>1</v>
      </c>
      <c r="O27">
        <v>3634.67</v>
      </c>
      <c r="P27" s="1">
        <v>45600.340092592596</v>
      </c>
      <c r="Q27">
        <v>17</v>
      </c>
      <c r="R27" t="s">
        <v>54</v>
      </c>
      <c r="S27">
        <v>-0.99368902475046705</v>
      </c>
      <c r="T27" t="b">
        <v>0</v>
      </c>
      <c r="U27" t="b">
        <v>0</v>
      </c>
      <c r="V27" t="b">
        <f t="shared" si="0"/>
        <v>1</v>
      </c>
      <c r="W27">
        <v>0</v>
      </c>
      <c r="Y27">
        <f t="shared" si="1"/>
        <v>0</v>
      </c>
    </row>
    <row r="28" spans="1:25" x14ac:dyDescent="0.3">
      <c r="A28" t="s">
        <v>183</v>
      </c>
      <c r="B28" t="s">
        <v>184</v>
      </c>
      <c r="C28">
        <v>246.93</v>
      </c>
      <c r="D28" s="1">
        <v>45033.692372685182</v>
      </c>
      <c r="E28" t="s">
        <v>25</v>
      </c>
      <c r="F28" t="s">
        <v>185</v>
      </c>
      <c r="G28" t="s">
        <v>186</v>
      </c>
      <c r="H28" t="s">
        <v>187</v>
      </c>
      <c r="I28" t="s">
        <v>188</v>
      </c>
      <c r="J28" t="s">
        <v>30</v>
      </c>
      <c r="K28">
        <v>23</v>
      </c>
      <c r="L28" t="s">
        <v>46</v>
      </c>
      <c r="M28">
        <v>158</v>
      </c>
      <c r="N28">
        <v>5</v>
      </c>
      <c r="O28">
        <v>673.35</v>
      </c>
      <c r="P28" s="1">
        <v>45600.341412037036</v>
      </c>
      <c r="Q28">
        <v>16</v>
      </c>
      <c r="R28" t="s">
        <v>47</v>
      </c>
      <c r="S28">
        <v>-0.17353803658941799</v>
      </c>
      <c r="T28" t="b">
        <v>0</v>
      </c>
      <c r="U28" t="b">
        <v>1</v>
      </c>
      <c r="V28" t="b">
        <f t="shared" si="0"/>
        <v>1</v>
      </c>
      <c r="W28">
        <v>1</v>
      </c>
      <c r="Y28">
        <f t="shared" si="1"/>
        <v>0</v>
      </c>
    </row>
    <row r="29" spans="1:25" x14ac:dyDescent="0.3">
      <c r="A29" t="s">
        <v>189</v>
      </c>
      <c r="B29" t="s">
        <v>190</v>
      </c>
      <c r="C29">
        <v>40.32</v>
      </c>
      <c r="D29" s="1">
        <v>45014.696273148147</v>
      </c>
      <c r="E29" t="s">
        <v>25</v>
      </c>
      <c r="F29" t="s">
        <v>191</v>
      </c>
      <c r="G29" t="s">
        <v>192</v>
      </c>
      <c r="H29" t="s">
        <v>193</v>
      </c>
      <c r="I29" t="s">
        <v>194</v>
      </c>
      <c r="J29" t="s">
        <v>81</v>
      </c>
      <c r="K29">
        <v>37</v>
      </c>
      <c r="L29" t="s">
        <v>89</v>
      </c>
      <c r="M29">
        <v>95</v>
      </c>
      <c r="N29">
        <v>1</v>
      </c>
      <c r="O29">
        <v>2686.52</v>
      </c>
      <c r="P29" s="1">
        <v>45600.34165509259</v>
      </c>
      <c r="Q29">
        <v>16</v>
      </c>
      <c r="R29" t="s">
        <v>74</v>
      </c>
      <c r="S29">
        <v>-0.881236815673758</v>
      </c>
      <c r="T29" t="b">
        <v>0</v>
      </c>
      <c r="U29" t="b">
        <v>0</v>
      </c>
      <c r="V29" t="b">
        <f t="shared" si="0"/>
        <v>1</v>
      </c>
      <c r="W29">
        <v>0</v>
      </c>
      <c r="Y29">
        <f t="shared" si="1"/>
        <v>0</v>
      </c>
    </row>
    <row r="30" spans="1:25" x14ac:dyDescent="0.3">
      <c r="A30" t="s">
        <v>195</v>
      </c>
      <c r="B30" t="s">
        <v>196</v>
      </c>
      <c r="C30">
        <v>127.45</v>
      </c>
      <c r="D30" s="1">
        <v>44950.679537037038</v>
      </c>
      <c r="E30" t="s">
        <v>25</v>
      </c>
      <c r="F30" t="s">
        <v>159</v>
      </c>
      <c r="G30" t="s">
        <v>197</v>
      </c>
      <c r="H30" t="s">
        <v>198</v>
      </c>
      <c r="I30" t="s">
        <v>199</v>
      </c>
      <c r="J30" t="s">
        <v>45</v>
      </c>
      <c r="K30">
        <v>44</v>
      </c>
      <c r="L30" t="s">
        <v>31</v>
      </c>
      <c r="M30">
        <v>197</v>
      </c>
      <c r="N30">
        <v>1</v>
      </c>
      <c r="O30">
        <v>1772.06</v>
      </c>
      <c r="P30" s="1">
        <v>45600.341226851851</v>
      </c>
      <c r="Q30">
        <v>16</v>
      </c>
      <c r="R30" t="s">
        <v>32</v>
      </c>
      <c r="S30">
        <v>-0.58279146152043204</v>
      </c>
      <c r="T30" t="b">
        <v>0</v>
      </c>
      <c r="U30" t="b">
        <v>0</v>
      </c>
      <c r="V30" t="b">
        <f t="shared" si="0"/>
        <v>1</v>
      </c>
      <c r="W30">
        <v>0</v>
      </c>
      <c r="Y30">
        <f t="shared" si="1"/>
        <v>0</v>
      </c>
    </row>
    <row r="31" spans="1:25" x14ac:dyDescent="0.3">
      <c r="A31" t="s">
        <v>200</v>
      </c>
      <c r="B31" t="s">
        <v>201</v>
      </c>
      <c r="C31">
        <v>56.17</v>
      </c>
      <c r="D31" s="1">
        <v>45189.705347222225</v>
      </c>
      <c r="E31" t="s">
        <v>25</v>
      </c>
      <c r="F31" t="s">
        <v>85</v>
      </c>
      <c r="G31" t="s">
        <v>202</v>
      </c>
      <c r="H31" t="s">
        <v>203</v>
      </c>
      <c r="I31" t="s">
        <v>182</v>
      </c>
      <c r="J31" t="s">
        <v>81</v>
      </c>
      <c r="K31">
        <v>27</v>
      </c>
      <c r="L31" t="s">
        <v>46</v>
      </c>
      <c r="M31">
        <v>283</v>
      </c>
      <c r="N31">
        <v>1</v>
      </c>
      <c r="O31">
        <v>1351.69</v>
      </c>
      <c r="P31" s="1">
        <v>45600.339236111111</v>
      </c>
      <c r="Q31">
        <v>16</v>
      </c>
      <c r="R31" t="s">
        <v>74</v>
      </c>
      <c r="S31">
        <v>-0.82694599892487397</v>
      </c>
      <c r="T31" t="b">
        <v>0</v>
      </c>
      <c r="U31" t="b">
        <v>0</v>
      </c>
      <c r="V31" t="b">
        <f t="shared" si="0"/>
        <v>1</v>
      </c>
      <c r="W31">
        <v>0</v>
      </c>
      <c r="Y31">
        <f t="shared" si="1"/>
        <v>0</v>
      </c>
    </row>
    <row r="32" spans="1:25" x14ac:dyDescent="0.3">
      <c r="A32" t="s">
        <v>204</v>
      </c>
      <c r="B32" t="s">
        <v>205</v>
      </c>
      <c r="C32">
        <v>28.31</v>
      </c>
      <c r="D32" s="1">
        <v>45124.742615740739</v>
      </c>
      <c r="E32" t="s">
        <v>57</v>
      </c>
      <c r="F32" t="s">
        <v>185</v>
      </c>
      <c r="G32" t="s">
        <v>206</v>
      </c>
      <c r="H32" t="s">
        <v>207</v>
      </c>
      <c r="I32" t="s">
        <v>61</v>
      </c>
      <c r="J32" t="s">
        <v>45</v>
      </c>
      <c r="K32">
        <v>59</v>
      </c>
      <c r="L32" t="s">
        <v>31</v>
      </c>
      <c r="M32">
        <v>20</v>
      </c>
      <c r="N32">
        <v>1</v>
      </c>
      <c r="O32">
        <v>8334.4699999999993</v>
      </c>
      <c r="P32" s="1">
        <v>45600.339780092596</v>
      </c>
      <c r="Q32">
        <v>17</v>
      </c>
      <c r="R32" t="s">
        <v>47</v>
      </c>
      <c r="S32">
        <v>-0.92237452603048298</v>
      </c>
      <c r="T32" t="b">
        <v>0</v>
      </c>
      <c r="U32" t="b">
        <v>0</v>
      </c>
      <c r="V32" t="b">
        <f t="shared" si="0"/>
        <v>1</v>
      </c>
      <c r="W32">
        <v>0</v>
      </c>
      <c r="Y32">
        <f t="shared" si="1"/>
        <v>0</v>
      </c>
    </row>
    <row r="33" spans="1:25" x14ac:dyDescent="0.3">
      <c r="A33" t="s">
        <v>208</v>
      </c>
      <c r="B33" t="s">
        <v>209</v>
      </c>
      <c r="C33">
        <v>59.12</v>
      </c>
      <c r="D33" s="1">
        <v>44963.683611111112</v>
      </c>
      <c r="E33" t="s">
        <v>25</v>
      </c>
      <c r="F33" t="s">
        <v>210</v>
      </c>
      <c r="G33" t="s">
        <v>211</v>
      </c>
      <c r="H33" t="s">
        <v>212</v>
      </c>
      <c r="I33" t="s">
        <v>213</v>
      </c>
      <c r="J33" t="s">
        <v>30</v>
      </c>
      <c r="K33">
        <v>29</v>
      </c>
      <c r="L33" t="s">
        <v>31</v>
      </c>
      <c r="M33">
        <v>257</v>
      </c>
      <c r="N33">
        <v>1</v>
      </c>
      <c r="O33">
        <v>9823.64</v>
      </c>
      <c r="P33" s="1">
        <v>45600.338171296295</v>
      </c>
      <c r="Q33">
        <v>16</v>
      </c>
      <c r="R33" t="s">
        <v>47</v>
      </c>
      <c r="S33">
        <v>-0.81684139896214802</v>
      </c>
      <c r="T33" t="b">
        <v>0</v>
      </c>
      <c r="U33" t="b">
        <v>0</v>
      </c>
      <c r="V33" t="b">
        <f t="shared" si="0"/>
        <v>1</v>
      </c>
      <c r="W33">
        <v>0</v>
      </c>
      <c r="Y33">
        <f t="shared" si="1"/>
        <v>0</v>
      </c>
    </row>
    <row r="34" spans="1:25" x14ac:dyDescent="0.3">
      <c r="A34" t="s">
        <v>214</v>
      </c>
      <c r="B34" t="s">
        <v>215</v>
      </c>
      <c r="C34">
        <v>396.45</v>
      </c>
      <c r="D34" s="1">
        <v>45194.68472222222</v>
      </c>
      <c r="E34" t="s">
        <v>25</v>
      </c>
      <c r="F34" t="s">
        <v>216</v>
      </c>
      <c r="G34" t="s">
        <v>217</v>
      </c>
      <c r="H34" t="s">
        <v>218</v>
      </c>
      <c r="I34" t="s">
        <v>95</v>
      </c>
      <c r="J34" t="s">
        <v>30</v>
      </c>
      <c r="K34">
        <v>49</v>
      </c>
      <c r="L34" t="s">
        <v>89</v>
      </c>
      <c r="M34">
        <v>168</v>
      </c>
      <c r="N34">
        <v>3</v>
      </c>
      <c r="O34">
        <v>9690.15</v>
      </c>
      <c r="P34" s="1">
        <v>45600.341122685182</v>
      </c>
      <c r="Q34">
        <v>16</v>
      </c>
      <c r="R34" t="s">
        <v>47</v>
      </c>
      <c r="S34">
        <v>0.33861104355525201</v>
      </c>
      <c r="T34" t="b">
        <v>0</v>
      </c>
      <c r="U34" t="b">
        <v>1</v>
      </c>
      <c r="V34" t="b">
        <f t="shared" si="0"/>
        <v>1</v>
      </c>
      <c r="W34">
        <v>1</v>
      </c>
      <c r="Y34">
        <f t="shared" si="1"/>
        <v>0</v>
      </c>
    </row>
    <row r="35" spans="1:25" x14ac:dyDescent="0.3">
      <c r="A35" t="s">
        <v>219</v>
      </c>
      <c r="B35" t="s">
        <v>136</v>
      </c>
      <c r="C35">
        <v>877.81</v>
      </c>
      <c r="D35" s="1">
        <v>44998.724583333336</v>
      </c>
      <c r="E35" t="s">
        <v>25</v>
      </c>
      <c r="F35" t="s">
        <v>153</v>
      </c>
      <c r="G35" t="s">
        <v>220</v>
      </c>
      <c r="H35" t="s">
        <v>221</v>
      </c>
      <c r="I35" t="s">
        <v>222</v>
      </c>
      <c r="J35" t="s">
        <v>45</v>
      </c>
      <c r="K35">
        <v>22</v>
      </c>
      <c r="L35" t="s">
        <v>46</v>
      </c>
      <c r="M35">
        <v>150</v>
      </c>
      <c r="N35">
        <v>1</v>
      </c>
      <c r="O35">
        <v>399</v>
      </c>
      <c r="P35" s="1">
        <v>45600.338773148149</v>
      </c>
      <c r="Q35">
        <v>17</v>
      </c>
      <c r="R35" t="s">
        <v>47</v>
      </c>
      <c r="S35">
        <v>1.98740773442228</v>
      </c>
      <c r="T35" t="b">
        <v>0</v>
      </c>
      <c r="U35" t="b">
        <v>0</v>
      </c>
      <c r="V35" t="b">
        <f t="shared" si="0"/>
        <v>1</v>
      </c>
      <c r="W35">
        <v>0</v>
      </c>
      <c r="Y35">
        <f t="shared" si="1"/>
        <v>0</v>
      </c>
    </row>
    <row r="36" spans="1:25" x14ac:dyDescent="0.3">
      <c r="A36" t="s">
        <v>223</v>
      </c>
      <c r="B36" t="s">
        <v>224</v>
      </c>
      <c r="C36">
        <v>255.26</v>
      </c>
      <c r="D36" s="1">
        <v>45226.696400462963</v>
      </c>
      <c r="E36" t="s">
        <v>57</v>
      </c>
      <c r="F36" t="s">
        <v>225</v>
      </c>
      <c r="G36" t="s">
        <v>226</v>
      </c>
      <c r="H36" t="s">
        <v>79</v>
      </c>
      <c r="I36" t="s">
        <v>53</v>
      </c>
      <c r="J36" t="s">
        <v>81</v>
      </c>
      <c r="K36">
        <v>45</v>
      </c>
      <c r="L36" t="s">
        <v>31</v>
      </c>
      <c r="M36">
        <v>50</v>
      </c>
      <c r="N36">
        <v>1</v>
      </c>
      <c r="O36">
        <v>14815.87</v>
      </c>
      <c r="P36" s="1">
        <v>45600.340868055559</v>
      </c>
      <c r="Q36">
        <v>16</v>
      </c>
      <c r="R36" t="s">
        <v>54</v>
      </c>
      <c r="S36">
        <v>-0.145005386525178</v>
      </c>
      <c r="T36" t="b">
        <v>0</v>
      </c>
      <c r="U36" t="b">
        <v>0</v>
      </c>
      <c r="V36" t="b">
        <f t="shared" si="0"/>
        <v>1</v>
      </c>
      <c r="W36">
        <v>0</v>
      </c>
      <c r="Y36">
        <f t="shared" si="1"/>
        <v>0</v>
      </c>
    </row>
    <row r="37" spans="1:25" x14ac:dyDescent="0.3">
      <c r="A37" t="s">
        <v>227</v>
      </c>
      <c r="B37" t="s">
        <v>228</v>
      </c>
      <c r="C37">
        <v>124.76</v>
      </c>
      <c r="D37" s="1">
        <v>45215.68953703704</v>
      </c>
      <c r="E37" t="s">
        <v>25</v>
      </c>
      <c r="F37" t="s">
        <v>70</v>
      </c>
      <c r="G37" t="s">
        <v>229</v>
      </c>
      <c r="H37" t="s">
        <v>230</v>
      </c>
      <c r="I37" t="s">
        <v>53</v>
      </c>
      <c r="J37" t="s">
        <v>81</v>
      </c>
      <c r="K37">
        <v>49</v>
      </c>
      <c r="L37" t="s">
        <v>89</v>
      </c>
      <c r="M37">
        <v>45</v>
      </c>
      <c r="N37">
        <v>1</v>
      </c>
      <c r="O37">
        <v>5764.72</v>
      </c>
      <c r="P37" s="1">
        <v>45600.337766203702</v>
      </c>
      <c r="Q37">
        <v>16</v>
      </c>
      <c r="R37" t="s">
        <v>47</v>
      </c>
      <c r="S37">
        <v>-0.59200548657118901</v>
      </c>
      <c r="T37" t="b">
        <v>0</v>
      </c>
      <c r="U37" t="b">
        <v>0</v>
      </c>
      <c r="V37" t="b">
        <f t="shared" si="0"/>
        <v>1</v>
      </c>
      <c r="W37">
        <v>0</v>
      </c>
      <c r="Y37">
        <f t="shared" si="1"/>
        <v>0</v>
      </c>
    </row>
    <row r="38" spans="1:25" x14ac:dyDescent="0.3">
      <c r="A38" t="s">
        <v>231</v>
      </c>
      <c r="B38" t="s">
        <v>232</v>
      </c>
      <c r="C38">
        <v>78.13</v>
      </c>
      <c r="D38" s="1">
        <v>45251.707453703704</v>
      </c>
      <c r="E38" t="s">
        <v>25</v>
      </c>
      <c r="F38" t="s">
        <v>191</v>
      </c>
      <c r="G38" t="s">
        <v>233</v>
      </c>
      <c r="H38" t="s">
        <v>203</v>
      </c>
      <c r="I38" t="s">
        <v>178</v>
      </c>
      <c r="J38" t="s">
        <v>81</v>
      </c>
      <c r="K38">
        <v>26</v>
      </c>
      <c r="L38" t="s">
        <v>46</v>
      </c>
      <c r="M38">
        <v>145</v>
      </c>
      <c r="N38">
        <v>1</v>
      </c>
      <c r="O38">
        <v>900.61</v>
      </c>
      <c r="P38" s="1">
        <v>45600.341874999998</v>
      </c>
      <c r="Q38">
        <v>16</v>
      </c>
      <c r="R38" t="s">
        <v>32</v>
      </c>
      <c r="S38">
        <v>-0.75172667174471797</v>
      </c>
      <c r="T38" t="b">
        <v>0</v>
      </c>
      <c r="U38" t="b">
        <v>0</v>
      </c>
      <c r="V38" t="b">
        <f t="shared" si="0"/>
        <v>1</v>
      </c>
      <c r="W38">
        <v>0</v>
      </c>
      <c r="Y38">
        <f t="shared" si="1"/>
        <v>0</v>
      </c>
    </row>
    <row r="39" spans="1:25" x14ac:dyDescent="0.3">
      <c r="A39" t="s">
        <v>234</v>
      </c>
      <c r="B39" t="s">
        <v>235</v>
      </c>
      <c r="C39">
        <v>649.28</v>
      </c>
      <c r="D39" s="1">
        <v>44987.745509259257</v>
      </c>
      <c r="E39" t="s">
        <v>25</v>
      </c>
      <c r="F39" t="s">
        <v>236</v>
      </c>
      <c r="G39" t="s">
        <v>237</v>
      </c>
      <c r="H39" t="s">
        <v>238</v>
      </c>
      <c r="I39" t="s">
        <v>239</v>
      </c>
      <c r="J39" t="s">
        <v>30</v>
      </c>
      <c r="K39">
        <v>75</v>
      </c>
      <c r="L39" t="s">
        <v>82</v>
      </c>
      <c r="M39">
        <v>137</v>
      </c>
      <c r="N39">
        <v>1</v>
      </c>
      <c r="O39">
        <v>4875.8599999999997</v>
      </c>
      <c r="P39" s="1">
        <v>45600.341145833336</v>
      </c>
      <c r="Q39">
        <v>17</v>
      </c>
      <c r="R39" t="s">
        <v>141</v>
      </c>
      <c r="S39">
        <v>1.2046266396826999</v>
      </c>
      <c r="T39" t="b">
        <v>0</v>
      </c>
      <c r="U39" t="b">
        <v>0</v>
      </c>
      <c r="V39" t="b">
        <f t="shared" si="0"/>
        <v>1</v>
      </c>
      <c r="W39">
        <v>0</v>
      </c>
      <c r="Y39">
        <f t="shared" si="1"/>
        <v>0</v>
      </c>
    </row>
    <row r="40" spans="1:25" x14ac:dyDescent="0.3">
      <c r="A40" t="s">
        <v>240</v>
      </c>
      <c r="B40" t="s">
        <v>241</v>
      </c>
      <c r="C40">
        <v>795.31</v>
      </c>
      <c r="D40" s="1">
        <v>45211.71365740741</v>
      </c>
      <c r="E40" t="s">
        <v>25</v>
      </c>
      <c r="F40" t="s">
        <v>41</v>
      </c>
      <c r="G40" t="s">
        <v>242</v>
      </c>
      <c r="H40" t="s">
        <v>243</v>
      </c>
      <c r="I40" t="s">
        <v>134</v>
      </c>
      <c r="J40" t="s">
        <v>30</v>
      </c>
      <c r="K40">
        <v>66</v>
      </c>
      <c r="L40" t="s">
        <v>31</v>
      </c>
      <c r="M40">
        <v>90</v>
      </c>
      <c r="N40">
        <v>2</v>
      </c>
      <c r="O40">
        <v>7914.88</v>
      </c>
      <c r="P40" s="1">
        <v>45600.341168981482</v>
      </c>
      <c r="Q40">
        <v>17</v>
      </c>
      <c r="R40" t="s">
        <v>141</v>
      </c>
      <c r="S40">
        <v>1.70482146427825</v>
      </c>
      <c r="T40" t="b">
        <v>0</v>
      </c>
      <c r="U40" t="b">
        <v>1</v>
      </c>
      <c r="V40" t="b">
        <f t="shared" si="0"/>
        <v>1</v>
      </c>
      <c r="W40">
        <v>1</v>
      </c>
      <c r="Y40">
        <f t="shared" si="1"/>
        <v>0</v>
      </c>
    </row>
    <row r="41" spans="1:25" x14ac:dyDescent="0.3">
      <c r="A41" t="s">
        <v>244</v>
      </c>
      <c r="B41" t="s">
        <v>245</v>
      </c>
      <c r="C41">
        <v>335.63</v>
      </c>
      <c r="D41" s="1">
        <v>44950.720370370371</v>
      </c>
      <c r="E41" t="s">
        <v>25</v>
      </c>
      <c r="F41" t="s">
        <v>64</v>
      </c>
      <c r="G41" t="s">
        <v>246</v>
      </c>
      <c r="H41" t="s">
        <v>247</v>
      </c>
      <c r="I41" t="s">
        <v>156</v>
      </c>
      <c r="J41" t="s">
        <v>45</v>
      </c>
      <c r="K41">
        <v>55</v>
      </c>
      <c r="L41" t="s">
        <v>82</v>
      </c>
      <c r="M41">
        <v>216</v>
      </c>
      <c r="N41">
        <v>1</v>
      </c>
      <c r="O41">
        <v>1019.39</v>
      </c>
      <c r="P41" s="1">
        <v>45600.338564814818</v>
      </c>
      <c r="Q41">
        <v>17</v>
      </c>
      <c r="R41" t="s">
        <v>32</v>
      </c>
      <c r="S41">
        <v>0.13028501991694999</v>
      </c>
      <c r="T41" t="b">
        <v>0</v>
      </c>
      <c r="U41" t="b">
        <v>0</v>
      </c>
      <c r="V41" t="b">
        <f t="shared" si="0"/>
        <v>1</v>
      </c>
      <c r="W41">
        <v>0</v>
      </c>
      <c r="Y41">
        <f t="shared" si="1"/>
        <v>0</v>
      </c>
    </row>
    <row r="42" spans="1:25" x14ac:dyDescent="0.3">
      <c r="A42" t="s">
        <v>248</v>
      </c>
      <c r="B42" t="s">
        <v>249</v>
      </c>
      <c r="C42">
        <v>328.47</v>
      </c>
      <c r="D42" s="1">
        <v>45138.777662037035</v>
      </c>
      <c r="E42" t="s">
        <v>25</v>
      </c>
      <c r="F42" t="s">
        <v>250</v>
      </c>
      <c r="G42" t="s">
        <v>251</v>
      </c>
      <c r="H42" t="s">
        <v>252</v>
      </c>
      <c r="I42" t="s">
        <v>253</v>
      </c>
      <c r="J42" t="s">
        <v>30</v>
      </c>
      <c r="K42">
        <v>63</v>
      </c>
      <c r="L42" t="s">
        <v>82</v>
      </c>
      <c r="M42">
        <v>119</v>
      </c>
      <c r="N42">
        <v>1</v>
      </c>
      <c r="O42">
        <v>4323.66</v>
      </c>
      <c r="P42" s="1">
        <v>45600.338553240741</v>
      </c>
      <c r="Q42">
        <v>18</v>
      </c>
      <c r="R42" t="s">
        <v>47</v>
      </c>
      <c r="S42">
        <v>0.105759956956572</v>
      </c>
      <c r="T42" t="b">
        <v>0</v>
      </c>
      <c r="U42" t="b">
        <v>0</v>
      </c>
      <c r="V42" t="b">
        <f t="shared" si="0"/>
        <v>1</v>
      </c>
      <c r="W42">
        <v>0</v>
      </c>
      <c r="Y42">
        <f t="shared" si="1"/>
        <v>0</v>
      </c>
    </row>
    <row r="43" spans="1:25" x14ac:dyDescent="0.3">
      <c r="A43" t="s">
        <v>254</v>
      </c>
      <c r="B43" t="s">
        <v>255</v>
      </c>
      <c r="C43">
        <v>34.020000000000003</v>
      </c>
      <c r="D43" s="1">
        <v>44935.675937499997</v>
      </c>
      <c r="E43" t="s">
        <v>25</v>
      </c>
      <c r="F43" t="s">
        <v>256</v>
      </c>
      <c r="G43" t="s">
        <v>257</v>
      </c>
      <c r="H43" t="s">
        <v>258</v>
      </c>
      <c r="I43" t="s">
        <v>259</v>
      </c>
      <c r="J43" t="s">
        <v>45</v>
      </c>
      <c r="K43">
        <v>38</v>
      </c>
      <c r="L43" t="s">
        <v>31</v>
      </c>
      <c r="M43">
        <v>19</v>
      </c>
      <c r="N43">
        <v>1</v>
      </c>
      <c r="O43">
        <v>14214.48</v>
      </c>
      <c r="P43" s="1">
        <v>45600.341493055559</v>
      </c>
      <c r="Q43">
        <v>16</v>
      </c>
      <c r="R43" t="s">
        <v>47</v>
      </c>
      <c r="S43">
        <v>-0.90281613084839296</v>
      </c>
      <c r="T43" t="b">
        <v>0</v>
      </c>
      <c r="U43" t="b">
        <v>0</v>
      </c>
      <c r="V43" t="b">
        <f t="shared" si="0"/>
        <v>1</v>
      </c>
      <c r="W43">
        <v>0</v>
      </c>
      <c r="Y43">
        <f t="shared" si="1"/>
        <v>0</v>
      </c>
    </row>
    <row r="44" spans="1:25" x14ac:dyDescent="0.3">
      <c r="A44" t="s">
        <v>260</v>
      </c>
      <c r="B44" t="s">
        <v>261</v>
      </c>
      <c r="C44">
        <v>241.42</v>
      </c>
      <c r="D44" s="1">
        <v>45036.790081018517</v>
      </c>
      <c r="E44" t="s">
        <v>57</v>
      </c>
      <c r="F44" t="s">
        <v>262</v>
      </c>
      <c r="G44" t="s">
        <v>263</v>
      </c>
      <c r="H44" t="s">
        <v>264</v>
      </c>
      <c r="I44" t="s">
        <v>265</v>
      </c>
      <c r="J44" t="s">
        <v>45</v>
      </c>
      <c r="K44">
        <v>57</v>
      </c>
      <c r="L44" t="s">
        <v>31</v>
      </c>
      <c r="M44">
        <v>116</v>
      </c>
      <c r="N44">
        <v>1</v>
      </c>
      <c r="O44">
        <v>13357.02</v>
      </c>
      <c r="P44" s="1">
        <v>45600.339618055557</v>
      </c>
      <c r="Q44">
        <v>18</v>
      </c>
      <c r="R44" t="s">
        <v>141</v>
      </c>
      <c r="S44">
        <v>-0.192411374146916</v>
      </c>
      <c r="T44" t="b">
        <v>0</v>
      </c>
      <c r="U44" t="b">
        <v>0</v>
      </c>
      <c r="V44" t="b">
        <f t="shared" si="0"/>
        <v>1</v>
      </c>
      <c r="W44">
        <v>0</v>
      </c>
      <c r="Y44">
        <f t="shared" si="1"/>
        <v>0</v>
      </c>
    </row>
    <row r="45" spans="1:25" x14ac:dyDescent="0.3">
      <c r="A45" t="s">
        <v>266</v>
      </c>
      <c r="B45" t="s">
        <v>267</v>
      </c>
      <c r="C45">
        <v>55.32</v>
      </c>
      <c r="D45" s="1">
        <v>45028.669178240743</v>
      </c>
      <c r="E45" t="s">
        <v>25</v>
      </c>
      <c r="F45" t="s">
        <v>268</v>
      </c>
      <c r="G45" t="s">
        <v>269</v>
      </c>
      <c r="H45" t="s">
        <v>270</v>
      </c>
      <c r="I45" t="s">
        <v>44</v>
      </c>
      <c r="J45" t="s">
        <v>30</v>
      </c>
      <c r="K45">
        <v>19</v>
      </c>
      <c r="L45" t="s">
        <v>46</v>
      </c>
      <c r="M45">
        <v>117</v>
      </c>
      <c r="N45">
        <v>1</v>
      </c>
      <c r="O45">
        <v>241.79</v>
      </c>
      <c r="P45" s="1">
        <v>45600.338923611111</v>
      </c>
      <c r="Q45">
        <v>16</v>
      </c>
      <c r="R45" t="s">
        <v>74</v>
      </c>
      <c r="S45">
        <v>-0.829857493829389</v>
      </c>
      <c r="T45" t="b">
        <v>0</v>
      </c>
      <c r="U45" t="b">
        <v>0</v>
      </c>
      <c r="V45" t="b">
        <f t="shared" si="0"/>
        <v>1</v>
      </c>
      <c r="W45">
        <v>0</v>
      </c>
      <c r="Y45">
        <f t="shared" si="1"/>
        <v>0</v>
      </c>
    </row>
    <row r="46" spans="1:25" x14ac:dyDescent="0.3">
      <c r="A46" t="s">
        <v>271</v>
      </c>
      <c r="B46" t="s">
        <v>272</v>
      </c>
      <c r="C46">
        <v>304.31</v>
      </c>
      <c r="D46" s="1">
        <v>45133.703101851854</v>
      </c>
      <c r="E46" t="s">
        <v>25</v>
      </c>
      <c r="F46" t="s">
        <v>120</v>
      </c>
      <c r="G46" t="s">
        <v>273</v>
      </c>
      <c r="H46" t="s">
        <v>274</v>
      </c>
      <c r="I46" t="s">
        <v>275</v>
      </c>
      <c r="J46" t="s">
        <v>81</v>
      </c>
      <c r="K46">
        <v>27</v>
      </c>
      <c r="L46" t="s">
        <v>46</v>
      </c>
      <c r="M46">
        <v>33</v>
      </c>
      <c r="N46">
        <v>1</v>
      </c>
      <c r="O46">
        <v>868.61</v>
      </c>
      <c r="P46" s="1">
        <v>45600.340196759258</v>
      </c>
      <c r="Q46">
        <v>16</v>
      </c>
      <c r="R46" t="s">
        <v>74</v>
      </c>
      <c r="S46">
        <v>2.3004995905908199E-2</v>
      </c>
      <c r="T46" t="b">
        <v>0</v>
      </c>
      <c r="U46" t="b">
        <v>0</v>
      </c>
      <c r="V46" t="b">
        <f t="shared" si="0"/>
        <v>1</v>
      </c>
      <c r="W46">
        <v>0</v>
      </c>
      <c r="Y46">
        <f t="shared" si="1"/>
        <v>0</v>
      </c>
    </row>
    <row r="47" spans="1:25" x14ac:dyDescent="0.3">
      <c r="A47" t="s">
        <v>276</v>
      </c>
      <c r="B47" t="s">
        <v>277</v>
      </c>
      <c r="C47">
        <v>435.27</v>
      </c>
      <c r="D47" s="1">
        <v>45203.742696759262</v>
      </c>
      <c r="E47" t="s">
        <v>25</v>
      </c>
      <c r="F47" t="s">
        <v>278</v>
      </c>
      <c r="G47" t="s">
        <v>202</v>
      </c>
      <c r="H47" t="s">
        <v>279</v>
      </c>
      <c r="I47" t="s">
        <v>280</v>
      </c>
      <c r="J47" t="s">
        <v>81</v>
      </c>
      <c r="K47">
        <v>74</v>
      </c>
      <c r="L47" t="s">
        <v>82</v>
      </c>
      <c r="M47">
        <v>90</v>
      </c>
      <c r="N47">
        <v>1</v>
      </c>
      <c r="O47">
        <v>4673.28</v>
      </c>
      <c r="P47" s="1">
        <v>45600.341111111113</v>
      </c>
      <c r="Q47">
        <v>17</v>
      </c>
      <c r="R47" t="s">
        <v>74</v>
      </c>
      <c r="S47">
        <v>0.47158072848847898</v>
      </c>
      <c r="T47" t="b">
        <v>0</v>
      </c>
      <c r="U47" t="b">
        <v>0</v>
      </c>
      <c r="V47" t="b">
        <f t="shared" si="0"/>
        <v>1</v>
      </c>
      <c r="W47">
        <v>0</v>
      </c>
      <c r="Y47">
        <f t="shared" si="1"/>
        <v>0</v>
      </c>
    </row>
    <row r="48" spans="1:25" x14ac:dyDescent="0.3">
      <c r="A48" t="s">
        <v>281</v>
      </c>
      <c r="B48" t="s">
        <v>282</v>
      </c>
      <c r="C48">
        <v>164.49</v>
      </c>
      <c r="D48" s="1">
        <v>45273.667800925927</v>
      </c>
      <c r="E48" t="s">
        <v>25</v>
      </c>
      <c r="F48" t="s">
        <v>210</v>
      </c>
      <c r="G48" t="s">
        <v>283</v>
      </c>
      <c r="H48" t="s">
        <v>284</v>
      </c>
      <c r="I48" t="s">
        <v>285</v>
      </c>
      <c r="J48" t="s">
        <v>81</v>
      </c>
      <c r="K48">
        <v>26</v>
      </c>
      <c r="L48" t="s">
        <v>46</v>
      </c>
      <c r="M48">
        <v>75</v>
      </c>
      <c r="N48">
        <v>1</v>
      </c>
      <c r="O48">
        <v>1509.27</v>
      </c>
      <c r="P48" s="1">
        <v>45600.34065972222</v>
      </c>
      <c r="Q48">
        <v>16</v>
      </c>
      <c r="R48" t="s">
        <v>74</v>
      </c>
      <c r="S48">
        <v>-0.45591878944607001</v>
      </c>
      <c r="T48" t="b">
        <v>0</v>
      </c>
      <c r="U48" t="b">
        <v>0</v>
      </c>
      <c r="V48" t="b">
        <f t="shared" si="0"/>
        <v>1</v>
      </c>
      <c r="W48">
        <v>0</v>
      </c>
      <c r="Y48">
        <f t="shared" si="1"/>
        <v>0</v>
      </c>
    </row>
    <row r="49" spans="1:25" x14ac:dyDescent="0.3">
      <c r="A49" t="s">
        <v>286</v>
      </c>
      <c r="B49" t="s">
        <v>287</v>
      </c>
      <c r="C49">
        <v>510.24</v>
      </c>
      <c r="D49" s="1">
        <v>45208.687268518515</v>
      </c>
      <c r="E49" t="s">
        <v>25</v>
      </c>
      <c r="F49" t="s">
        <v>64</v>
      </c>
      <c r="G49" t="s">
        <v>288</v>
      </c>
      <c r="H49" t="s">
        <v>289</v>
      </c>
      <c r="I49" t="s">
        <v>290</v>
      </c>
      <c r="J49" t="s">
        <v>45</v>
      </c>
      <c r="K49">
        <v>19</v>
      </c>
      <c r="L49" t="s">
        <v>46</v>
      </c>
      <c r="M49">
        <v>105</v>
      </c>
      <c r="N49">
        <v>1</v>
      </c>
      <c r="O49">
        <v>781.7</v>
      </c>
      <c r="P49" s="1">
        <v>45600.341377314813</v>
      </c>
      <c r="Q49">
        <v>16</v>
      </c>
      <c r="R49" t="s">
        <v>47</v>
      </c>
      <c r="S49">
        <v>0.72837457906663605</v>
      </c>
      <c r="T49" t="b">
        <v>0</v>
      </c>
      <c r="U49" t="b">
        <v>0</v>
      </c>
      <c r="V49" t="b">
        <f t="shared" si="0"/>
        <v>1</v>
      </c>
      <c r="W49">
        <v>0</v>
      </c>
      <c r="Y49">
        <f t="shared" si="1"/>
        <v>0</v>
      </c>
    </row>
    <row r="50" spans="1:25" x14ac:dyDescent="0.3">
      <c r="A50" t="s">
        <v>291</v>
      </c>
      <c r="B50" t="s">
        <v>292</v>
      </c>
      <c r="C50">
        <v>626.9</v>
      </c>
      <c r="D50" s="1">
        <v>45257.698576388888</v>
      </c>
      <c r="E50" t="s">
        <v>25</v>
      </c>
      <c r="F50" t="s">
        <v>126</v>
      </c>
      <c r="G50" t="s">
        <v>293</v>
      </c>
      <c r="H50" t="s">
        <v>294</v>
      </c>
      <c r="I50" t="s">
        <v>295</v>
      </c>
      <c r="J50" t="s">
        <v>45</v>
      </c>
      <c r="K50">
        <v>26</v>
      </c>
      <c r="L50" t="s">
        <v>46</v>
      </c>
      <c r="M50">
        <v>138</v>
      </c>
      <c r="N50">
        <v>1</v>
      </c>
      <c r="O50">
        <v>265.51</v>
      </c>
      <c r="P50" s="1">
        <v>45600.338472222225</v>
      </c>
      <c r="Q50">
        <v>16</v>
      </c>
      <c r="R50" t="s">
        <v>47</v>
      </c>
      <c r="S50">
        <v>1.1279686914909</v>
      </c>
      <c r="T50" t="b">
        <v>0</v>
      </c>
      <c r="U50" t="b">
        <v>0</v>
      </c>
      <c r="V50" t="b">
        <f t="shared" si="0"/>
        <v>1</v>
      </c>
      <c r="W50">
        <v>0</v>
      </c>
      <c r="Y50">
        <f t="shared" si="1"/>
        <v>0</v>
      </c>
    </row>
    <row r="51" spans="1:25" x14ac:dyDescent="0.3">
      <c r="A51" t="s">
        <v>296</v>
      </c>
      <c r="B51" t="s">
        <v>297</v>
      </c>
      <c r="C51">
        <v>22.01</v>
      </c>
      <c r="D51" s="1">
        <v>45012.698125000003</v>
      </c>
      <c r="E51" t="s">
        <v>57</v>
      </c>
      <c r="F51" t="s">
        <v>298</v>
      </c>
      <c r="G51" t="s">
        <v>299</v>
      </c>
      <c r="H51" t="s">
        <v>300</v>
      </c>
      <c r="I51" t="s">
        <v>301</v>
      </c>
      <c r="J51" t="s">
        <v>45</v>
      </c>
      <c r="K51">
        <v>41</v>
      </c>
      <c r="L51" t="s">
        <v>89</v>
      </c>
      <c r="M51">
        <v>175</v>
      </c>
      <c r="N51">
        <v>1</v>
      </c>
      <c r="O51">
        <v>1335.09</v>
      </c>
      <c r="P51" s="1">
        <v>45600.337858796294</v>
      </c>
      <c r="Q51">
        <v>16</v>
      </c>
      <c r="R51" t="s">
        <v>47</v>
      </c>
      <c r="S51">
        <v>-0.94395384120511805</v>
      </c>
      <c r="T51" t="b">
        <v>0</v>
      </c>
      <c r="U51" t="b">
        <v>0</v>
      </c>
      <c r="V51" t="b">
        <f t="shared" si="0"/>
        <v>1</v>
      </c>
      <c r="W51">
        <v>0</v>
      </c>
      <c r="Y51">
        <f t="shared" si="1"/>
        <v>0</v>
      </c>
    </row>
    <row r="52" spans="1:25" x14ac:dyDescent="0.3">
      <c r="A52" t="s">
        <v>302</v>
      </c>
      <c r="B52" t="s">
        <v>303</v>
      </c>
      <c r="C52">
        <v>425.34</v>
      </c>
      <c r="D52" s="1">
        <v>44970.708090277774</v>
      </c>
      <c r="E52" t="s">
        <v>57</v>
      </c>
      <c r="F52" t="s">
        <v>304</v>
      </c>
      <c r="G52" t="s">
        <v>305</v>
      </c>
      <c r="H52" t="s">
        <v>306</v>
      </c>
      <c r="I52" t="s">
        <v>156</v>
      </c>
      <c r="J52" t="s">
        <v>45</v>
      </c>
      <c r="K52">
        <v>69</v>
      </c>
      <c r="L52" t="s">
        <v>82</v>
      </c>
      <c r="M52">
        <v>121</v>
      </c>
      <c r="N52">
        <v>1</v>
      </c>
      <c r="O52">
        <v>3907.54</v>
      </c>
      <c r="P52" s="1">
        <v>45600.338275462964</v>
      </c>
      <c r="Q52">
        <v>16</v>
      </c>
      <c r="R52" t="s">
        <v>47</v>
      </c>
      <c r="S52">
        <v>0.43756761742750699</v>
      </c>
      <c r="T52" t="b">
        <v>0</v>
      </c>
      <c r="U52" t="b">
        <v>0</v>
      </c>
      <c r="V52" t="b">
        <f t="shared" si="0"/>
        <v>1</v>
      </c>
      <c r="W52">
        <v>0</v>
      </c>
      <c r="Y52">
        <f t="shared" si="1"/>
        <v>0</v>
      </c>
    </row>
    <row r="53" spans="1:25" x14ac:dyDescent="0.3">
      <c r="A53" t="s">
        <v>307</v>
      </c>
      <c r="B53" t="s">
        <v>308</v>
      </c>
      <c r="C53">
        <v>424.56</v>
      </c>
      <c r="D53" s="1">
        <v>44978.740219907406</v>
      </c>
      <c r="E53" t="s">
        <v>25</v>
      </c>
      <c r="F53" t="s">
        <v>309</v>
      </c>
      <c r="G53" t="s">
        <v>310</v>
      </c>
      <c r="H53" t="s">
        <v>311</v>
      </c>
      <c r="I53" t="s">
        <v>29</v>
      </c>
      <c r="J53" t="s">
        <v>45</v>
      </c>
      <c r="K53">
        <v>51</v>
      </c>
      <c r="L53" t="s">
        <v>89</v>
      </c>
      <c r="M53">
        <v>264</v>
      </c>
      <c r="N53">
        <v>1</v>
      </c>
      <c r="O53">
        <v>5183.8500000000004</v>
      </c>
      <c r="P53" s="1">
        <v>45600.339606481481</v>
      </c>
      <c r="Q53">
        <v>17</v>
      </c>
      <c r="R53" t="s">
        <v>32</v>
      </c>
      <c r="S53">
        <v>0.43489589269160001</v>
      </c>
      <c r="T53" t="b">
        <v>0</v>
      </c>
      <c r="U53" t="b">
        <v>0</v>
      </c>
      <c r="V53" t="b">
        <f t="shared" si="0"/>
        <v>1</v>
      </c>
      <c r="W53">
        <v>0</v>
      </c>
      <c r="Y53">
        <f t="shared" si="1"/>
        <v>0</v>
      </c>
    </row>
    <row r="54" spans="1:25" x14ac:dyDescent="0.3">
      <c r="A54" t="s">
        <v>312</v>
      </c>
      <c r="B54" t="s">
        <v>313</v>
      </c>
      <c r="C54">
        <v>85.43</v>
      </c>
      <c r="D54" s="1">
        <v>45084.698310185187</v>
      </c>
      <c r="E54" t="s">
        <v>25</v>
      </c>
      <c r="F54" t="s">
        <v>314</v>
      </c>
      <c r="G54" t="s">
        <v>42</v>
      </c>
      <c r="H54" t="s">
        <v>315</v>
      </c>
      <c r="I54" t="s">
        <v>316</v>
      </c>
      <c r="J54" t="s">
        <v>81</v>
      </c>
      <c r="K54">
        <v>67</v>
      </c>
      <c r="L54" t="s">
        <v>31</v>
      </c>
      <c r="M54">
        <v>145</v>
      </c>
      <c r="N54">
        <v>1</v>
      </c>
      <c r="O54">
        <v>14904.9</v>
      </c>
      <c r="P54" s="1">
        <v>45600.338020833333</v>
      </c>
      <c r="Q54">
        <v>16</v>
      </c>
      <c r="R54" t="s">
        <v>74</v>
      </c>
      <c r="S54">
        <v>-0.72672206844712495</v>
      </c>
      <c r="T54" t="b">
        <v>0</v>
      </c>
      <c r="U54" t="b">
        <v>0</v>
      </c>
      <c r="V54" t="b">
        <f t="shared" si="0"/>
        <v>1</v>
      </c>
      <c r="W54">
        <v>0</v>
      </c>
      <c r="Y54">
        <f t="shared" si="1"/>
        <v>0</v>
      </c>
    </row>
    <row r="55" spans="1:25" x14ac:dyDescent="0.3">
      <c r="A55" t="s">
        <v>317</v>
      </c>
      <c r="B55" t="s">
        <v>318</v>
      </c>
      <c r="C55">
        <v>169.5</v>
      </c>
      <c r="D55" s="1">
        <v>45176.70239583333</v>
      </c>
      <c r="E55" t="s">
        <v>25</v>
      </c>
      <c r="F55" t="s">
        <v>26</v>
      </c>
      <c r="G55" t="s">
        <v>319</v>
      </c>
      <c r="H55" t="s">
        <v>320</v>
      </c>
      <c r="I55" t="s">
        <v>321</v>
      </c>
      <c r="J55" t="s">
        <v>81</v>
      </c>
      <c r="K55">
        <v>28</v>
      </c>
      <c r="L55" t="s">
        <v>46</v>
      </c>
      <c r="M55">
        <v>142</v>
      </c>
      <c r="N55">
        <v>1</v>
      </c>
      <c r="O55">
        <v>918.88</v>
      </c>
      <c r="P55" s="1">
        <v>45600.339560185188</v>
      </c>
      <c r="Q55">
        <v>16</v>
      </c>
      <c r="R55" t="s">
        <v>141</v>
      </c>
      <c r="S55">
        <v>-0.438758095950051</v>
      </c>
      <c r="T55" t="b">
        <v>0</v>
      </c>
      <c r="U55" t="b">
        <v>0</v>
      </c>
      <c r="V55" t="b">
        <f t="shared" si="0"/>
        <v>1</v>
      </c>
      <c r="W55">
        <v>0</v>
      </c>
      <c r="Y55">
        <f t="shared" si="1"/>
        <v>0</v>
      </c>
    </row>
    <row r="56" spans="1:25" x14ac:dyDescent="0.3">
      <c r="A56" t="s">
        <v>322</v>
      </c>
      <c r="B56" t="s">
        <v>323</v>
      </c>
      <c r="C56">
        <v>104.63</v>
      </c>
      <c r="D56" s="1">
        <v>45014.741157407407</v>
      </c>
      <c r="E56" t="s">
        <v>25</v>
      </c>
      <c r="F56" t="s">
        <v>309</v>
      </c>
      <c r="G56" t="s">
        <v>324</v>
      </c>
      <c r="H56" t="s">
        <v>289</v>
      </c>
      <c r="I56" t="s">
        <v>325</v>
      </c>
      <c r="J56" t="s">
        <v>30</v>
      </c>
      <c r="K56">
        <v>62</v>
      </c>
      <c r="L56" t="s">
        <v>82</v>
      </c>
      <c r="M56">
        <v>90</v>
      </c>
      <c r="N56">
        <v>1</v>
      </c>
      <c r="O56">
        <v>4477.78</v>
      </c>
      <c r="P56" s="1">
        <v>45600.340763888889</v>
      </c>
      <c r="Q56">
        <v>17</v>
      </c>
      <c r="R56" t="s">
        <v>74</v>
      </c>
      <c r="S56">
        <v>-0.66095653648633301</v>
      </c>
      <c r="T56" t="b">
        <v>0</v>
      </c>
      <c r="U56" t="b">
        <v>0</v>
      </c>
      <c r="V56" t="b">
        <f t="shared" si="0"/>
        <v>1</v>
      </c>
      <c r="W56">
        <v>0</v>
      </c>
      <c r="Y56">
        <f t="shared" si="1"/>
        <v>0</v>
      </c>
    </row>
    <row r="57" spans="1:25" x14ac:dyDescent="0.3">
      <c r="A57" t="s">
        <v>326</v>
      </c>
      <c r="B57" t="s">
        <v>327</v>
      </c>
      <c r="C57">
        <v>316.95</v>
      </c>
      <c r="D57" s="1">
        <v>45142.74560185185</v>
      </c>
      <c r="E57" t="s">
        <v>25</v>
      </c>
      <c r="F57" t="s">
        <v>41</v>
      </c>
      <c r="G57" t="s">
        <v>328</v>
      </c>
      <c r="H57" t="s">
        <v>329</v>
      </c>
      <c r="I57" t="s">
        <v>38</v>
      </c>
      <c r="J57" t="s">
        <v>81</v>
      </c>
      <c r="K57">
        <v>25</v>
      </c>
      <c r="L57" t="s">
        <v>46</v>
      </c>
      <c r="M57">
        <v>83</v>
      </c>
      <c r="N57">
        <v>1</v>
      </c>
      <c r="O57">
        <v>1324.03</v>
      </c>
      <c r="P57" s="1">
        <v>45600.339756944442</v>
      </c>
      <c r="Q57">
        <v>17</v>
      </c>
      <c r="R57" t="s">
        <v>54</v>
      </c>
      <c r="S57">
        <v>6.6300637780096497E-2</v>
      </c>
      <c r="T57" t="b">
        <v>0</v>
      </c>
      <c r="U57" t="b">
        <v>0</v>
      </c>
      <c r="V57" t="b">
        <f t="shared" si="0"/>
        <v>1</v>
      </c>
      <c r="W57">
        <v>0</v>
      </c>
      <c r="Y57">
        <f t="shared" si="1"/>
        <v>0</v>
      </c>
    </row>
    <row r="58" spans="1:25" x14ac:dyDescent="0.3">
      <c r="A58" t="s">
        <v>330</v>
      </c>
      <c r="B58" t="s">
        <v>331</v>
      </c>
      <c r="C58">
        <v>60.54</v>
      </c>
      <c r="D58" s="1">
        <v>45274.744872685187</v>
      </c>
      <c r="E58" t="s">
        <v>57</v>
      </c>
      <c r="F58" t="s">
        <v>137</v>
      </c>
      <c r="G58" t="s">
        <v>332</v>
      </c>
      <c r="H58" t="s">
        <v>333</v>
      </c>
      <c r="I58" t="s">
        <v>325</v>
      </c>
      <c r="J58" t="s">
        <v>81</v>
      </c>
      <c r="K58">
        <v>57</v>
      </c>
      <c r="L58" t="s">
        <v>82</v>
      </c>
      <c r="M58">
        <v>52</v>
      </c>
      <c r="N58">
        <v>1</v>
      </c>
      <c r="O58">
        <v>3534.93</v>
      </c>
      <c r="P58" s="1">
        <v>45600.340243055558</v>
      </c>
      <c r="Q58">
        <v>17</v>
      </c>
      <c r="R58" t="s">
        <v>141</v>
      </c>
      <c r="S58">
        <v>-0.81197748982754803</v>
      </c>
      <c r="T58" t="b">
        <v>0</v>
      </c>
      <c r="U58" t="b">
        <v>0</v>
      </c>
      <c r="V58" t="b">
        <f t="shared" si="0"/>
        <v>1</v>
      </c>
      <c r="W58">
        <v>0</v>
      </c>
      <c r="Y58">
        <f t="shared" si="1"/>
        <v>0</v>
      </c>
    </row>
    <row r="59" spans="1:25" x14ac:dyDescent="0.3">
      <c r="A59" t="s">
        <v>334</v>
      </c>
      <c r="B59" t="s">
        <v>335</v>
      </c>
      <c r="C59">
        <v>292.56</v>
      </c>
      <c r="D59" s="1">
        <v>44988.734502314815</v>
      </c>
      <c r="E59" t="s">
        <v>57</v>
      </c>
      <c r="F59" t="s">
        <v>336</v>
      </c>
      <c r="G59" t="s">
        <v>337</v>
      </c>
      <c r="H59" t="s">
        <v>338</v>
      </c>
      <c r="I59" t="s">
        <v>339</v>
      </c>
      <c r="J59" t="s">
        <v>81</v>
      </c>
      <c r="K59">
        <v>68</v>
      </c>
      <c r="L59" t="s">
        <v>82</v>
      </c>
      <c r="M59">
        <v>61</v>
      </c>
      <c r="N59">
        <v>1</v>
      </c>
      <c r="O59">
        <v>4638.37</v>
      </c>
      <c r="P59" s="1">
        <v>45600.338761574072</v>
      </c>
      <c r="Q59">
        <v>17</v>
      </c>
      <c r="R59" t="s">
        <v>54</v>
      </c>
      <c r="S59">
        <v>-1.7242139538847501E-2</v>
      </c>
      <c r="T59" t="b">
        <v>0</v>
      </c>
      <c r="U59" t="b">
        <v>0</v>
      </c>
      <c r="V59" t="b">
        <f t="shared" si="0"/>
        <v>1</v>
      </c>
      <c r="W59">
        <v>0</v>
      </c>
      <c r="Y59">
        <f t="shared" si="1"/>
        <v>0</v>
      </c>
    </row>
    <row r="60" spans="1:25" x14ac:dyDescent="0.3">
      <c r="A60" t="s">
        <v>340</v>
      </c>
      <c r="B60" t="s">
        <v>341</v>
      </c>
      <c r="C60">
        <v>386.52</v>
      </c>
      <c r="D60" s="1">
        <v>45086.679340277777</v>
      </c>
      <c r="E60" t="s">
        <v>25</v>
      </c>
      <c r="F60" t="s">
        <v>77</v>
      </c>
      <c r="G60" t="s">
        <v>342</v>
      </c>
      <c r="H60" t="s">
        <v>343</v>
      </c>
      <c r="I60" t="s">
        <v>344</v>
      </c>
      <c r="J60" t="s">
        <v>81</v>
      </c>
      <c r="K60">
        <v>48</v>
      </c>
      <c r="L60" t="s">
        <v>89</v>
      </c>
      <c r="M60">
        <v>28</v>
      </c>
      <c r="N60">
        <v>1</v>
      </c>
      <c r="O60">
        <v>5630.61</v>
      </c>
      <c r="P60" s="1">
        <v>45600.33829861111</v>
      </c>
      <c r="Q60">
        <v>16</v>
      </c>
      <c r="R60" t="s">
        <v>54</v>
      </c>
      <c r="S60">
        <v>0.30459793249428002</v>
      </c>
      <c r="T60" t="b">
        <v>0</v>
      </c>
      <c r="U60" t="b">
        <v>0</v>
      </c>
      <c r="V60" t="b">
        <f t="shared" si="0"/>
        <v>1</v>
      </c>
      <c r="W60">
        <v>0</v>
      </c>
      <c r="Y60">
        <f t="shared" si="1"/>
        <v>0</v>
      </c>
    </row>
    <row r="61" spans="1:25" x14ac:dyDescent="0.3">
      <c r="A61" t="s">
        <v>345</v>
      </c>
      <c r="B61" t="s">
        <v>346</v>
      </c>
      <c r="C61">
        <v>112.07</v>
      </c>
      <c r="D61" s="1">
        <v>45201.69122685185</v>
      </c>
      <c r="E61" t="s">
        <v>25</v>
      </c>
      <c r="F61" t="s">
        <v>304</v>
      </c>
      <c r="G61" t="s">
        <v>347</v>
      </c>
      <c r="H61" t="s">
        <v>348</v>
      </c>
      <c r="I61" t="s">
        <v>344</v>
      </c>
      <c r="J61" t="s">
        <v>81</v>
      </c>
      <c r="K61">
        <v>23</v>
      </c>
      <c r="L61" t="s">
        <v>46</v>
      </c>
      <c r="M61">
        <v>51</v>
      </c>
      <c r="N61">
        <v>1</v>
      </c>
      <c r="O61">
        <v>930.3</v>
      </c>
      <c r="P61" s="1">
        <v>45600.341400462959</v>
      </c>
      <c r="Q61">
        <v>16</v>
      </c>
      <c r="R61" t="s">
        <v>47</v>
      </c>
      <c r="S61">
        <v>-0.63547239285152601</v>
      </c>
      <c r="T61" t="b">
        <v>0</v>
      </c>
      <c r="U61" t="b">
        <v>0</v>
      </c>
      <c r="V61" t="b">
        <f t="shared" si="0"/>
        <v>1</v>
      </c>
      <c r="W61">
        <v>0</v>
      </c>
      <c r="Y61">
        <f t="shared" si="1"/>
        <v>0</v>
      </c>
    </row>
    <row r="62" spans="1:25" x14ac:dyDescent="0.3">
      <c r="A62" t="s">
        <v>349</v>
      </c>
      <c r="B62" t="s">
        <v>350</v>
      </c>
      <c r="C62">
        <v>568.52</v>
      </c>
      <c r="D62" s="1">
        <v>45205.7809837963</v>
      </c>
      <c r="E62" t="s">
        <v>25</v>
      </c>
      <c r="F62" t="s">
        <v>77</v>
      </c>
      <c r="G62" t="s">
        <v>351</v>
      </c>
      <c r="H62" t="s">
        <v>352</v>
      </c>
      <c r="I62" t="s">
        <v>222</v>
      </c>
      <c r="J62" t="s">
        <v>30</v>
      </c>
      <c r="K62">
        <v>46</v>
      </c>
      <c r="L62" t="s">
        <v>89</v>
      </c>
      <c r="M62">
        <v>152</v>
      </c>
      <c r="N62">
        <v>1</v>
      </c>
      <c r="O62">
        <v>5499.91</v>
      </c>
      <c r="P62" s="1">
        <v>45600.337789351855</v>
      </c>
      <c r="Q62">
        <v>18</v>
      </c>
      <c r="R62" t="s">
        <v>54</v>
      </c>
      <c r="S62">
        <v>0.92800037087262499</v>
      </c>
      <c r="T62" t="b">
        <v>0</v>
      </c>
      <c r="U62" t="b">
        <v>0</v>
      </c>
      <c r="V62" t="b">
        <f t="shared" si="0"/>
        <v>1</v>
      </c>
      <c r="W62">
        <v>0</v>
      </c>
      <c r="Y62">
        <f t="shared" si="1"/>
        <v>0</v>
      </c>
    </row>
    <row r="63" spans="1:25" x14ac:dyDescent="0.3">
      <c r="A63" t="s">
        <v>353</v>
      </c>
      <c r="B63" t="s">
        <v>152</v>
      </c>
      <c r="C63">
        <v>263.99</v>
      </c>
      <c r="D63" s="1">
        <v>45062.671875</v>
      </c>
      <c r="E63" t="s">
        <v>25</v>
      </c>
      <c r="F63" t="s">
        <v>336</v>
      </c>
      <c r="G63" t="s">
        <v>354</v>
      </c>
      <c r="H63" t="s">
        <v>355</v>
      </c>
      <c r="I63" t="s">
        <v>356</v>
      </c>
      <c r="J63" t="s">
        <v>81</v>
      </c>
      <c r="K63">
        <v>79</v>
      </c>
      <c r="L63" t="s">
        <v>82</v>
      </c>
      <c r="M63">
        <v>227</v>
      </c>
      <c r="N63">
        <v>2</v>
      </c>
      <c r="O63">
        <v>4175.0200000000004</v>
      </c>
      <c r="P63" s="1">
        <v>45600.341006944444</v>
      </c>
      <c r="Q63">
        <v>16</v>
      </c>
      <c r="R63" t="s">
        <v>32</v>
      </c>
      <c r="S63">
        <v>-0.115102621211755</v>
      </c>
      <c r="T63" t="b">
        <v>0</v>
      </c>
      <c r="U63" t="b">
        <v>1</v>
      </c>
      <c r="V63" t="b">
        <f t="shared" si="0"/>
        <v>1</v>
      </c>
      <c r="W63">
        <v>1</v>
      </c>
      <c r="Y63">
        <f t="shared" si="1"/>
        <v>0</v>
      </c>
    </row>
    <row r="64" spans="1:25" x14ac:dyDescent="0.3">
      <c r="A64" t="s">
        <v>357</v>
      </c>
      <c r="B64" t="s">
        <v>358</v>
      </c>
      <c r="C64">
        <v>349.64</v>
      </c>
      <c r="D64" s="1">
        <v>45237.700266203705</v>
      </c>
      <c r="E64" t="s">
        <v>25</v>
      </c>
      <c r="F64" t="s">
        <v>159</v>
      </c>
      <c r="G64" t="s">
        <v>359</v>
      </c>
      <c r="H64" t="s">
        <v>360</v>
      </c>
      <c r="I64" t="s">
        <v>361</v>
      </c>
      <c r="J64" t="s">
        <v>45</v>
      </c>
      <c r="K64">
        <v>48</v>
      </c>
      <c r="L64" t="s">
        <v>89</v>
      </c>
      <c r="M64">
        <v>226</v>
      </c>
      <c r="N64">
        <v>1</v>
      </c>
      <c r="O64">
        <v>6651.62</v>
      </c>
      <c r="P64" s="1">
        <v>45600.338993055557</v>
      </c>
      <c r="Q64">
        <v>16</v>
      </c>
      <c r="R64" t="s">
        <v>32</v>
      </c>
      <c r="S64">
        <v>0.178273306519591</v>
      </c>
      <c r="T64" t="b">
        <v>0</v>
      </c>
      <c r="U64" t="b">
        <v>0</v>
      </c>
      <c r="V64" t="b">
        <f t="shared" si="0"/>
        <v>1</v>
      </c>
      <c r="W64">
        <v>0</v>
      </c>
      <c r="Y64">
        <f t="shared" si="1"/>
        <v>0</v>
      </c>
    </row>
    <row r="65" spans="1:25" x14ac:dyDescent="0.3">
      <c r="A65" t="s">
        <v>362</v>
      </c>
      <c r="B65" t="s">
        <v>363</v>
      </c>
      <c r="C65">
        <v>601.4</v>
      </c>
      <c r="D65" s="1">
        <v>45076.738483796296</v>
      </c>
      <c r="E65" t="s">
        <v>57</v>
      </c>
      <c r="F65" t="s">
        <v>256</v>
      </c>
      <c r="G65" t="s">
        <v>364</v>
      </c>
      <c r="H65" t="s">
        <v>365</v>
      </c>
      <c r="I65" t="s">
        <v>366</v>
      </c>
      <c r="J65" t="s">
        <v>81</v>
      </c>
      <c r="K65">
        <v>56</v>
      </c>
      <c r="L65" t="s">
        <v>89</v>
      </c>
      <c r="M65">
        <v>104</v>
      </c>
      <c r="N65">
        <v>1</v>
      </c>
      <c r="O65">
        <v>8458.2900000000009</v>
      </c>
      <c r="P65" s="1">
        <v>45600.338900462964</v>
      </c>
      <c r="Q65">
        <v>17</v>
      </c>
      <c r="R65" t="s">
        <v>32</v>
      </c>
      <c r="S65">
        <v>1.0406238443554801</v>
      </c>
      <c r="T65" t="b">
        <v>0</v>
      </c>
      <c r="U65" t="b">
        <v>0</v>
      </c>
      <c r="V65" t="b">
        <f t="shared" si="0"/>
        <v>1</v>
      </c>
      <c r="W65">
        <v>0</v>
      </c>
      <c r="Y65">
        <f t="shared" si="1"/>
        <v>0</v>
      </c>
    </row>
    <row r="66" spans="1:25" x14ac:dyDescent="0.3">
      <c r="A66" t="s">
        <v>367</v>
      </c>
      <c r="B66" t="s">
        <v>368</v>
      </c>
      <c r="C66">
        <v>5.77</v>
      </c>
      <c r="D66" s="1">
        <v>45232.667824074073</v>
      </c>
      <c r="E66" t="s">
        <v>25</v>
      </c>
      <c r="F66" t="s">
        <v>262</v>
      </c>
      <c r="G66" t="s">
        <v>369</v>
      </c>
      <c r="H66" t="s">
        <v>370</v>
      </c>
      <c r="I66" t="s">
        <v>371</v>
      </c>
      <c r="J66" t="s">
        <v>45</v>
      </c>
      <c r="K66">
        <v>50</v>
      </c>
      <c r="L66" t="s">
        <v>31</v>
      </c>
      <c r="M66">
        <v>124</v>
      </c>
      <c r="N66">
        <v>1</v>
      </c>
      <c r="O66">
        <v>13988.12</v>
      </c>
      <c r="P66" s="1">
        <v>45600.34134259259</v>
      </c>
      <c r="Q66">
        <v>16</v>
      </c>
      <c r="R66" t="s">
        <v>141</v>
      </c>
      <c r="S66">
        <v>-0.99958052032195499</v>
      </c>
      <c r="T66" t="b">
        <v>0</v>
      </c>
      <c r="U66" t="b">
        <v>0</v>
      </c>
      <c r="V66" t="b">
        <f t="shared" si="0"/>
        <v>1</v>
      </c>
      <c r="W66">
        <v>0</v>
      </c>
      <c r="Y66">
        <f t="shared" si="1"/>
        <v>0</v>
      </c>
    </row>
    <row r="67" spans="1:25" x14ac:dyDescent="0.3">
      <c r="A67" t="s">
        <v>372</v>
      </c>
      <c r="B67" t="s">
        <v>143</v>
      </c>
      <c r="C67">
        <v>201.33</v>
      </c>
      <c r="D67" s="1">
        <v>45014.708692129629</v>
      </c>
      <c r="E67" t="s">
        <v>57</v>
      </c>
      <c r="F67" t="s">
        <v>92</v>
      </c>
      <c r="G67" t="s">
        <v>373</v>
      </c>
      <c r="H67" t="s">
        <v>374</v>
      </c>
      <c r="I67" t="s">
        <v>375</v>
      </c>
      <c r="J67" t="s">
        <v>81</v>
      </c>
      <c r="K67">
        <v>42</v>
      </c>
      <c r="L67" t="s">
        <v>89</v>
      </c>
      <c r="M67">
        <v>186</v>
      </c>
      <c r="N67">
        <v>1</v>
      </c>
      <c r="O67">
        <v>2585.0700000000002</v>
      </c>
      <c r="P67" s="1">
        <v>45600.341446759259</v>
      </c>
      <c r="Q67">
        <v>17</v>
      </c>
      <c r="R67" t="s">
        <v>74</v>
      </c>
      <c r="S67">
        <v>-0.3297311749963</v>
      </c>
      <c r="T67" t="b">
        <v>0</v>
      </c>
      <c r="U67" t="b">
        <v>0</v>
      </c>
      <c r="V67" t="b">
        <f t="shared" ref="V67:V130" si="2">ISLOGICAL(T67)</f>
        <v>1</v>
      </c>
      <c r="W67">
        <v>0</v>
      </c>
      <c r="Y67">
        <f t="shared" ref="Y67:Y130" si="3">--T67</f>
        <v>0</v>
      </c>
    </row>
    <row r="68" spans="1:25" x14ac:dyDescent="0.3">
      <c r="A68" t="s">
        <v>376</v>
      </c>
      <c r="B68" t="s">
        <v>377</v>
      </c>
      <c r="C68">
        <v>298.42</v>
      </c>
      <c r="D68" s="1">
        <v>45041.674583333333</v>
      </c>
      <c r="E68" t="s">
        <v>25</v>
      </c>
      <c r="F68" t="s">
        <v>77</v>
      </c>
      <c r="G68" t="s">
        <v>378</v>
      </c>
      <c r="H68" t="s">
        <v>79</v>
      </c>
      <c r="I68" t="s">
        <v>275</v>
      </c>
      <c r="J68" t="s">
        <v>81</v>
      </c>
      <c r="K68">
        <v>56</v>
      </c>
      <c r="L68" t="s">
        <v>82</v>
      </c>
      <c r="M68">
        <v>225</v>
      </c>
      <c r="N68">
        <v>1</v>
      </c>
      <c r="O68">
        <v>3014.75</v>
      </c>
      <c r="P68" s="1">
        <v>45600.340416666666</v>
      </c>
      <c r="Q68">
        <v>16</v>
      </c>
      <c r="R68" t="s">
        <v>32</v>
      </c>
      <c r="S68">
        <v>2.8300488616860198E-3</v>
      </c>
      <c r="T68" t="b">
        <v>0</v>
      </c>
      <c r="U68" t="b">
        <v>0</v>
      </c>
      <c r="V68" t="b">
        <f t="shared" si="2"/>
        <v>1</v>
      </c>
      <c r="W68">
        <v>0</v>
      </c>
      <c r="Y68">
        <f t="shared" si="3"/>
        <v>0</v>
      </c>
    </row>
    <row r="69" spans="1:25" x14ac:dyDescent="0.3">
      <c r="A69" t="s">
        <v>379</v>
      </c>
      <c r="B69" t="s">
        <v>380</v>
      </c>
      <c r="C69">
        <v>521.05999999999995</v>
      </c>
      <c r="D69" s="1">
        <v>45034.778321759259</v>
      </c>
      <c r="E69" t="s">
        <v>25</v>
      </c>
      <c r="F69" t="s">
        <v>98</v>
      </c>
      <c r="G69" t="s">
        <v>381</v>
      </c>
      <c r="H69" t="s">
        <v>382</v>
      </c>
      <c r="I69" t="s">
        <v>383</v>
      </c>
      <c r="J69" t="s">
        <v>81</v>
      </c>
      <c r="K69">
        <v>25</v>
      </c>
      <c r="L69" t="s">
        <v>46</v>
      </c>
      <c r="M69">
        <v>128</v>
      </c>
      <c r="N69">
        <v>1</v>
      </c>
      <c r="O69">
        <v>1951.42</v>
      </c>
      <c r="P69" s="1">
        <v>45600.341782407406</v>
      </c>
      <c r="Q69">
        <v>18</v>
      </c>
      <c r="R69" t="s">
        <v>32</v>
      </c>
      <c r="S69">
        <v>0.76543619655704098</v>
      </c>
      <c r="T69" t="b">
        <v>0</v>
      </c>
      <c r="U69" t="b">
        <v>0</v>
      </c>
      <c r="V69" t="b">
        <f t="shared" si="2"/>
        <v>1</v>
      </c>
      <c r="W69">
        <v>0</v>
      </c>
      <c r="Y69">
        <f t="shared" si="3"/>
        <v>0</v>
      </c>
    </row>
    <row r="70" spans="1:25" x14ac:dyDescent="0.3">
      <c r="A70" t="s">
        <v>384</v>
      </c>
      <c r="B70" t="s">
        <v>385</v>
      </c>
      <c r="C70">
        <v>117.28</v>
      </c>
      <c r="D70" s="1">
        <v>44966.690891203703</v>
      </c>
      <c r="E70" t="s">
        <v>57</v>
      </c>
      <c r="F70" t="s">
        <v>131</v>
      </c>
      <c r="G70" t="s">
        <v>386</v>
      </c>
      <c r="H70" t="s">
        <v>387</v>
      </c>
      <c r="I70" t="s">
        <v>112</v>
      </c>
      <c r="J70" t="s">
        <v>45</v>
      </c>
      <c r="K70">
        <v>60</v>
      </c>
      <c r="L70" t="s">
        <v>89</v>
      </c>
      <c r="M70">
        <v>16</v>
      </c>
      <c r="N70">
        <v>1</v>
      </c>
      <c r="O70">
        <v>3665.77</v>
      </c>
      <c r="P70" s="1">
        <v>45600.338321759256</v>
      </c>
      <c r="Q70">
        <v>16</v>
      </c>
      <c r="R70" t="s">
        <v>141</v>
      </c>
      <c r="S70">
        <v>-0.61762664173091497</v>
      </c>
      <c r="T70" t="b">
        <v>0</v>
      </c>
      <c r="U70" t="b">
        <v>0</v>
      </c>
      <c r="V70" t="b">
        <f t="shared" si="2"/>
        <v>1</v>
      </c>
      <c r="W70">
        <v>0</v>
      </c>
      <c r="Y70">
        <f t="shared" si="3"/>
        <v>0</v>
      </c>
    </row>
    <row r="71" spans="1:25" x14ac:dyDescent="0.3">
      <c r="A71" t="s">
        <v>388</v>
      </c>
      <c r="B71" t="s">
        <v>389</v>
      </c>
      <c r="C71">
        <v>189.12</v>
      </c>
      <c r="D71" s="1">
        <v>45243.696157407408</v>
      </c>
      <c r="E71" t="s">
        <v>57</v>
      </c>
      <c r="F71" t="s">
        <v>77</v>
      </c>
      <c r="G71" t="s">
        <v>390</v>
      </c>
      <c r="H71" t="s">
        <v>391</v>
      </c>
      <c r="I71" t="s">
        <v>156</v>
      </c>
      <c r="J71" t="s">
        <v>81</v>
      </c>
      <c r="K71">
        <v>32</v>
      </c>
      <c r="L71" t="s">
        <v>89</v>
      </c>
      <c r="M71">
        <v>103</v>
      </c>
      <c r="N71">
        <v>1</v>
      </c>
      <c r="O71">
        <v>977.01</v>
      </c>
      <c r="P71" s="1">
        <v>45600.339375000003</v>
      </c>
      <c r="Q71">
        <v>16</v>
      </c>
      <c r="R71" t="s">
        <v>47</v>
      </c>
      <c r="S71">
        <v>-0.37155394297761601</v>
      </c>
      <c r="T71" t="b">
        <v>0</v>
      </c>
      <c r="U71" t="b">
        <v>0</v>
      </c>
      <c r="V71" t="b">
        <f t="shared" si="2"/>
        <v>1</v>
      </c>
      <c r="W71">
        <v>0</v>
      </c>
      <c r="Y71">
        <f t="shared" si="3"/>
        <v>0</v>
      </c>
    </row>
    <row r="72" spans="1:25" x14ac:dyDescent="0.3">
      <c r="A72" t="s">
        <v>392</v>
      </c>
      <c r="B72" t="s">
        <v>393</v>
      </c>
      <c r="C72">
        <v>133.55000000000001</v>
      </c>
      <c r="D72" s="1">
        <v>45125.675000000003</v>
      </c>
      <c r="E72" t="s">
        <v>25</v>
      </c>
      <c r="F72" t="s">
        <v>58</v>
      </c>
      <c r="G72" t="s">
        <v>394</v>
      </c>
      <c r="H72" t="s">
        <v>395</v>
      </c>
      <c r="I72" t="s">
        <v>61</v>
      </c>
      <c r="J72" t="s">
        <v>30</v>
      </c>
      <c r="K72">
        <v>44</v>
      </c>
      <c r="L72" t="s">
        <v>89</v>
      </c>
      <c r="M72">
        <v>220</v>
      </c>
      <c r="N72">
        <v>1</v>
      </c>
      <c r="O72">
        <v>3846.28</v>
      </c>
      <c r="P72" s="1">
        <v>45600.340486111112</v>
      </c>
      <c r="Q72">
        <v>16</v>
      </c>
      <c r="R72" t="s">
        <v>32</v>
      </c>
      <c r="S72">
        <v>-0.561897203970389</v>
      </c>
      <c r="T72" t="b">
        <v>0</v>
      </c>
      <c r="U72" t="b">
        <v>0</v>
      </c>
      <c r="V72" t="b">
        <f t="shared" si="2"/>
        <v>1</v>
      </c>
      <c r="W72">
        <v>0</v>
      </c>
      <c r="Y72">
        <f t="shared" si="3"/>
        <v>0</v>
      </c>
    </row>
    <row r="73" spans="1:25" x14ac:dyDescent="0.3">
      <c r="A73" t="s">
        <v>396</v>
      </c>
      <c r="B73" t="s">
        <v>397</v>
      </c>
      <c r="C73">
        <v>143.21</v>
      </c>
      <c r="D73" s="1">
        <v>44939.708518518521</v>
      </c>
      <c r="E73" t="s">
        <v>25</v>
      </c>
      <c r="F73" t="s">
        <v>336</v>
      </c>
      <c r="G73" t="s">
        <v>398</v>
      </c>
      <c r="H73" t="s">
        <v>60</v>
      </c>
      <c r="I73" t="s">
        <v>399</v>
      </c>
      <c r="J73" t="s">
        <v>45</v>
      </c>
      <c r="K73">
        <v>35</v>
      </c>
      <c r="L73" t="s">
        <v>89</v>
      </c>
      <c r="M73">
        <v>135</v>
      </c>
      <c r="N73">
        <v>1</v>
      </c>
      <c r="O73">
        <v>6374.82</v>
      </c>
      <c r="P73" s="1">
        <v>45600.339884259258</v>
      </c>
      <c r="Q73">
        <v>17</v>
      </c>
      <c r="R73" t="s">
        <v>54</v>
      </c>
      <c r="S73">
        <v>-0.52880892070261498</v>
      </c>
      <c r="T73" t="b">
        <v>0</v>
      </c>
      <c r="U73" t="b">
        <v>0</v>
      </c>
      <c r="V73" t="b">
        <f t="shared" si="2"/>
        <v>1</v>
      </c>
      <c r="W73">
        <v>0</v>
      </c>
      <c r="Y73">
        <f t="shared" si="3"/>
        <v>0</v>
      </c>
    </row>
    <row r="74" spans="1:25" x14ac:dyDescent="0.3">
      <c r="A74" t="s">
        <v>400</v>
      </c>
      <c r="B74" t="s">
        <v>282</v>
      </c>
      <c r="C74">
        <v>24.77</v>
      </c>
      <c r="D74" s="1">
        <v>45111.764270833337</v>
      </c>
      <c r="E74" t="s">
        <v>25</v>
      </c>
      <c r="F74" t="s">
        <v>401</v>
      </c>
      <c r="G74" t="s">
        <v>402</v>
      </c>
      <c r="H74" t="s">
        <v>360</v>
      </c>
      <c r="I74" t="s">
        <v>285</v>
      </c>
      <c r="J74" t="s">
        <v>30</v>
      </c>
      <c r="K74">
        <v>62</v>
      </c>
      <c r="L74" t="s">
        <v>82</v>
      </c>
      <c r="M74">
        <v>55</v>
      </c>
      <c r="N74">
        <v>1</v>
      </c>
      <c r="O74">
        <v>5866.01</v>
      </c>
      <c r="P74" s="1">
        <v>45600.341840277775</v>
      </c>
      <c r="Q74">
        <v>18</v>
      </c>
      <c r="R74" t="s">
        <v>32</v>
      </c>
      <c r="S74">
        <v>-0.93450004598575398</v>
      </c>
      <c r="T74" t="b">
        <v>0</v>
      </c>
      <c r="U74" t="b">
        <v>0</v>
      </c>
      <c r="V74" t="b">
        <f t="shared" si="2"/>
        <v>1</v>
      </c>
      <c r="W74">
        <v>0</v>
      </c>
      <c r="Y74">
        <f t="shared" si="3"/>
        <v>0</v>
      </c>
    </row>
    <row r="75" spans="1:25" x14ac:dyDescent="0.3">
      <c r="A75" t="s">
        <v>403</v>
      </c>
      <c r="B75" t="s">
        <v>404</v>
      </c>
      <c r="C75">
        <v>233.92</v>
      </c>
      <c r="D75" s="1">
        <v>45219.70449074074</v>
      </c>
      <c r="E75" t="s">
        <v>57</v>
      </c>
      <c r="F75" t="s">
        <v>405</v>
      </c>
      <c r="G75" t="s">
        <v>406</v>
      </c>
      <c r="H75" t="s">
        <v>407</v>
      </c>
      <c r="I75" t="s">
        <v>259</v>
      </c>
      <c r="J75" t="s">
        <v>45</v>
      </c>
      <c r="K75">
        <v>26</v>
      </c>
      <c r="L75" t="s">
        <v>46</v>
      </c>
      <c r="M75">
        <v>280</v>
      </c>
      <c r="N75">
        <v>1</v>
      </c>
      <c r="O75">
        <v>6537.62</v>
      </c>
      <c r="P75" s="1">
        <v>45600.339409722219</v>
      </c>
      <c r="Q75">
        <v>16</v>
      </c>
      <c r="R75" t="s">
        <v>54</v>
      </c>
      <c r="S75">
        <v>-0.218101035069101</v>
      </c>
      <c r="T75" t="b">
        <v>0</v>
      </c>
      <c r="U75" t="b">
        <v>0</v>
      </c>
      <c r="V75" t="b">
        <f t="shared" si="2"/>
        <v>1</v>
      </c>
      <c r="W75">
        <v>0</v>
      </c>
      <c r="Y75">
        <f t="shared" si="3"/>
        <v>0</v>
      </c>
    </row>
    <row r="76" spans="1:25" x14ac:dyDescent="0.3">
      <c r="A76" t="s">
        <v>408</v>
      </c>
      <c r="B76" t="s">
        <v>409</v>
      </c>
      <c r="C76">
        <v>1212.51</v>
      </c>
      <c r="D76" s="1">
        <v>45203.692002314812</v>
      </c>
      <c r="E76" t="s">
        <v>25</v>
      </c>
      <c r="F76" t="s">
        <v>77</v>
      </c>
      <c r="G76" t="s">
        <v>410</v>
      </c>
      <c r="H76" t="s">
        <v>116</v>
      </c>
      <c r="I76" t="s">
        <v>321</v>
      </c>
      <c r="J76" t="s">
        <v>81</v>
      </c>
      <c r="K76">
        <v>20</v>
      </c>
      <c r="L76" t="s">
        <v>46</v>
      </c>
      <c r="M76">
        <v>24</v>
      </c>
      <c r="N76">
        <v>1</v>
      </c>
      <c r="O76">
        <v>605.95000000000005</v>
      </c>
      <c r="P76" s="1">
        <v>45600.338090277779</v>
      </c>
      <c r="Q76">
        <v>16</v>
      </c>
      <c r="R76" t="s">
        <v>74</v>
      </c>
      <c r="S76">
        <v>3.1338516691763001</v>
      </c>
      <c r="T76" t="b">
        <v>1</v>
      </c>
      <c r="U76" t="b">
        <v>0</v>
      </c>
      <c r="V76" t="b">
        <f t="shared" si="2"/>
        <v>1</v>
      </c>
      <c r="W76">
        <v>1</v>
      </c>
      <c r="Y76">
        <f t="shared" si="3"/>
        <v>1</v>
      </c>
    </row>
    <row r="77" spans="1:25" x14ac:dyDescent="0.3">
      <c r="A77" t="s">
        <v>411</v>
      </c>
      <c r="B77" t="s">
        <v>412</v>
      </c>
      <c r="C77">
        <v>232.12</v>
      </c>
      <c r="D77" s="1">
        <v>45288.729895833334</v>
      </c>
      <c r="E77" t="s">
        <v>25</v>
      </c>
      <c r="F77" t="s">
        <v>309</v>
      </c>
      <c r="G77" t="s">
        <v>413</v>
      </c>
      <c r="H77" t="s">
        <v>414</v>
      </c>
      <c r="I77" t="s">
        <v>399</v>
      </c>
      <c r="J77" t="s">
        <v>30</v>
      </c>
      <c r="K77">
        <v>37</v>
      </c>
      <c r="L77" t="s">
        <v>89</v>
      </c>
      <c r="M77">
        <v>51</v>
      </c>
      <c r="N77">
        <v>1</v>
      </c>
      <c r="O77">
        <v>6689.87</v>
      </c>
      <c r="P77" s="1">
        <v>45600.339780092596</v>
      </c>
      <c r="Q77">
        <v>17</v>
      </c>
      <c r="R77" t="s">
        <v>141</v>
      </c>
      <c r="S77">
        <v>-0.224266553690425</v>
      </c>
      <c r="T77" t="b">
        <v>0</v>
      </c>
      <c r="U77" t="b">
        <v>0</v>
      </c>
      <c r="V77" t="b">
        <f t="shared" si="2"/>
        <v>1</v>
      </c>
      <c r="W77">
        <v>0</v>
      </c>
      <c r="Y77">
        <f t="shared" si="3"/>
        <v>0</v>
      </c>
    </row>
    <row r="78" spans="1:25" x14ac:dyDescent="0.3">
      <c r="A78" t="s">
        <v>415</v>
      </c>
      <c r="B78" t="s">
        <v>416</v>
      </c>
      <c r="C78">
        <v>162.63</v>
      </c>
      <c r="D78" s="1">
        <v>45089.745740740742</v>
      </c>
      <c r="E78" t="s">
        <v>25</v>
      </c>
      <c r="F78" t="s">
        <v>304</v>
      </c>
      <c r="G78" t="s">
        <v>417</v>
      </c>
      <c r="H78" t="s">
        <v>418</v>
      </c>
      <c r="I78" t="s">
        <v>419</v>
      </c>
      <c r="J78" t="s">
        <v>45</v>
      </c>
      <c r="K78">
        <v>22</v>
      </c>
      <c r="L78" t="s">
        <v>46</v>
      </c>
      <c r="M78">
        <v>113</v>
      </c>
      <c r="N78">
        <v>1</v>
      </c>
      <c r="O78">
        <v>634.16999999999996</v>
      </c>
      <c r="P78" s="1">
        <v>45600.339143518519</v>
      </c>
      <c r="Q78">
        <v>17</v>
      </c>
      <c r="R78" t="s">
        <v>47</v>
      </c>
      <c r="S78">
        <v>-0.46228982535477198</v>
      </c>
      <c r="T78" t="b">
        <v>0</v>
      </c>
      <c r="U78" t="b">
        <v>0</v>
      </c>
      <c r="V78" t="b">
        <f t="shared" si="2"/>
        <v>1</v>
      </c>
      <c r="W78">
        <v>0</v>
      </c>
      <c r="Y78">
        <f t="shared" si="3"/>
        <v>0</v>
      </c>
    </row>
    <row r="79" spans="1:25" x14ac:dyDescent="0.3">
      <c r="A79" t="s">
        <v>420</v>
      </c>
      <c r="B79" t="s">
        <v>421</v>
      </c>
      <c r="C79">
        <v>91.53</v>
      </c>
      <c r="D79" s="1">
        <v>44998.689027777778</v>
      </c>
      <c r="E79" t="s">
        <v>25</v>
      </c>
      <c r="F79" t="s">
        <v>191</v>
      </c>
      <c r="G79" t="s">
        <v>422</v>
      </c>
      <c r="H79" t="s">
        <v>423</v>
      </c>
      <c r="I79" t="s">
        <v>325</v>
      </c>
      <c r="J79" t="s">
        <v>81</v>
      </c>
      <c r="K79">
        <v>44</v>
      </c>
      <c r="L79" t="s">
        <v>31</v>
      </c>
      <c r="M79">
        <v>69</v>
      </c>
      <c r="N79">
        <v>1</v>
      </c>
      <c r="O79">
        <v>14676.05</v>
      </c>
      <c r="P79" s="1">
        <v>45600.34138888889</v>
      </c>
      <c r="Q79">
        <v>16</v>
      </c>
      <c r="R79" t="s">
        <v>47</v>
      </c>
      <c r="S79">
        <v>-0.70582781089708202</v>
      </c>
      <c r="T79" t="b">
        <v>0</v>
      </c>
      <c r="U79" t="b">
        <v>0</v>
      </c>
      <c r="V79" t="b">
        <f t="shared" si="2"/>
        <v>1</v>
      </c>
      <c r="W79">
        <v>0</v>
      </c>
      <c r="Y79">
        <f t="shared" si="3"/>
        <v>0</v>
      </c>
    </row>
    <row r="80" spans="1:25" x14ac:dyDescent="0.3">
      <c r="A80" t="s">
        <v>424</v>
      </c>
      <c r="B80" t="s">
        <v>425</v>
      </c>
      <c r="C80">
        <v>120.29</v>
      </c>
      <c r="D80" s="1">
        <v>45278.782256944447</v>
      </c>
      <c r="E80" t="s">
        <v>25</v>
      </c>
      <c r="F80" t="s">
        <v>185</v>
      </c>
      <c r="G80" t="s">
        <v>426</v>
      </c>
      <c r="H80" t="s">
        <v>28</v>
      </c>
      <c r="I80" t="s">
        <v>427</v>
      </c>
      <c r="J80" t="s">
        <v>81</v>
      </c>
      <c r="K80">
        <v>19</v>
      </c>
      <c r="L80" t="s">
        <v>46</v>
      </c>
      <c r="M80">
        <v>77</v>
      </c>
      <c r="N80">
        <v>1</v>
      </c>
      <c r="O80">
        <v>1362.39</v>
      </c>
      <c r="P80" s="1">
        <v>45600.338078703702</v>
      </c>
      <c r="Q80">
        <v>18</v>
      </c>
      <c r="R80" t="s">
        <v>47</v>
      </c>
      <c r="S80">
        <v>-0.60731652448081097</v>
      </c>
      <c r="T80" t="b">
        <v>0</v>
      </c>
      <c r="U80" t="b">
        <v>0</v>
      </c>
      <c r="V80" t="b">
        <f t="shared" si="2"/>
        <v>1</v>
      </c>
      <c r="W80">
        <v>0</v>
      </c>
      <c r="Y80">
        <f t="shared" si="3"/>
        <v>0</v>
      </c>
    </row>
    <row r="81" spans="1:25" x14ac:dyDescent="0.3">
      <c r="A81" t="s">
        <v>428</v>
      </c>
      <c r="B81" t="s">
        <v>158</v>
      </c>
      <c r="C81">
        <v>174.25</v>
      </c>
      <c r="D81" s="1">
        <v>45124.787858796299</v>
      </c>
      <c r="E81" t="s">
        <v>25</v>
      </c>
      <c r="F81" t="s">
        <v>70</v>
      </c>
      <c r="G81" t="s">
        <v>429</v>
      </c>
      <c r="H81" t="s">
        <v>430</v>
      </c>
      <c r="I81" t="s">
        <v>431</v>
      </c>
      <c r="J81" t="s">
        <v>45</v>
      </c>
      <c r="K81">
        <v>50</v>
      </c>
      <c r="L81" t="s">
        <v>31</v>
      </c>
      <c r="M81">
        <v>67</v>
      </c>
      <c r="N81">
        <v>1</v>
      </c>
      <c r="O81">
        <v>10528.34</v>
      </c>
      <c r="P81" s="1">
        <v>45600.340613425928</v>
      </c>
      <c r="Q81">
        <v>18</v>
      </c>
      <c r="R81" t="s">
        <v>47</v>
      </c>
      <c r="S81">
        <v>-0.42248797736600102</v>
      </c>
      <c r="T81" t="b">
        <v>0</v>
      </c>
      <c r="U81" t="b">
        <v>0</v>
      </c>
      <c r="V81" t="b">
        <f t="shared" si="2"/>
        <v>1</v>
      </c>
      <c r="W81">
        <v>0</v>
      </c>
      <c r="Y81">
        <f t="shared" si="3"/>
        <v>0</v>
      </c>
    </row>
    <row r="82" spans="1:25" x14ac:dyDescent="0.3">
      <c r="A82" t="s">
        <v>432</v>
      </c>
      <c r="B82" t="s">
        <v>433</v>
      </c>
      <c r="C82">
        <v>183.71</v>
      </c>
      <c r="D82" s="1">
        <v>45096.765393518515</v>
      </c>
      <c r="E82" t="s">
        <v>25</v>
      </c>
      <c r="F82" t="s">
        <v>126</v>
      </c>
      <c r="G82" t="s">
        <v>434</v>
      </c>
      <c r="H82" t="s">
        <v>435</v>
      </c>
      <c r="I82" t="s">
        <v>239</v>
      </c>
      <c r="J82" t="s">
        <v>30</v>
      </c>
      <c r="K82">
        <v>38</v>
      </c>
      <c r="L82" t="s">
        <v>89</v>
      </c>
      <c r="M82">
        <v>102</v>
      </c>
      <c r="N82">
        <v>1</v>
      </c>
      <c r="O82">
        <v>552.52</v>
      </c>
      <c r="P82" s="1">
        <v>45600.340173611112</v>
      </c>
      <c r="Q82">
        <v>18</v>
      </c>
      <c r="R82" t="s">
        <v>47</v>
      </c>
      <c r="S82">
        <v>-0.39008475172281898</v>
      </c>
      <c r="T82" t="b">
        <v>0</v>
      </c>
      <c r="U82" t="b">
        <v>0</v>
      </c>
      <c r="V82" t="b">
        <f t="shared" si="2"/>
        <v>1</v>
      </c>
      <c r="W82">
        <v>0</v>
      </c>
      <c r="Y82">
        <f t="shared" si="3"/>
        <v>0</v>
      </c>
    </row>
    <row r="83" spans="1:25" x14ac:dyDescent="0.3">
      <c r="A83" t="s">
        <v>436</v>
      </c>
      <c r="B83" t="s">
        <v>437</v>
      </c>
      <c r="C83">
        <v>345.39</v>
      </c>
      <c r="D83" s="1">
        <v>45222.71802083333</v>
      </c>
      <c r="E83" t="s">
        <v>57</v>
      </c>
      <c r="F83" t="s">
        <v>438</v>
      </c>
      <c r="G83" t="s">
        <v>439</v>
      </c>
      <c r="H83" t="s">
        <v>382</v>
      </c>
      <c r="I83" t="s">
        <v>440</v>
      </c>
      <c r="J83" t="s">
        <v>45</v>
      </c>
      <c r="K83">
        <v>58</v>
      </c>
      <c r="L83" t="s">
        <v>89</v>
      </c>
      <c r="M83">
        <v>80</v>
      </c>
      <c r="N83">
        <v>1</v>
      </c>
      <c r="O83">
        <v>6451.96</v>
      </c>
      <c r="P83" s="1">
        <v>45600.339074074072</v>
      </c>
      <c r="Q83">
        <v>17</v>
      </c>
      <c r="R83" t="s">
        <v>47</v>
      </c>
      <c r="S83">
        <v>0.16371583199702</v>
      </c>
      <c r="T83" t="b">
        <v>0</v>
      </c>
      <c r="U83" t="b">
        <v>0</v>
      </c>
      <c r="V83" t="b">
        <f t="shared" si="2"/>
        <v>1</v>
      </c>
      <c r="W83">
        <v>0</v>
      </c>
      <c r="Y83">
        <f t="shared" si="3"/>
        <v>0</v>
      </c>
    </row>
    <row r="84" spans="1:25" x14ac:dyDescent="0.3">
      <c r="A84" t="s">
        <v>441</v>
      </c>
      <c r="B84" t="s">
        <v>442</v>
      </c>
      <c r="C84">
        <v>922.55</v>
      </c>
      <c r="D84" s="1">
        <v>44949.689444444448</v>
      </c>
      <c r="E84" t="s">
        <v>25</v>
      </c>
      <c r="F84" t="s">
        <v>85</v>
      </c>
      <c r="G84" t="s">
        <v>443</v>
      </c>
      <c r="H84" t="s">
        <v>444</v>
      </c>
      <c r="I84" t="s">
        <v>445</v>
      </c>
      <c r="J84" t="s">
        <v>30</v>
      </c>
      <c r="K84">
        <v>63</v>
      </c>
      <c r="L84" t="s">
        <v>82</v>
      </c>
      <c r="M84">
        <v>87</v>
      </c>
      <c r="N84">
        <v>1</v>
      </c>
      <c r="O84">
        <v>4715.84</v>
      </c>
      <c r="P84" s="1">
        <v>45600.341053240743</v>
      </c>
      <c r="Q84">
        <v>16</v>
      </c>
      <c r="R84" t="s">
        <v>47</v>
      </c>
      <c r="S84">
        <v>2.1406551250434198</v>
      </c>
      <c r="T84" t="b">
        <v>1</v>
      </c>
      <c r="U84" t="b">
        <v>0</v>
      </c>
      <c r="V84" t="b">
        <f t="shared" si="2"/>
        <v>1</v>
      </c>
      <c r="W84">
        <v>1</v>
      </c>
      <c r="Y84">
        <f t="shared" si="3"/>
        <v>1</v>
      </c>
    </row>
    <row r="85" spans="1:25" x14ac:dyDescent="0.3">
      <c r="A85" t="s">
        <v>446</v>
      </c>
      <c r="B85" t="s">
        <v>447</v>
      </c>
      <c r="C85">
        <v>259.91000000000003</v>
      </c>
      <c r="D85" s="1">
        <v>45236.690393518518</v>
      </c>
      <c r="E85" t="s">
        <v>25</v>
      </c>
      <c r="F85" t="s">
        <v>126</v>
      </c>
      <c r="G85" t="s">
        <v>448</v>
      </c>
      <c r="H85" t="s">
        <v>449</v>
      </c>
      <c r="I85" t="s">
        <v>178</v>
      </c>
      <c r="J85" t="s">
        <v>45</v>
      </c>
      <c r="K85">
        <v>49</v>
      </c>
      <c r="L85" t="s">
        <v>31</v>
      </c>
      <c r="M85">
        <v>170</v>
      </c>
      <c r="N85">
        <v>1</v>
      </c>
      <c r="O85">
        <v>7176.86</v>
      </c>
      <c r="P85" s="1">
        <v>45600.34002314815</v>
      </c>
      <c r="Q85">
        <v>16</v>
      </c>
      <c r="R85" t="s">
        <v>47</v>
      </c>
      <c r="S85">
        <v>-0.12907779675342401</v>
      </c>
      <c r="T85" t="b">
        <v>0</v>
      </c>
      <c r="U85" t="b">
        <v>0</v>
      </c>
      <c r="V85" t="b">
        <f t="shared" si="2"/>
        <v>1</v>
      </c>
      <c r="W85">
        <v>0</v>
      </c>
      <c r="Y85">
        <f t="shared" si="3"/>
        <v>0</v>
      </c>
    </row>
    <row r="86" spans="1:25" x14ac:dyDescent="0.3">
      <c r="A86" t="s">
        <v>450</v>
      </c>
      <c r="B86" t="s">
        <v>451</v>
      </c>
      <c r="C86">
        <v>154.71</v>
      </c>
      <c r="D86" s="1">
        <v>45110.694722222222</v>
      </c>
      <c r="E86" t="s">
        <v>25</v>
      </c>
      <c r="F86" t="s">
        <v>26</v>
      </c>
      <c r="G86" t="s">
        <v>452</v>
      </c>
      <c r="H86" t="s">
        <v>453</v>
      </c>
      <c r="I86" t="s">
        <v>107</v>
      </c>
      <c r="J86" t="s">
        <v>45</v>
      </c>
      <c r="K86">
        <v>34</v>
      </c>
      <c r="L86" t="s">
        <v>31</v>
      </c>
      <c r="M86">
        <v>157</v>
      </c>
      <c r="N86">
        <v>1</v>
      </c>
      <c r="O86">
        <v>1523.72</v>
      </c>
      <c r="P86" s="1">
        <v>45600.340069444443</v>
      </c>
      <c r="Q86">
        <v>16</v>
      </c>
      <c r="R86" t="s">
        <v>47</v>
      </c>
      <c r="S86">
        <v>-0.48941810728859902</v>
      </c>
      <c r="T86" t="b">
        <v>0</v>
      </c>
      <c r="U86" t="b">
        <v>0</v>
      </c>
      <c r="V86" t="b">
        <f t="shared" si="2"/>
        <v>1</v>
      </c>
      <c r="W86">
        <v>0</v>
      </c>
      <c r="Y86">
        <f t="shared" si="3"/>
        <v>0</v>
      </c>
    </row>
    <row r="87" spans="1:25" x14ac:dyDescent="0.3">
      <c r="A87" t="s">
        <v>454</v>
      </c>
      <c r="B87" t="s">
        <v>455</v>
      </c>
      <c r="C87">
        <v>1340.19</v>
      </c>
      <c r="D87" s="1">
        <v>45198.723726851851</v>
      </c>
      <c r="E87" t="s">
        <v>57</v>
      </c>
      <c r="F87" t="s">
        <v>131</v>
      </c>
      <c r="G87" t="s">
        <v>456</v>
      </c>
      <c r="H87" t="s">
        <v>457</v>
      </c>
      <c r="I87" t="s">
        <v>458</v>
      </c>
      <c r="J87" t="s">
        <v>45</v>
      </c>
      <c r="K87">
        <v>54</v>
      </c>
      <c r="L87" t="s">
        <v>89</v>
      </c>
      <c r="M87">
        <v>30</v>
      </c>
      <c r="N87">
        <v>1</v>
      </c>
      <c r="O87">
        <v>8654.2800000000007</v>
      </c>
      <c r="P87" s="1">
        <v>45600.338113425925</v>
      </c>
      <c r="Q87">
        <v>17</v>
      </c>
      <c r="R87" t="s">
        <v>54</v>
      </c>
      <c r="S87">
        <v>3.5711924567155702</v>
      </c>
      <c r="T87" t="b">
        <v>1</v>
      </c>
      <c r="U87" t="b">
        <v>0</v>
      </c>
      <c r="V87" t="b">
        <f t="shared" si="2"/>
        <v>1</v>
      </c>
      <c r="W87">
        <v>1</v>
      </c>
      <c r="Y87">
        <f t="shared" si="3"/>
        <v>1</v>
      </c>
    </row>
    <row r="88" spans="1:25" x14ac:dyDescent="0.3">
      <c r="A88" t="s">
        <v>459</v>
      </c>
      <c r="B88" t="s">
        <v>460</v>
      </c>
      <c r="C88">
        <v>24.56</v>
      </c>
      <c r="D88" s="1">
        <v>45219.727488425924</v>
      </c>
      <c r="E88" t="s">
        <v>25</v>
      </c>
      <c r="F88" t="s">
        <v>41</v>
      </c>
      <c r="G88" t="s">
        <v>461</v>
      </c>
      <c r="H88" t="s">
        <v>462</v>
      </c>
      <c r="I88" t="s">
        <v>463</v>
      </c>
      <c r="J88" t="s">
        <v>81</v>
      </c>
      <c r="K88">
        <v>64</v>
      </c>
      <c r="L88" t="s">
        <v>31</v>
      </c>
      <c r="M88">
        <v>69</v>
      </c>
      <c r="N88">
        <v>1</v>
      </c>
      <c r="O88">
        <v>9869.93</v>
      </c>
      <c r="P88" s="1">
        <v>45600.341724537036</v>
      </c>
      <c r="Q88">
        <v>17</v>
      </c>
      <c r="R88" t="s">
        <v>54</v>
      </c>
      <c r="S88">
        <v>-0.93521935649157495</v>
      </c>
      <c r="T88" t="b">
        <v>0</v>
      </c>
      <c r="U88" t="b">
        <v>0</v>
      </c>
      <c r="V88" t="b">
        <f t="shared" si="2"/>
        <v>1</v>
      </c>
      <c r="W88">
        <v>0</v>
      </c>
      <c r="Y88">
        <f t="shared" si="3"/>
        <v>0</v>
      </c>
    </row>
    <row r="89" spans="1:25" x14ac:dyDescent="0.3">
      <c r="A89" t="s">
        <v>464</v>
      </c>
      <c r="B89" t="s">
        <v>465</v>
      </c>
      <c r="C89">
        <v>568.07000000000005</v>
      </c>
      <c r="D89" s="1">
        <v>45166.711030092592</v>
      </c>
      <c r="E89" t="s">
        <v>25</v>
      </c>
      <c r="F89" t="s">
        <v>466</v>
      </c>
      <c r="G89" t="s">
        <v>467</v>
      </c>
      <c r="H89" t="s">
        <v>468</v>
      </c>
      <c r="I89" t="s">
        <v>67</v>
      </c>
      <c r="J89" t="s">
        <v>30</v>
      </c>
      <c r="K89">
        <v>48</v>
      </c>
      <c r="L89" t="s">
        <v>31</v>
      </c>
      <c r="M89">
        <v>115</v>
      </c>
      <c r="N89">
        <v>1</v>
      </c>
      <c r="O89">
        <v>10556.81</v>
      </c>
      <c r="P89" s="1">
        <v>45600.338564814818</v>
      </c>
      <c r="Q89">
        <v>17</v>
      </c>
      <c r="R89" t="s">
        <v>47</v>
      </c>
      <c r="S89">
        <v>0.92645899121729403</v>
      </c>
      <c r="T89" t="b">
        <v>0</v>
      </c>
      <c r="U89" t="b">
        <v>0</v>
      </c>
      <c r="V89" t="b">
        <f t="shared" si="2"/>
        <v>1</v>
      </c>
      <c r="W89">
        <v>0</v>
      </c>
      <c r="Y89">
        <f t="shared" si="3"/>
        <v>0</v>
      </c>
    </row>
    <row r="90" spans="1:25" x14ac:dyDescent="0.3">
      <c r="A90" t="s">
        <v>469</v>
      </c>
      <c r="B90" t="s">
        <v>350</v>
      </c>
      <c r="C90">
        <v>9.61</v>
      </c>
      <c r="D90" s="1">
        <v>45099.776030092595</v>
      </c>
      <c r="E90" t="s">
        <v>57</v>
      </c>
      <c r="F90" t="s">
        <v>26</v>
      </c>
      <c r="G90" t="s">
        <v>470</v>
      </c>
      <c r="H90" t="s">
        <v>471</v>
      </c>
      <c r="I90" t="s">
        <v>182</v>
      </c>
      <c r="J90" t="s">
        <v>45</v>
      </c>
      <c r="K90">
        <v>58</v>
      </c>
      <c r="L90" t="s">
        <v>31</v>
      </c>
      <c r="M90">
        <v>179</v>
      </c>
      <c r="N90">
        <v>1</v>
      </c>
      <c r="O90">
        <v>12883.91</v>
      </c>
      <c r="P90" s="1">
        <v>45600.339699074073</v>
      </c>
      <c r="Q90">
        <v>18</v>
      </c>
      <c r="R90" t="s">
        <v>141</v>
      </c>
      <c r="S90">
        <v>-0.98642741392979605</v>
      </c>
      <c r="T90" t="b">
        <v>0</v>
      </c>
      <c r="U90" t="b">
        <v>0</v>
      </c>
      <c r="V90" t="b">
        <f t="shared" si="2"/>
        <v>1</v>
      </c>
      <c r="W90">
        <v>0</v>
      </c>
      <c r="Y90">
        <f t="shared" si="3"/>
        <v>0</v>
      </c>
    </row>
    <row r="91" spans="1:25" x14ac:dyDescent="0.3">
      <c r="A91" t="s">
        <v>472</v>
      </c>
      <c r="B91" t="s">
        <v>473</v>
      </c>
      <c r="C91">
        <v>392.96</v>
      </c>
      <c r="D91" s="1">
        <v>45250.686215277776</v>
      </c>
      <c r="E91" t="s">
        <v>25</v>
      </c>
      <c r="F91" t="s">
        <v>304</v>
      </c>
      <c r="G91" t="s">
        <v>474</v>
      </c>
      <c r="H91" t="s">
        <v>343</v>
      </c>
      <c r="I91" t="s">
        <v>167</v>
      </c>
      <c r="J91" t="s">
        <v>45</v>
      </c>
      <c r="K91">
        <v>24</v>
      </c>
      <c r="L91" t="s">
        <v>46</v>
      </c>
      <c r="M91">
        <v>100</v>
      </c>
      <c r="N91">
        <v>1</v>
      </c>
      <c r="O91">
        <v>791.65</v>
      </c>
      <c r="P91" s="1">
        <v>45600.339328703703</v>
      </c>
      <c r="Q91">
        <v>16</v>
      </c>
      <c r="R91" t="s">
        <v>47</v>
      </c>
      <c r="S91">
        <v>0.32665678800612902</v>
      </c>
      <c r="T91" t="b">
        <v>0</v>
      </c>
      <c r="U91" t="b">
        <v>0</v>
      </c>
      <c r="V91" t="b">
        <f t="shared" si="2"/>
        <v>1</v>
      </c>
      <c r="W91">
        <v>0</v>
      </c>
      <c r="Y91">
        <f t="shared" si="3"/>
        <v>0</v>
      </c>
    </row>
    <row r="92" spans="1:25" x14ac:dyDescent="0.3">
      <c r="A92" t="s">
        <v>475</v>
      </c>
      <c r="B92" t="s">
        <v>476</v>
      </c>
      <c r="C92">
        <v>716.93</v>
      </c>
      <c r="D92" s="1">
        <v>45183.70107638889</v>
      </c>
      <c r="E92" t="s">
        <v>57</v>
      </c>
      <c r="F92" t="s">
        <v>191</v>
      </c>
      <c r="G92" t="s">
        <v>477</v>
      </c>
      <c r="H92" t="s">
        <v>478</v>
      </c>
      <c r="I92" t="s">
        <v>38</v>
      </c>
      <c r="J92" t="s">
        <v>45</v>
      </c>
      <c r="K92">
        <v>60</v>
      </c>
      <c r="L92" t="s">
        <v>82</v>
      </c>
      <c r="M92">
        <v>34</v>
      </c>
      <c r="N92">
        <v>1</v>
      </c>
      <c r="O92">
        <v>4064.02</v>
      </c>
      <c r="P92" s="1">
        <v>45600.33902777778</v>
      </c>
      <c r="Q92">
        <v>16</v>
      </c>
      <c r="R92" t="s">
        <v>141</v>
      </c>
      <c r="S92">
        <v>1.4363473812008101</v>
      </c>
      <c r="T92" t="b">
        <v>0</v>
      </c>
      <c r="U92" t="b">
        <v>0</v>
      </c>
      <c r="V92" t="b">
        <f t="shared" si="2"/>
        <v>1</v>
      </c>
      <c r="W92">
        <v>0</v>
      </c>
      <c r="Y92">
        <f t="shared" si="3"/>
        <v>0</v>
      </c>
    </row>
    <row r="93" spans="1:25" x14ac:dyDescent="0.3">
      <c r="A93" t="s">
        <v>479</v>
      </c>
      <c r="B93" t="s">
        <v>480</v>
      </c>
      <c r="C93">
        <v>223.85</v>
      </c>
      <c r="D93" s="1">
        <v>45201.691782407404</v>
      </c>
      <c r="E93" t="s">
        <v>25</v>
      </c>
      <c r="F93" t="s">
        <v>304</v>
      </c>
      <c r="G93" t="s">
        <v>481</v>
      </c>
      <c r="H93" t="s">
        <v>482</v>
      </c>
      <c r="I93" t="s">
        <v>44</v>
      </c>
      <c r="J93" t="s">
        <v>30</v>
      </c>
      <c r="K93">
        <v>53</v>
      </c>
      <c r="L93" t="s">
        <v>89</v>
      </c>
      <c r="M93">
        <v>55</v>
      </c>
      <c r="N93">
        <v>4</v>
      </c>
      <c r="O93">
        <v>2929.91</v>
      </c>
      <c r="P93" s="1">
        <v>45600.338900462964</v>
      </c>
      <c r="Q93">
        <v>16</v>
      </c>
      <c r="R93" t="s">
        <v>47</v>
      </c>
      <c r="S93">
        <v>-0.25259368646728703</v>
      </c>
      <c r="T93" t="b">
        <v>0</v>
      </c>
      <c r="U93" t="b">
        <v>1</v>
      </c>
      <c r="V93" t="b">
        <f t="shared" si="2"/>
        <v>1</v>
      </c>
      <c r="W93">
        <v>1</v>
      </c>
      <c r="Y93">
        <f t="shared" si="3"/>
        <v>0</v>
      </c>
    </row>
    <row r="94" spans="1:25" x14ac:dyDescent="0.3">
      <c r="A94" t="s">
        <v>483</v>
      </c>
      <c r="B94" t="s">
        <v>484</v>
      </c>
      <c r="C94">
        <v>230.66</v>
      </c>
      <c r="D94" s="1">
        <v>45012.761157407411</v>
      </c>
      <c r="E94" t="s">
        <v>25</v>
      </c>
      <c r="F94" t="s">
        <v>35</v>
      </c>
      <c r="G94" t="s">
        <v>485</v>
      </c>
      <c r="H94" t="s">
        <v>486</v>
      </c>
      <c r="I94" t="s">
        <v>487</v>
      </c>
      <c r="J94" t="s">
        <v>81</v>
      </c>
      <c r="K94">
        <v>21</v>
      </c>
      <c r="L94" t="s">
        <v>46</v>
      </c>
      <c r="M94">
        <v>135</v>
      </c>
      <c r="N94">
        <v>1</v>
      </c>
      <c r="O94">
        <v>618.04999999999995</v>
      </c>
      <c r="P94" s="1">
        <v>45600.340787037036</v>
      </c>
      <c r="Q94">
        <v>18</v>
      </c>
      <c r="R94" t="s">
        <v>47</v>
      </c>
      <c r="S94">
        <v>-0.22926747434994399</v>
      </c>
      <c r="T94" t="b">
        <v>0</v>
      </c>
      <c r="U94" t="b">
        <v>0</v>
      </c>
      <c r="V94" t="b">
        <f t="shared" si="2"/>
        <v>1</v>
      </c>
      <c r="W94">
        <v>0</v>
      </c>
      <c r="Y94">
        <f t="shared" si="3"/>
        <v>0</v>
      </c>
    </row>
    <row r="95" spans="1:25" x14ac:dyDescent="0.3">
      <c r="A95" t="s">
        <v>488</v>
      </c>
      <c r="B95" t="s">
        <v>465</v>
      </c>
      <c r="C95">
        <v>442.12</v>
      </c>
      <c r="D95" s="1">
        <v>45281.692395833335</v>
      </c>
      <c r="E95" t="s">
        <v>25</v>
      </c>
      <c r="F95" t="s">
        <v>153</v>
      </c>
      <c r="G95" t="s">
        <v>489</v>
      </c>
      <c r="H95" t="s">
        <v>490</v>
      </c>
      <c r="I95" t="s">
        <v>491</v>
      </c>
      <c r="J95" t="s">
        <v>45</v>
      </c>
      <c r="K95">
        <v>19</v>
      </c>
      <c r="L95" t="s">
        <v>46</v>
      </c>
      <c r="M95">
        <v>260</v>
      </c>
      <c r="N95">
        <v>1</v>
      </c>
      <c r="O95">
        <v>1375.8</v>
      </c>
      <c r="P95" s="1">
        <v>45600.339131944442</v>
      </c>
      <c r="Q95">
        <v>16</v>
      </c>
      <c r="R95" t="s">
        <v>141</v>
      </c>
      <c r="S95">
        <v>0.49504395213074098</v>
      </c>
      <c r="T95" t="b">
        <v>0</v>
      </c>
      <c r="U95" t="b">
        <v>0</v>
      </c>
      <c r="V95" t="b">
        <f t="shared" si="2"/>
        <v>1</v>
      </c>
      <c r="W95">
        <v>0</v>
      </c>
      <c r="Y95">
        <f t="shared" si="3"/>
        <v>0</v>
      </c>
    </row>
    <row r="96" spans="1:25" x14ac:dyDescent="0.3">
      <c r="A96" t="s">
        <v>492</v>
      </c>
      <c r="B96" t="s">
        <v>358</v>
      </c>
      <c r="C96">
        <v>644.16999999999996</v>
      </c>
      <c r="D96" s="1">
        <v>44987.670243055552</v>
      </c>
      <c r="E96" t="s">
        <v>25</v>
      </c>
      <c r="F96" t="s">
        <v>250</v>
      </c>
      <c r="G96" t="s">
        <v>493</v>
      </c>
      <c r="H96" t="s">
        <v>494</v>
      </c>
      <c r="I96" t="s">
        <v>495</v>
      </c>
      <c r="J96" t="s">
        <v>30</v>
      </c>
      <c r="K96">
        <v>29</v>
      </c>
      <c r="L96" t="s">
        <v>89</v>
      </c>
      <c r="M96">
        <v>72</v>
      </c>
      <c r="N96">
        <v>1</v>
      </c>
      <c r="O96">
        <v>1143.52</v>
      </c>
      <c r="P96" s="1">
        <v>45600.338935185187</v>
      </c>
      <c r="Q96">
        <v>16</v>
      </c>
      <c r="R96" t="s">
        <v>141</v>
      </c>
      <c r="S96">
        <v>1.1871234173743901</v>
      </c>
      <c r="T96" t="b">
        <v>0</v>
      </c>
      <c r="U96" t="b">
        <v>0</v>
      </c>
      <c r="V96" t="b">
        <f t="shared" si="2"/>
        <v>1</v>
      </c>
      <c r="W96">
        <v>0</v>
      </c>
      <c r="Y96">
        <f t="shared" si="3"/>
        <v>0</v>
      </c>
    </row>
    <row r="97" spans="1:25" x14ac:dyDescent="0.3">
      <c r="A97" t="s">
        <v>496</v>
      </c>
      <c r="B97" t="s">
        <v>497</v>
      </c>
      <c r="C97">
        <v>508.68</v>
      </c>
      <c r="D97" s="1">
        <v>45103.678356481483</v>
      </c>
      <c r="E97" t="s">
        <v>57</v>
      </c>
      <c r="F97" t="s">
        <v>41</v>
      </c>
      <c r="G97" t="s">
        <v>498</v>
      </c>
      <c r="H97" t="s">
        <v>499</v>
      </c>
      <c r="I97" t="s">
        <v>134</v>
      </c>
      <c r="J97" t="s">
        <v>81</v>
      </c>
      <c r="K97">
        <v>51</v>
      </c>
      <c r="L97" t="s">
        <v>89</v>
      </c>
      <c r="M97">
        <v>127</v>
      </c>
      <c r="N97">
        <v>1</v>
      </c>
      <c r="O97">
        <v>7708.41</v>
      </c>
      <c r="P97" s="1">
        <v>45600.339953703704</v>
      </c>
      <c r="Q97">
        <v>16</v>
      </c>
      <c r="R97" t="s">
        <v>47</v>
      </c>
      <c r="S97">
        <v>0.72303112959482196</v>
      </c>
      <c r="T97" t="b">
        <v>0</v>
      </c>
      <c r="U97" t="b">
        <v>0</v>
      </c>
      <c r="V97" t="b">
        <f t="shared" si="2"/>
        <v>1</v>
      </c>
      <c r="W97">
        <v>0</v>
      </c>
      <c r="Y97">
        <f t="shared" si="3"/>
        <v>0</v>
      </c>
    </row>
    <row r="98" spans="1:25" x14ac:dyDescent="0.3">
      <c r="A98" t="s">
        <v>500</v>
      </c>
      <c r="B98" t="s">
        <v>501</v>
      </c>
      <c r="C98">
        <v>858.63</v>
      </c>
      <c r="D98" s="1">
        <v>45034.727349537039</v>
      </c>
      <c r="E98" t="s">
        <v>57</v>
      </c>
      <c r="F98" t="s">
        <v>225</v>
      </c>
      <c r="G98" t="s">
        <v>502</v>
      </c>
      <c r="H98" t="s">
        <v>503</v>
      </c>
      <c r="I98" t="s">
        <v>53</v>
      </c>
      <c r="J98" t="s">
        <v>81</v>
      </c>
      <c r="K98">
        <v>27</v>
      </c>
      <c r="L98" t="s">
        <v>46</v>
      </c>
      <c r="M98">
        <v>185</v>
      </c>
      <c r="N98">
        <v>1</v>
      </c>
      <c r="O98">
        <v>1872.96</v>
      </c>
      <c r="P98" s="1">
        <v>45600.340821759259</v>
      </c>
      <c r="Q98">
        <v>17</v>
      </c>
      <c r="R98" t="s">
        <v>32</v>
      </c>
      <c r="S98">
        <v>1.92171070822395</v>
      </c>
      <c r="T98" t="b">
        <v>0</v>
      </c>
      <c r="U98" t="b">
        <v>0</v>
      </c>
      <c r="V98" t="b">
        <f t="shared" si="2"/>
        <v>1</v>
      </c>
      <c r="W98">
        <v>0</v>
      </c>
      <c r="Y98">
        <f t="shared" si="3"/>
        <v>0</v>
      </c>
    </row>
    <row r="99" spans="1:25" x14ac:dyDescent="0.3">
      <c r="A99" t="s">
        <v>504</v>
      </c>
      <c r="B99" t="s">
        <v>272</v>
      </c>
      <c r="C99">
        <v>25.36</v>
      </c>
      <c r="D99" s="1">
        <v>45124.714166666665</v>
      </c>
      <c r="E99" t="s">
        <v>25</v>
      </c>
      <c r="F99" t="s">
        <v>120</v>
      </c>
      <c r="G99" t="s">
        <v>505</v>
      </c>
      <c r="H99" t="s">
        <v>506</v>
      </c>
      <c r="I99" t="s">
        <v>95</v>
      </c>
      <c r="J99" t="s">
        <v>30</v>
      </c>
      <c r="K99">
        <v>57</v>
      </c>
      <c r="L99" t="s">
        <v>89</v>
      </c>
      <c r="M99">
        <v>78</v>
      </c>
      <c r="N99">
        <v>1</v>
      </c>
      <c r="O99">
        <v>201.04</v>
      </c>
      <c r="P99" s="1">
        <v>45600.34103009259</v>
      </c>
      <c r="Q99">
        <v>17</v>
      </c>
      <c r="R99" t="s">
        <v>47</v>
      </c>
      <c r="S99">
        <v>-0.93247912599320804</v>
      </c>
      <c r="T99" t="b">
        <v>0</v>
      </c>
      <c r="U99" t="b">
        <v>0</v>
      </c>
      <c r="V99" t="b">
        <f t="shared" si="2"/>
        <v>1</v>
      </c>
      <c r="W99">
        <v>0</v>
      </c>
      <c r="Y99">
        <f t="shared" si="3"/>
        <v>0</v>
      </c>
    </row>
    <row r="100" spans="1:25" x14ac:dyDescent="0.3">
      <c r="A100" t="s">
        <v>507</v>
      </c>
      <c r="B100" t="s">
        <v>169</v>
      </c>
      <c r="C100">
        <v>147.62</v>
      </c>
      <c r="D100" s="1">
        <v>45170.726412037038</v>
      </c>
      <c r="E100" t="s">
        <v>25</v>
      </c>
      <c r="F100" t="s">
        <v>262</v>
      </c>
      <c r="G100" t="s">
        <v>508</v>
      </c>
      <c r="H100" t="s">
        <v>509</v>
      </c>
      <c r="I100" t="s">
        <v>178</v>
      </c>
      <c r="J100" t="s">
        <v>81</v>
      </c>
      <c r="K100">
        <v>71</v>
      </c>
      <c r="L100" t="s">
        <v>82</v>
      </c>
      <c r="M100">
        <v>133</v>
      </c>
      <c r="N100">
        <v>1</v>
      </c>
      <c r="O100">
        <v>2115.8000000000002</v>
      </c>
      <c r="P100" s="1">
        <v>45600.338449074072</v>
      </c>
      <c r="Q100">
        <v>17</v>
      </c>
      <c r="R100" t="s">
        <v>54</v>
      </c>
      <c r="S100">
        <v>-0.51370340008037096</v>
      </c>
      <c r="T100" t="b">
        <v>0</v>
      </c>
      <c r="U100" t="b">
        <v>0</v>
      </c>
      <c r="V100" t="b">
        <f t="shared" si="2"/>
        <v>1</v>
      </c>
      <c r="W100">
        <v>0</v>
      </c>
      <c r="Y100">
        <f t="shared" si="3"/>
        <v>0</v>
      </c>
    </row>
    <row r="101" spans="1:25" x14ac:dyDescent="0.3">
      <c r="A101" t="s">
        <v>510</v>
      </c>
      <c r="B101" t="s">
        <v>511</v>
      </c>
      <c r="C101">
        <v>115.02</v>
      </c>
      <c r="D101" s="1">
        <v>45180.679907407408</v>
      </c>
      <c r="E101" t="s">
        <v>25</v>
      </c>
      <c r="F101" t="s">
        <v>250</v>
      </c>
      <c r="G101" t="s">
        <v>512</v>
      </c>
      <c r="H101" t="s">
        <v>513</v>
      </c>
      <c r="I101" t="s">
        <v>445</v>
      </c>
      <c r="J101" t="s">
        <v>81</v>
      </c>
      <c r="K101">
        <v>37</v>
      </c>
      <c r="L101" t="s">
        <v>31</v>
      </c>
      <c r="M101">
        <v>175</v>
      </c>
      <c r="N101">
        <v>1</v>
      </c>
      <c r="O101">
        <v>7643.66</v>
      </c>
      <c r="P101" s="1">
        <v>45600.339328703703</v>
      </c>
      <c r="Q101">
        <v>16</v>
      </c>
      <c r="R101" t="s">
        <v>47</v>
      </c>
      <c r="S101">
        <v>-0.62536779288879996</v>
      </c>
      <c r="T101" t="b">
        <v>0</v>
      </c>
      <c r="U101" t="b">
        <v>0</v>
      </c>
      <c r="V101" t="b">
        <f t="shared" si="2"/>
        <v>1</v>
      </c>
      <c r="W101">
        <v>0</v>
      </c>
      <c r="Y101">
        <f t="shared" si="3"/>
        <v>0</v>
      </c>
    </row>
    <row r="102" spans="1:25" x14ac:dyDescent="0.3">
      <c r="A102" t="s">
        <v>514</v>
      </c>
      <c r="B102" t="s">
        <v>409</v>
      </c>
      <c r="C102">
        <v>383.37</v>
      </c>
      <c r="D102" s="1">
        <v>44950.724953703706</v>
      </c>
      <c r="E102" t="s">
        <v>25</v>
      </c>
      <c r="F102" t="s">
        <v>170</v>
      </c>
      <c r="G102" t="s">
        <v>515</v>
      </c>
      <c r="H102" t="s">
        <v>516</v>
      </c>
      <c r="I102" t="s">
        <v>399</v>
      </c>
      <c r="J102" t="s">
        <v>81</v>
      </c>
      <c r="K102">
        <v>30</v>
      </c>
      <c r="L102" t="s">
        <v>89</v>
      </c>
      <c r="M102">
        <v>24</v>
      </c>
      <c r="N102">
        <v>1</v>
      </c>
      <c r="O102">
        <v>8901.93</v>
      </c>
      <c r="P102" s="1">
        <v>45600.341053240743</v>
      </c>
      <c r="Q102">
        <v>17</v>
      </c>
      <c r="R102" t="s">
        <v>32</v>
      </c>
      <c r="S102">
        <v>0.29380827490696199</v>
      </c>
      <c r="T102" t="b">
        <v>0</v>
      </c>
      <c r="U102" t="b">
        <v>0</v>
      </c>
      <c r="V102" t="b">
        <f t="shared" si="2"/>
        <v>1</v>
      </c>
      <c r="W102">
        <v>0</v>
      </c>
      <c r="Y102">
        <f t="shared" si="3"/>
        <v>0</v>
      </c>
    </row>
    <row r="103" spans="1:25" x14ac:dyDescent="0.3">
      <c r="A103" t="s">
        <v>517</v>
      </c>
      <c r="B103" t="s">
        <v>518</v>
      </c>
      <c r="C103">
        <v>98.54</v>
      </c>
      <c r="D103" s="1">
        <v>45149.679699074077</v>
      </c>
      <c r="E103" t="s">
        <v>57</v>
      </c>
      <c r="F103" t="s">
        <v>519</v>
      </c>
      <c r="G103" t="s">
        <v>512</v>
      </c>
      <c r="H103" t="s">
        <v>520</v>
      </c>
      <c r="I103" t="s">
        <v>325</v>
      </c>
      <c r="J103" t="s">
        <v>45</v>
      </c>
      <c r="K103">
        <v>20</v>
      </c>
      <c r="L103" t="s">
        <v>46</v>
      </c>
      <c r="M103">
        <v>167</v>
      </c>
      <c r="N103">
        <v>1</v>
      </c>
      <c r="O103">
        <v>9383.43</v>
      </c>
      <c r="P103" s="1">
        <v>45600.340300925927</v>
      </c>
      <c r="Q103">
        <v>16</v>
      </c>
      <c r="R103" t="s">
        <v>54</v>
      </c>
      <c r="S103">
        <v>-0.68181654115514601</v>
      </c>
      <c r="T103" t="b">
        <v>0</v>
      </c>
      <c r="U103" t="b">
        <v>0</v>
      </c>
      <c r="V103" t="b">
        <f t="shared" si="2"/>
        <v>1</v>
      </c>
      <c r="W103">
        <v>0</v>
      </c>
      <c r="Y103">
        <f t="shared" si="3"/>
        <v>0</v>
      </c>
    </row>
    <row r="104" spans="1:25" x14ac:dyDescent="0.3">
      <c r="A104" t="s">
        <v>521</v>
      </c>
      <c r="B104" t="s">
        <v>522</v>
      </c>
      <c r="C104">
        <v>83.24</v>
      </c>
      <c r="D104" s="1">
        <v>45215.77443287037</v>
      </c>
      <c r="E104" t="s">
        <v>57</v>
      </c>
      <c r="F104" t="s">
        <v>170</v>
      </c>
      <c r="G104" t="s">
        <v>523</v>
      </c>
      <c r="H104" t="s">
        <v>193</v>
      </c>
      <c r="I104" t="s">
        <v>44</v>
      </c>
      <c r="J104" t="s">
        <v>81</v>
      </c>
      <c r="K104">
        <v>55</v>
      </c>
      <c r="L104" t="s">
        <v>31</v>
      </c>
      <c r="M104">
        <v>164</v>
      </c>
      <c r="N104">
        <v>1</v>
      </c>
      <c r="O104">
        <v>1181.31</v>
      </c>
      <c r="P104" s="1">
        <v>45600.340879629628</v>
      </c>
      <c r="Q104">
        <v>18</v>
      </c>
      <c r="R104" t="s">
        <v>47</v>
      </c>
      <c r="S104">
        <v>-0.73422344943640305</v>
      </c>
      <c r="T104" t="b">
        <v>0</v>
      </c>
      <c r="U104" t="b">
        <v>0</v>
      </c>
      <c r="V104" t="b">
        <f t="shared" si="2"/>
        <v>1</v>
      </c>
      <c r="W104">
        <v>0</v>
      </c>
      <c r="Y104">
        <f t="shared" si="3"/>
        <v>0</v>
      </c>
    </row>
    <row r="105" spans="1:25" x14ac:dyDescent="0.3">
      <c r="A105" t="s">
        <v>524</v>
      </c>
      <c r="B105" t="s">
        <v>425</v>
      </c>
      <c r="C105">
        <v>196.16</v>
      </c>
      <c r="D105" s="1">
        <v>44981.687071759261</v>
      </c>
      <c r="E105" t="s">
        <v>25</v>
      </c>
      <c r="F105" t="s">
        <v>314</v>
      </c>
      <c r="G105" t="s">
        <v>525</v>
      </c>
      <c r="H105" t="s">
        <v>526</v>
      </c>
      <c r="I105" t="s">
        <v>527</v>
      </c>
      <c r="J105" t="s">
        <v>81</v>
      </c>
      <c r="K105">
        <v>27</v>
      </c>
      <c r="L105" t="s">
        <v>89</v>
      </c>
      <c r="M105">
        <v>146</v>
      </c>
      <c r="N105">
        <v>1</v>
      </c>
      <c r="O105">
        <v>9418.86</v>
      </c>
      <c r="P105" s="1">
        <v>45600.339259259257</v>
      </c>
      <c r="Q105">
        <v>16</v>
      </c>
      <c r="R105" t="s">
        <v>54</v>
      </c>
      <c r="S105">
        <v>-0.34743991459199203</v>
      </c>
      <c r="T105" t="b">
        <v>0</v>
      </c>
      <c r="U105" t="b">
        <v>0</v>
      </c>
      <c r="V105" t="b">
        <f t="shared" si="2"/>
        <v>1</v>
      </c>
      <c r="W105">
        <v>0</v>
      </c>
      <c r="Y105">
        <f t="shared" si="3"/>
        <v>0</v>
      </c>
    </row>
    <row r="106" spans="1:25" x14ac:dyDescent="0.3">
      <c r="A106" t="s">
        <v>528</v>
      </c>
      <c r="B106" t="s">
        <v>529</v>
      </c>
      <c r="C106">
        <v>129.94</v>
      </c>
      <c r="D106" s="1">
        <v>44928.691689814812</v>
      </c>
      <c r="E106" t="s">
        <v>25</v>
      </c>
      <c r="F106" t="s">
        <v>159</v>
      </c>
      <c r="G106" t="s">
        <v>530</v>
      </c>
      <c r="H106" t="s">
        <v>531</v>
      </c>
      <c r="I106" t="s">
        <v>427</v>
      </c>
      <c r="J106" t="s">
        <v>30</v>
      </c>
      <c r="K106">
        <v>32</v>
      </c>
      <c r="L106" t="s">
        <v>89</v>
      </c>
      <c r="M106">
        <v>235</v>
      </c>
      <c r="N106">
        <v>1</v>
      </c>
      <c r="O106">
        <v>7954.92</v>
      </c>
      <c r="P106" s="1">
        <v>45600.337905092594</v>
      </c>
      <c r="Q106">
        <v>16</v>
      </c>
      <c r="R106" t="s">
        <v>47</v>
      </c>
      <c r="S106">
        <v>-0.574262494094267</v>
      </c>
      <c r="T106" t="b">
        <v>0</v>
      </c>
      <c r="U106" t="b">
        <v>0</v>
      </c>
      <c r="V106" t="b">
        <f t="shared" si="2"/>
        <v>1</v>
      </c>
      <c r="W106">
        <v>0</v>
      </c>
      <c r="Y106">
        <f t="shared" si="3"/>
        <v>0</v>
      </c>
    </row>
    <row r="107" spans="1:25" x14ac:dyDescent="0.3">
      <c r="A107" t="s">
        <v>532</v>
      </c>
      <c r="B107" t="s">
        <v>533</v>
      </c>
      <c r="C107">
        <v>306.89999999999998</v>
      </c>
      <c r="D107" s="1">
        <v>45260.68822916667</v>
      </c>
      <c r="E107" t="s">
        <v>25</v>
      </c>
      <c r="F107" t="s">
        <v>534</v>
      </c>
      <c r="G107" t="s">
        <v>535</v>
      </c>
      <c r="H107" t="s">
        <v>536</v>
      </c>
      <c r="I107" t="s">
        <v>491</v>
      </c>
      <c r="J107" t="s">
        <v>45</v>
      </c>
      <c r="K107">
        <v>46</v>
      </c>
      <c r="L107" t="s">
        <v>89</v>
      </c>
      <c r="M107">
        <v>51</v>
      </c>
      <c r="N107">
        <v>1</v>
      </c>
      <c r="O107">
        <v>9418.08</v>
      </c>
      <c r="P107" s="1">
        <v>45600.340833333335</v>
      </c>
      <c r="Q107">
        <v>16</v>
      </c>
      <c r="R107" t="s">
        <v>141</v>
      </c>
      <c r="S107">
        <v>3.1876492144369203E-2</v>
      </c>
      <c r="T107" t="b">
        <v>0</v>
      </c>
      <c r="U107" t="b">
        <v>0</v>
      </c>
      <c r="V107" t="b">
        <f t="shared" si="2"/>
        <v>1</v>
      </c>
      <c r="W107">
        <v>0</v>
      </c>
      <c r="Y107">
        <f t="shared" si="3"/>
        <v>0</v>
      </c>
    </row>
    <row r="108" spans="1:25" x14ac:dyDescent="0.3">
      <c r="A108" t="s">
        <v>537</v>
      </c>
      <c r="B108" t="s">
        <v>538</v>
      </c>
      <c r="C108">
        <v>114.98</v>
      </c>
      <c r="D108" s="1">
        <v>45231.702789351853</v>
      </c>
      <c r="E108" t="s">
        <v>25</v>
      </c>
      <c r="F108" t="s">
        <v>70</v>
      </c>
      <c r="G108" t="s">
        <v>539</v>
      </c>
      <c r="H108" t="s">
        <v>540</v>
      </c>
      <c r="I108" t="s">
        <v>431</v>
      </c>
      <c r="J108" t="s">
        <v>45</v>
      </c>
      <c r="K108">
        <v>59</v>
      </c>
      <c r="L108" t="s">
        <v>82</v>
      </c>
      <c r="M108">
        <v>80</v>
      </c>
      <c r="N108">
        <v>1</v>
      </c>
      <c r="O108">
        <v>6144.68</v>
      </c>
      <c r="P108" s="1">
        <v>45600.339861111112</v>
      </c>
      <c r="Q108">
        <v>16</v>
      </c>
      <c r="R108" t="s">
        <v>74</v>
      </c>
      <c r="S108">
        <v>-0.62550480441371803</v>
      </c>
      <c r="T108" t="b">
        <v>0</v>
      </c>
      <c r="U108" t="b">
        <v>0</v>
      </c>
      <c r="V108" t="b">
        <f t="shared" si="2"/>
        <v>1</v>
      </c>
      <c r="W108">
        <v>0</v>
      </c>
      <c r="Y108">
        <f t="shared" si="3"/>
        <v>0</v>
      </c>
    </row>
    <row r="109" spans="1:25" x14ac:dyDescent="0.3">
      <c r="A109" t="s">
        <v>541</v>
      </c>
      <c r="B109" t="s">
        <v>542</v>
      </c>
      <c r="C109">
        <v>756.59</v>
      </c>
      <c r="D109" s="1">
        <v>44991.699328703704</v>
      </c>
      <c r="E109" t="s">
        <v>25</v>
      </c>
      <c r="F109" t="s">
        <v>298</v>
      </c>
      <c r="G109" t="s">
        <v>543</v>
      </c>
      <c r="H109" t="s">
        <v>544</v>
      </c>
      <c r="I109" t="s">
        <v>458</v>
      </c>
      <c r="J109" t="s">
        <v>81</v>
      </c>
      <c r="K109">
        <v>27</v>
      </c>
      <c r="L109" t="s">
        <v>46</v>
      </c>
      <c r="M109">
        <v>17</v>
      </c>
      <c r="N109">
        <v>1</v>
      </c>
      <c r="O109">
        <v>420.65</v>
      </c>
      <c r="P109" s="1">
        <v>45600.341435185182</v>
      </c>
      <c r="Q109">
        <v>16</v>
      </c>
      <c r="R109" t="s">
        <v>47</v>
      </c>
      <c r="S109">
        <v>1.57219430815732</v>
      </c>
      <c r="T109" t="b">
        <v>0</v>
      </c>
      <c r="U109" t="b">
        <v>0</v>
      </c>
      <c r="V109" t="b">
        <f t="shared" si="2"/>
        <v>1</v>
      </c>
      <c r="W109">
        <v>0</v>
      </c>
      <c r="Y109">
        <f t="shared" si="3"/>
        <v>0</v>
      </c>
    </row>
    <row r="110" spans="1:25" x14ac:dyDescent="0.3">
      <c r="A110" t="s">
        <v>545</v>
      </c>
      <c r="B110" t="s">
        <v>546</v>
      </c>
      <c r="C110">
        <v>503.76</v>
      </c>
      <c r="D110" s="1">
        <v>45257.772789351853</v>
      </c>
      <c r="E110" t="s">
        <v>25</v>
      </c>
      <c r="F110" t="s">
        <v>153</v>
      </c>
      <c r="G110" t="s">
        <v>547</v>
      </c>
      <c r="H110" t="s">
        <v>548</v>
      </c>
      <c r="I110" t="s">
        <v>173</v>
      </c>
      <c r="J110" t="s">
        <v>45</v>
      </c>
      <c r="K110">
        <v>22</v>
      </c>
      <c r="L110" t="s">
        <v>46</v>
      </c>
      <c r="M110">
        <v>35</v>
      </c>
      <c r="N110">
        <v>1</v>
      </c>
      <c r="O110">
        <v>447.82</v>
      </c>
      <c r="P110" s="1">
        <v>45600.339837962965</v>
      </c>
      <c r="Q110">
        <v>18</v>
      </c>
      <c r="R110" t="s">
        <v>47</v>
      </c>
      <c r="S110">
        <v>0.70617871202986904</v>
      </c>
      <c r="T110" t="b">
        <v>0</v>
      </c>
      <c r="U110" t="b">
        <v>0</v>
      </c>
      <c r="V110" t="b">
        <f t="shared" si="2"/>
        <v>1</v>
      </c>
      <c r="W110">
        <v>0</v>
      </c>
      <c r="Y110">
        <f t="shared" si="3"/>
        <v>0</v>
      </c>
    </row>
    <row r="111" spans="1:25" x14ac:dyDescent="0.3">
      <c r="A111" t="s">
        <v>549</v>
      </c>
      <c r="B111" t="s">
        <v>550</v>
      </c>
      <c r="C111">
        <v>143.03</v>
      </c>
      <c r="D111" s="1">
        <v>45138.692893518521</v>
      </c>
      <c r="E111" t="s">
        <v>25</v>
      </c>
      <c r="F111" t="s">
        <v>250</v>
      </c>
      <c r="G111" t="s">
        <v>551</v>
      </c>
      <c r="H111" t="s">
        <v>279</v>
      </c>
      <c r="I111" t="s">
        <v>301</v>
      </c>
      <c r="J111" t="s">
        <v>30</v>
      </c>
      <c r="K111">
        <v>63</v>
      </c>
      <c r="L111" t="s">
        <v>82</v>
      </c>
      <c r="M111">
        <v>147</v>
      </c>
      <c r="N111">
        <v>1</v>
      </c>
      <c r="O111">
        <v>7981.45</v>
      </c>
      <c r="P111" s="1">
        <v>45600.340763888889</v>
      </c>
      <c r="Q111">
        <v>16</v>
      </c>
      <c r="R111" t="s">
        <v>47</v>
      </c>
      <c r="S111">
        <v>-0.52942547256474803</v>
      </c>
      <c r="T111" t="b">
        <v>0</v>
      </c>
      <c r="U111" t="b">
        <v>0</v>
      </c>
      <c r="V111" t="b">
        <f t="shared" si="2"/>
        <v>1</v>
      </c>
      <c r="W111">
        <v>0</v>
      </c>
      <c r="Y111">
        <f t="shared" si="3"/>
        <v>0</v>
      </c>
    </row>
    <row r="112" spans="1:25" x14ac:dyDescent="0.3">
      <c r="A112" t="s">
        <v>552</v>
      </c>
      <c r="B112" t="s">
        <v>553</v>
      </c>
      <c r="C112">
        <v>1045.22</v>
      </c>
      <c r="D112" s="1">
        <v>45252.676145833335</v>
      </c>
      <c r="E112" t="s">
        <v>25</v>
      </c>
      <c r="F112" t="s">
        <v>137</v>
      </c>
      <c r="G112" t="s">
        <v>554</v>
      </c>
      <c r="H112" t="s">
        <v>555</v>
      </c>
      <c r="I112" t="s">
        <v>556</v>
      </c>
      <c r="J112" t="s">
        <v>30</v>
      </c>
      <c r="K112">
        <v>53</v>
      </c>
      <c r="L112" t="s">
        <v>82</v>
      </c>
      <c r="M112">
        <v>73</v>
      </c>
      <c r="N112">
        <v>1</v>
      </c>
      <c r="O112">
        <v>1829.9</v>
      </c>
      <c r="P112" s="1">
        <v>45600.338599537034</v>
      </c>
      <c r="Q112">
        <v>16</v>
      </c>
      <c r="R112" t="s">
        <v>74</v>
      </c>
      <c r="S112">
        <v>2.5608352190866701</v>
      </c>
      <c r="T112" t="b">
        <v>1</v>
      </c>
      <c r="U112" t="b">
        <v>0</v>
      </c>
      <c r="V112" t="b">
        <f t="shared" si="2"/>
        <v>1</v>
      </c>
      <c r="W112">
        <v>1</v>
      </c>
      <c r="Y112">
        <f t="shared" si="3"/>
        <v>1</v>
      </c>
    </row>
    <row r="113" spans="1:25" x14ac:dyDescent="0.3">
      <c r="A113" t="s">
        <v>557</v>
      </c>
      <c r="B113" t="s">
        <v>558</v>
      </c>
      <c r="C113">
        <v>245.54</v>
      </c>
      <c r="D113" s="1">
        <v>45006.687164351853</v>
      </c>
      <c r="E113" t="s">
        <v>25</v>
      </c>
      <c r="F113" t="s">
        <v>216</v>
      </c>
      <c r="G113" t="s">
        <v>559</v>
      </c>
      <c r="H113" t="s">
        <v>560</v>
      </c>
      <c r="I113" t="s">
        <v>561</v>
      </c>
      <c r="J113" t="s">
        <v>30</v>
      </c>
      <c r="K113">
        <v>25</v>
      </c>
      <c r="L113" t="s">
        <v>46</v>
      </c>
      <c r="M113">
        <v>180</v>
      </c>
      <c r="N113">
        <v>1</v>
      </c>
      <c r="O113">
        <v>985.06</v>
      </c>
      <c r="P113" s="1">
        <v>45600.340578703705</v>
      </c>
      <c r="Q113">
        <v>16</v>
      </c>
      <c r="R113" t="s">
        <v>32</v>
      </c>
      <c r="S113">
        <v>-0.17829918708032899</v>
      </c>
      <c r="T113" t="b">
        <v>0</v>
      </c>
      <c r="U113" t="b">
        <v>0</v>
      </c>
      <c r="V113" t="b">
        <f t="shared" si="2"/>
        <v>1</v>
      </c>
      <c r="W113">
        <v>0</v>
      </c>
      <c r="Y113">
        <f t="shared" si="3"/>
        <v>0</v>
      </c>
    </row>
    <row r="114" spans="1:25" x14ac:dyDescent="0.3">
      <c r="A114" t="s">
        <v>562</v>
      </c>
      <c r="B114" t="s">
        <v>563</v>
      </c>
      <c r="C114">
        <v>254.37</v>
      </c>
      <c r="D114" s="1">
        <v>45036.768634259257</v>
      </c>
      <c r="E114" t="s">
        <v>57</v>
      </c>
      <c r="F114" t="s">
        <v>336</v>
      </c>
      <c r="G114" t="s">
        <v>564</v>
      </c>
      <c r="H114" t="s">
        <v>565</v>
      </c>
      <c r="I114" t="s">
        <v>458</v>
      </c>
      <c r="J114" t="s">
        <v>45</v>
      </c>
      <c r="K114">
        <v>51</v>
      </c>
      <c r="L114" t="s">
        <v>89</v>
      </c>
      <c r="M114">
        <v>174</v>
      </c>
      <c r="N114">
        <v>1</v>
      </c>
      <c r="O114">
        <v>8849.26</v>
      </c>
      <c r="P114" s="1">
        <v>45600.338148148148</v>
      </c>
      <c r="Q114">
        <v>18</v>
      </c>
      <c r="R114" t="s">
        <v>141</v>
      </c>
      <c r="S114">
        <v>-0.14805389295461099</v>
      </c>
      <c r="T114" t="b">
        <v>0</v>
      </c>
      <c r="U114" t="b">
        <v>0</v>
      </c>
      <c r="V114" t="b">
        <f t="shared" si="2"/>
        <v>1</v>
      </c>
      <c r="W114">
        <v>0</v>
      </c>
      <c r="Y114">
        <f t="shared" si="3"/>
        <v>0</v>
      </c>
    </row>
    <row r="115" spans="1:25" x14ac:dyDescent="0.3">
      <c r="A115" t="s">
        <v>566</v>
      </c>
      <c r="B115" t="s">
        <v>567</v>
      </c>
      <c r="C115">
        <v>213.76</v>
      </c>
      <c r="D115" s="1">
        <v>44986.744606481479</v>
      </c>
      <c r="E115" t="s">
        <v>57</v>
      </c>
      <c r="F115" t="s">
        <v>336</v>
      </c>
      <c r="G115" t="s">
        <v>456</v>
      </c>
      <c r="H115" t="s">
        <v>568</v>
      </c>
      <c r="I115" t="s">
        <v>44</v>
      </c>
      <c r="J115" t="s">
        <v>30</v>
      </c>
      <c r="K115">
        <v>78</v>
      </c>
      <c r="L115" t="s">
        <v>82</v>
      </c>
      <c r="M115">
        <v>282</v>
      </c>
      <c r="N115">
        <v>1</v>
      </c>
      <c r="O115">
        <v>3528.72</v>
      </c>
      <c r="P115" s="1">
        <v>45600.34</v>
      </c>
      <c r="Q115">
        <v>17</v>
      </c>
      <c r="R115" t="s">
        <v>74</v>
      </c>
      <c r="S115">
        <v>-0.28715484362793298</v>
      </c>
      <c r="T115" t="b">
        <v>0</v>
      </c>
      <c r="U115" t="b">
        <v>0</v>
      </c>
      <c r="V115" t="b">
        <f t="shared" si="2"/>
        <v>1</v>
      </c>
      <c r="W115">
        <v>0</v>
      </c>
      <c r="Y115">
        <f t="shared" si="3"/>
        <v>0</v>
      </c>
    </row>
    <row r="116" spans="1:25" x14ac:dyDescent="0.3">
      <c r="A116" t="s">
        <v>569</v>
      </c>
      <c r="B116" t="s">
        <v>570</v>
      </c>
      <c r="C116">
        <v>327.86</v>
      </c>
      <c r="D116" s="1">
        <v>44967.703333333331</v>
      </c>
      <c r="E116" t="s">
        <v>25</v>
      </c>
      <c r="F116" t="s">
        <v>571</v>
      </c>
      <c r="G116" t="s">
        <v>572</v>
      </c>
      <c r="H116" t="s">
        <v>122</v>
      </c>
      <c r="I116" t="s">
        <v>280</v>
      </c>
      <c r="J116" t="s">
        <v>45</v>
      </c>
      <c r="K116">
        <v>40</v>
      </c>
      <c r="L116" t="s">
        <v>89</v>
      </c>
      <c r="M116">
        <v>104</v>
      </c>
      <c r="N116">
        <v>1</v>
      </c>
      <c r="O116">
        <v>480.16</v>
      </c>
      <c r="P116" s="1">
        <v>45600.337847222225</v>
      </c>
      <c r="Q116">
        <v>16</v>
      </c>
      <c r="R116" t="s">
        <v>54</v>
      </c>
      <c r="S116">
        <v>0.103670531201567</v>
      </c>
      <c r="T116" t="b">
        <v>0</v>
      </c>
      <c r="U116" t="b">
        <v>0</v>
      </c>
      <c r="V116" t="b">
        <f t="shared" si="2"/>
        <v>1</v>
      </c>
      <c r="W116">
        <v>0</v>
      </c>
      <c r="Y116">
        <f t="shared" si="3"/>
        <v>0</v>
      </c>
    </row>
    <row r="117" spans="1:25" x14ac:dyDescent="0.3">
      <c r="A117" t="s">
        <v>573</v>
      </c>
      <c r="B117" t="s">
        <v>574</v>
      </c>
      <c r="C117">
        <v>2.5</v>
      </c>
      <c r="D117" s="1">
        <v>45128.696655092594</v>
      </c>
      <c r="E117" t="s">
        <v>25</v>
      </c>
      <c r="F117" t="s">
        <v>26</v>
      </c>
      <c r="G117" t="s">
        <v>575</v>
      </c>
      <c r="H117" t="s">
        <v>576</v>
      </c>
      <c r="I117" t="s">
        <v>577</v>
      </c>
      <c r="J117" t="s">
        <v>45</v>
      </c>
      <c r="K117">
        <v>47</v>
      </c>
      <c r="L117" t="s">
        <v>31</v>
      </c>
      <c r="M117">
        <v>107</v>
      </c>
      <c r="N117">
        <v>1</v>
      </c>
      <c r="O117">
        <v>12145.27</v>
      </c>
      <c r="P117" s="1">
        <v>45600.340196759258</v>
      </c>
      <c r="Q117">
        <v>16</v>
      </c>
      <c r="R117" t="s">
        <v>54</v>
      </c>
      <c r="S117">
        <v>-1.0107812124840201</v>
      </c>
      <c r="T117" t="b">
        <v>0</v>
      </c>
      <c r="U117" t="b">
        <v>0</v>
      </c>
      <c r="V117" t="b">
        <f t="shared" si="2"/>
        <v>1</v>
      </c>
      <c r="W117">
        <v>0</v>
      </c>
      <c r="Y117">
        <f t="shared" si="3"/>
        <v>0</v>
      </c>
    </row>
    <row r="118" spans="1:25" x14ac:dyDescent="0.3">
      <c r="A118" t="s">
        <v>578</v>
      </c>
      <c r="B118" t="s">
        <v>282</v>
      </c>
      <c r="C118">
        <v>300.08</v>
      </c>
      <c r="D118" s="1">
        <v>45208.710219907407</v>
      </c>
      <c r="E118" t="s">
        <v>57</v>
      </c>
      <c r="F118" t="s">
        <v>131</v>
      </c>
      <c r="G118" t="s">
        <v>579</v>
      </c>
      <c r="H118" t="s">
        <v>580</v>
      </c>
      <c r="I118" t="s">
        <v>156</v>
      </c>
      <c r="J118" t="s">
        <v>45</v>
      </c>
      <c r="K118">
        <v>68</v>
      </c>
      <c r="L118" t="s">
        <v>31</v>
      </c>
      <c r="M118">
        <v>47</v>
      </c>
      <c r="N118">
        <v>1</v>
      </c>
      <c r="O118">
        <v>13546.75</v>
      </c>
      <c r="P118" s="1">
        <v>45600.341874999998</v>
      </c>
      <c r="Q118">
        <v>17</v>
      </c>
      <c r="R118" t="s">
        <v>47</v>
      </c>
      <c r="S118">
        <v>8.5160271457960998E-3</v>
      </c>
      <c r="T118" t="b">
        <v>0</v>
      </c>
      <c r="U118" t="b">
        <v>0</v>
      </c>
      <c r="V118" t="b">
        <f t="shared" si="2"/>
        <v>1</v>
      </c>
      <c r="W118">
        <v>0</v>
      </c>
      <c r="Y118">
        <f t="shared" si="3"/>
        <v>0</v>
      </c>
    </row>
    <row r="119" spans="1:25" x14ac:dyDescent="0.3">
      <c r="A119" t="s">
        <v>581</v>
      </c>
      <c r="B119" t="s">
        <v>582</v>
      </c>
      <c r="C119">
        <v>56.98</v>
      </c>
      <c r="D119" s="1">
        <v>45292.690393518518</v>
      </c>
      <c r="E119" t="s">
        <v>57</v>
      </c>
      <c r="F119" t="s">
        <v>64</v>
      </c>
      <c r="G119" t="s">
        <v>583</v>
      </c>
      <c r="H119" t="s">
        <v>584</v>
      </c>
      <c r="I119" t="s">
        <v>585</v>
      </c>
      <c r="J119" t="s">
        <v>30</v>
      </c>
      <c r="K119">
        <v>43</v>
      </c>
      <c r="L119" t="s">
        <v>89</v>
      </c>
      <c r="M119">
        <v>122</v>
      </c>
      <c r="N119">
        <v>2</v>
      </c>
      <c r="O119">
        <v>5688.37</v>
      </c>
      <c r="P119" s="1">
        <v>45600.338680555556</v>
      </c>
      <c r="Q119">
        <v>16</v>
      </c>
      <c r="R119" t="s">
        <v>47</v>
      </c>
      <c r="S119">
        <v>-0.82417151554527801</v>
      </c>
      <c r="T119" t="b">
        <v>0</v>
      </c>
      <c r="U119" t="b">
        <v>1</v>
      </c>
      <c r="V119" t="b">
        <f t="shared" si="2"/>
        <v>1</v>
      </c>
      <c r="W119">
        <v>1</v>
      </c>
      <c r="Y119">
        <f t="shared" si="3"/>
        <v>0</v>
      </c>
    </row>
    <row r="120" spans="1:25" x14ac:dyDescent="0.3">
      <c r="A120" t="s">
        <v>586</v>
      </c>
      <c r="B120" t="s">
        <v>119</v>
      </c>
      <c r="C120">
        <v>407.65</v>
      </c>
      <c r="D120" s="1">
        <v>45114.674745370372</v>
      </c>
      <c r="E120" t="s">
        <v>25</v>
      </c>
      <c r="F120" t="s">
        <v>401</v>
      </c>
      <c r="G120" t="s">
        <v>587</v>
      </c>
      <c r="H120" t="s">
        <v>588</v>
      </c>
      <c r="I120" t="s">
        <v>589</v>
      </c>
      <c r="J120" t="s">
        <v>45</v>
      </c>
      <c r="K120">
        <v>26</v>
      </c>
      <c r="L120" t="s">
        <v>89</v>
      </c>
      <c r="M120">
        <v>62</v>
      </c>
      <c r="N120">
        <v>1</v>
      </c>
      <c r="O120">
        <v>8346.64</v>
      </c>
      <c r="P120" s="1">
        <v>45600.337847222225</v>
      </c>
      <c r="Q120">
        <v>16</v>
      </c>
      <c r="R120" t="s">
        <v>54</v>
      </c>
      <c r="S120">
        <v>0.37697427053238097</v>
      </c>
      <c r="T120" t="b">
        <v>0</v>
      </c>
      <c r="U120" t="b">
        <v>0</v>
      </c>
      <c r="V120" t="b">
        <f t="shared" si="2"/>
        <v>1</v>
      </c>
      <c r="W120">
        <v>0</v>
      </c>
      <c r="Y120">
        <f t="shared" si="3"/>
        <v>0</v>
      </c>
    </row>
    <row r="121" spans="1:25" x14ac:dyDescent="0.3">
      <c r="A121" t="s">
        <v>590</v>
      </c>
      <c r="B121" t="s">
        <v>591</v>
      </c>
      <c r="C121">
        <v>115.83</v>
      </c>
      <c r="D121" s="1">
        <v>45068.715185185189</v>
      </c>
      <c r="E121" t="s">
        <v>25</v>
      </c>
      <c r="F121" t="s">
        <v>571</v>
      </c>
      <c r="G121" t="s">
        <v>592</v>
      </c>
      <c r="H121" t="s">
        <v>300</v>
      </c>
      <c r="I121" t="s">
        <v>585</v>
      </c>
      <c r="J121" t="s">
        <v>81</v>
      </c>
      <c r="K121">
        <v>39</v>
      </c>
      <c r="L121" t="s">
        <v>89</v>
      </c>
      <c r="M121">
        <v>167</v>
      </c>
      <c r="N121">
        <v>1</v>
      </c>
      <c r="O121">
        <v>6481.04</v>
      </c>
      <c r="P121" s="1">
        <v>45600.340300925927</v>
      </c>
      <c r="Q121">
        <v>17</v>
      </c>
      <c r="R121" t="s">
        <v>47</v>
      </c>
      <c r="S121">
        <v>-0.622593309509204</v>
      </c>
      <c r="T121" t="b">
        <v>0</v>
      </c>
      <c r="U121" t="b">
        <v>0</v>
      </c>
      <c r="V121" t="b">
        <f t="shared" si="2"/>
        <v>1</v>
      </c>
      <c r="W121">
        <v>0</v>
      </c>
      <c r="Y121">
        <f t="shared" si="3"/>
        <v>0</v>
      </c>
    </row>
    <row r="122" spans="1:25" x14ac:dyDescent="0.3">
      <c r="A122" t="s">
        <v>593</v>
      </c>
      <c r="B122" t="s">
        <v>594</v>
      </c>
      <c r="C122">
        <v>53.57</v>
      </c>
      <c r="D122" s="1">
        <v>45154.678611111114</v>
      </c>
      <c r="E122" t="s">
        <v>25</v>
      </c>
      <c r="F122" t="s">
        <v>35</v>
      </c>
      <c r="G122" t="s">
        <v>595</v>
      </c>
      <c r="H122" t="s">
        <v>596</v>
      </c>
      <c r="I122" t="s">
        <v>117</v>
      </c>
      <c r="J122" t="s">
        <v>30</v>
      </c>
      <c r="K122">
        <v>69</v>
      </c>
      <c r="L122" t="s">
        <v>82</v>
      </c>
      <c r="M122">
        <v>121</v>
      </c>
      <c r="N122">
        <v>1</v>
      </c>
      <c r="O122">
        <v>1651.33</v>
      </c>
      <c r="P122" s="1">
        <v>45600.339386574073</v>
      </c>
      <c r="Q122">
        <v>16</v>
      </c>
      <c r="R122" t="s">
        <v>74</v>
      </c>
      <c r="S122">
        <v>-0.83585174804456497</v>
      </c>
      <c r="T122" t="b">
        <v>0</v>
      </c>
      <c r="U122" t="b">
        <v>0</v>
      </c>
      <c r="V122" t="b">
        <f t="shared" si="2"/>
        <v>1</v>
      </c>
      <c r="W122">
        <v>0</v>
      </c>
      <c r="Y122">
        <f t="shared" si="3"/>
        <v>0</v>
      </c>
    </row>
    <row r="123" spans="1:25" x14ac:dyDescent="0.3">
      <c r="A123" t="s">
        <v>597</v>
      </c>
      <c r="B123" t="s">
        <v>598</v>
      </c>
      <c r="C123">
        <v>63.34</v>
      </c>
      <c r="D123" s="1">
        <v>45247.668078703704</v>
      </c>
      <c r="E123" t="s">
        <v>57</v>
      </c>
      <c r="F123" t="s">
        <v>85</v>
      </c>
      <c r="G123" t="s">
        <v>599</v>
      </c>
      <c r="H123" t="s">
        <v>600</v>
      </c>
      <c r="I123" t="s">
        <v>178</v>
      </c>
      <c r="J123" t="s">
        <v>45</v>
      </c>
      <c r="K123">
        <v>46</v>
      </c>
      <c r="L123" t="s">
        <v>31</v>
      </c>
      <c r="M123">
        <v>165</v>
      </c>
      <c r="N123">
        <v>1</v>
      </c>
      <c r="O123">
        <v>11174.94</v>
      </c>
      <c r="P123" s="1">
        <v>45600.340428240743</v>
      </c>
      <c r="Q123">
        <v>16</v>
      </c>
      <c r="R123" t="s">
        <v>54</v>
      </c>
      <c r="S123">
        <v>-0.80238668308326599</v>
      </c>
      <c r="T123" t="b">
        <v>0</v>
      </c>
      <c r="U123" t="b">
        <v>0</v>
      </c>
      <c r="V123" t="b">
        <f t="shared" si="2"/>
        <v>1</v>
      </c>
      <c r="W123">
        <v>0</v>
      </c>
      <c r="Y123">
        <f t="shared" si="3"/>
        <v>0</v>
      </c>
    </row>
    <row r="124" spans="1:25" x14ac:dyDescent="0.3">
      <c r="A124" t="s">
        <v>601</v>
      </c>
      <c r="B124" t="s">
        <v>602</v>
      </c>
      <c r="C124">
        <v>317.87</v>
      </c>
      <c r="D124" s="1">
        <v>45068.728877314818</v>
      </c>
      <c r="E124" t="s">
        <v>25</v>
      </c>
      <c r="F124" t="s">
        <v>85</v>
      </c>
      <c r="G124" t="s">
        <v>603</v>
      </c>
      <c r="H124" t="s">
        <v>604</v>
      </c>
      <c r="I124" t="s">
        <v>605</v>
      </c>
      <c r="J124" t="s">
        <v>45</v>
      </c>
      <c r="K124">
        <v>27</v>
      </c>
      <c r="L124" t="s">
        <v>46</v>
      </c>
      <c r="M124">
        <v>91</v>
      </c>
      <c r="N124">
        <v>1</v>
      </c>
      <c r="O124">
        <v>145.5</v>
      </c>
      <c r="P124" s="1">
        <v>45600.34134259259</v>
      </c>
      <c r="Q124">
        <v>17</v>
      </c>
      <c r="R124" t="s">
        <v>47</v>
      </c>
      <c r="S124">
        <v>6.9451902853217895E-2</v>
      </c>
      <c r="T124" t="b">
        <v>0</v>
      </c>
      <c r="U124" t="b">
        <v>0</v>
      </c>
      <c r="V124" t="b">
        <f t="shared" si="2"/>
        <v>1</v>
      </c>
      <c r="W124">
        <v>0</v>
      </c>
      <c r="Y124">
        <f t="shared" si="3"/>
        <v>0</v>
      </c>
    </row>
    <row r="125" spans="1:25" x14ac:dyDescent="0.3">
      <c r="A125" t="s">
        <v>606</v>
      </c>
      <c r="B125" t="s">
        <v>607</v>
      </c>
      <c r="C125">
        <v>331.65</v>
      </c>
      <c r="D125" s="1">
        <v>45163.726469907408</v>
      </c>
      <c r="E125" t="s">
        <v>25</v>
      </c>
      <c r="F125" t="s">
        <v>608</v>
      </c>
      <c r="G125" t="s">
        <v>609</v>
      </c>
      <c r="H125" t="s">
        <v>610</v>
      </c>
      <c r="I125" t="s">
        <v>611</v>
      </c>
      <c r="J125" t="s">
        <v>45</v>
      </c>
      <c r="K125">
        <v>41</v>
      </c>
      <c r="L125" t="s">
        <v>89</v>
      </c>
      <c r="M125">
        <v>61</v>
      </c>
      <c r="N125">
        <v>1</v>
      </c>
      <c r="O125">
        <v>4172.57</v>
      </c>
      <c r="P125" s="1">
        <v>45600.34097222222</v>
      </c>
      <c r="Q125">
        <v>17</v>
      </c>
      <c r="R125" t="s">
        <v>54</v>
      </c>
      <c r="S125">
        <v>0.116652373187578</v>
      </c>
      <c r="T125" t="b">
        <v>0</v>
      </c>
      <c r="U125" t="b">
        <v>0</v>
      </c>
      <c r="V125" t="b">
        <f t="shared" si="2"/>
        <v>1</v>
      </c>
      <c r="W125">
        <v>0</v>
      </c>
      <c r="Y125">
        <f t="shared" si="3"/>
        <v>0</v>
      </c>
    </row>
    <row r="126" spans="1:25" x14ac:dyDescent="0.3">
      <c r="A126" t="s">
        <v>612</v>
      </c>
      <c r="B126" t="s">
        <v>613</v>
      </c>
      <c r="C126">
        <v>5.04</v>
      </c>
      <c r="D126" s="1">
        <v>45257.693449074075</v>
      </c>
      <c r="E126" t="s">
        <v>25</v>
      </c>
      <c r="F126" t="s">
        <v>466</v>
      </c>
      <c r="G126" t="s">
        <v>614</v>
      </c>
      <c r="H126" t="s">
        <v>615</v>
      </c>
      <c r="I126" t="s">
        <v>366</v>
      </c>
      <c r="J126" t="s">
        <v>30</v>
      </c>
      <c r="K126">
        <v>56</v>
      </c>
      <c r="L126" t="s">
        <v>82</v>
      </c>
      <c r="M126">
        <v>41</v>
      </c>
      <c r="N126">
        <v>1</v>
      </c>
      <c r="O126">
        <v>5558.36</v>
      </c>
      <c r="P126" s="1">
        <v>45600.340833333335</v>
      </c>
      <c r="Q126">
        <v>16</v>
      </c>
      <c r="R126" t="s">
        <v>47</v>
      </c>
      <c r="S126">
        <v>-1.0020809806517099</v>
      </c>
      <c r="T126" t="b">
        <v>0</v>
      </c>
      <c r="U126" t="b">
        <v>0</v>
      </c>
      <c r="V126" t="b">
        <f t="shared" si="2"/>
        <v>1</v>
      </c>
      <c r="W126">
        <v>0</v>
      </c>
      <c r="Y126">
        <f t="shared" si="3"/>
        <v>0</v>
      </c>
    </row>
    <row r="127" spans="1:25" x14ac:dyDescent="0.3">
      <c r="A127" t="s">
        <v>616</v>
      </c>
      <c r="B127" t="s">
        <v>617</v>
      </c>
      <c r="C127">
        <v>214.54</v>
      </c>
      <c r="D127" s="1">
        <v>45142.740787037037</v>
      </c>
      <c r="E127" t="s">
        <v>57</v>
      </c>
      <c r="F127" t="s">
        <v>85</v>
      </c>
      <c r="G127" t="s">
        <v>618</v>
      </c>
      <c r="H127" t="s">
        <v>619</v>
      </c>
      <c r="I127" t="s">
        <v>620</v>
      </c>
      <c r="J127" t="s">
        <v>45</v>
      </c>
      <c r="K127">
        <v>70</v>
      </c>
      <c r="L127" t="s">
        <v>31</v>
      </c>
      <c r="M127">
        <v>247</v>
      </c>
      <c r="N127">
        <v>1</v>
      </c>
      <c r="O127">
        <v>11151.53</v>
      </c>
      <c r="P127" s="1">
        <v>45600.341620370367</v>
      </c>
      <c r="Q127">
        <v>17</v>
      </c>
      <c r="R127" t="s">
        <v>54</v>
      </c>
      <c r="S127">
        <v>-0.28448311889202599</v>
      </c>
      <c r="T127" t="b">
        <v>0</v>
      </c>
      <c r="U127" t="b">
        <v>0</v>
      </c>
      <c r="V127" t="b">
        <f t="shared" si="2"/>
        <v>1</v>
      </c>
      <c r="W127">
        <v>0</v>
      </c>
      <c r="Y127">
        <f t="shared" si="3"/>
        <v>0</v>
      </c>
    </row>
    <row r="128" spans="1:25" x14ac:dyDescent="0.3">
      <c r="A128" t="s">
        <v>621</v>
      </c>
      <c r="B128" t="s">
        <v>622</v>
      </c>
      <c r="C128">
        <v>598.80999999999995</v>
      </c>
      <c r="D128" s="1">
        <v>45173.70040509259</v>
      </c>
      <c r="E128" t="s">
        <v>25</v>
      </c>
      <c r="F128" t="s">
        <v>256</v>
      </c>
      <c r="G128" t="s">
        <v>229</v>
      </c>
      <c r="H128" t="s">
        <v>79</v>
      </c>
      <c r="I128" t="s">
        <v>440</v>
      </c>
      <c r="J128" t="s">
        <v>81</v>
      </c>
      <c r="K128">
        <v>57</v>
      </c>
      <c r="L128" t="s">
        <v>31</v>
      </c>
      <c r="M128">
        <v>158</v>
      </c>
      <c r="N128">
        <v>1</v>
      </c>
      <c r="O128">
        <v>1415.52</v>
      </c>
      <c r="P128" s="1">
        <v>45600.340428240743</v>
      </c>
      <c r="Q128">
        <v>16</v>
      </c>
      <c r="R128" t="s">
        <v>47</v>
      </c>
      <c r="S128">
        <v>1.0317523481170201</v>
      </c>
      <c r="T128" t="b">
        <v>0</v>
      </c>
      <c r="U128" t="b">
        <v>0</v>
      </c>
      <c r="V128" t="b">
        <f t="shared" si="2"/>
        <v>1</v>
      </c>
      <c r="W128">
        <v>0</v>
      </c>
      <c r="Y128">
        <f t="shared" si="3"/>
        <v>0</v>
      </c>
    </row>
    <row r="129" spans="1:25" x14ac:dyDescent="0.3">
      <c r="A129" t="s">
        <v>623</v>
      </c>
      <c r="B129" t="s">
        <v>624</v>
      </c>
      <c r="C129">
        <v>841.28</v>
      </c>
      <c r="D129" s="1">
        <v>45147.732245370367</v>
      </c>
      <c r="E129" t="s">
        <v>25</v>
      </c>
      <c r="F129" t="s">
        <v>268</v>
      </c>
      <c r="G129" t="s">
        <v>625</v>
      </c>
      <c r="H129" t="s">
        <v>478</v>
      </c>
      <c r="I129" t="s">
        <v>173</v>
      </c>
      <c r="J129" t="s">
        <v>45</v>
      </c>
      <c r="K129">
        <v>26</v>
      </c>
      <c r="L129" t="s">
        <v>46</v>
      </c>
      <c r="M129">
        <v>80</v>
      </c>
      <c r="N129">
        <v>1</v>
      </c>
      <c r="O129">
        <v>1103.6400000000001</v>
      </c>
      <c r="P129" s="1">
        <v>45600.340254629627</v>
      </c>
      <c r="Q129">
        <v>17</v>
      </c>
      <c r="R129" t="s">
        <v>74</v>
      </c>
      <c r="S129">
        <v>1.8622819592906299</v>
      </c>
      <c r="T129" t="b">
        <v>0</v>
      </c>
      <c r="U129" t="b">
        <v>0</v>
      </c>
      <c r="V129" t="b">
        <f t="shared" si="2"/>
        <v>1</v>
      </c>
      <c r="W129">
        <v>0</v>
      </c>
      <c r="Y129">
        <f t="shared" si="3"/>
        <v>0</v>
      </c>
    </row>
    <row r="130" spans="1:25" x14ac:dyDescent="0.3">
      <c r="A130" t="s">
        <v>626</v>
      </c>
      <c r="B130" t="s">
        <v>397</v>
      </c>
      <c r="C130">
        <v>38.15</v>
      </c>
      <c r="D130" s="1">
        <v>45176.671990740739</v>
      </c>
      <c r="E130" t="s">
        <v>25</v>
      </c>
      <c r="F130" t="s">
        <v>41</v>
      </c>
      <c r="G130" t="s">
        <v>627</v>
      </c>
      <c r="H130" t="s">
        <v>628</v>
      </c>
      <c r="I130" t="s">
        <v>275</v>
      </c>
      <c r="J130" t="s">
        <v>45</v>
      </c>
      <c r="K130">
        <v>26</v>
      </c>
      <c r="L130" t="s">
        <v>46</v>
      </c>
      <c r="M130">
        <v>108</v>
      </c>
      <c r="N130">
        <v>1</v>
      </c>
      <c r="O130">
        <v>303.68</v>
      </c>
      <c r="P130" s="1">
        <v>45600.338680555556</v>
      </c>
      <c r="Q130">
        <v>16</v>
      </c>
      <c r="R130" t="s">
        <v>141</v>
      </c>
      <c r="S130">
        <v>-0.88866969090057601</v>
      </c>
      <c r="T130" t="b">
        <v>0</v>
      </c>
      <c r="U130" t="b">
        <v>0</v>
      </c>
      <c r="V130" t="b">
        <f t="shared" si="2"/>
        <v>1</v>
      </c>
      <c r="W130">
        <v>0</v>
      </c>
      <c r="Y130">
        <f t="shared" si="3"/>
        <v>0</v>
      </c>
    </row>
    <row r="131" spans="1:25" x14ac:dyDescent="0.3">
      <c r="A131" t="s">
        <v>629</v>
      </c>
      <c r="B131" t="s">
        <v>630</v>
      </c>
      <c r="C131">
        <v>1036.6600000000001</v>
      </c>
      <c r="D131" s="1">
        <v>45118.694363425922</v>
      </c>
      <c r="E131" t="s">
        <v>25</v>
      </c>
      <c r="F131" t="s">
        <v>250</v>
      </c>
      <c r="G131" t="s">
        <v>631</v>
      </c>
      <c r="H131" t="s">
        <v>133</v>
      </c>
      <c r="I131" t="s">
        <v>632</v>
      </c>
      <c r="J131" t="s">
        <v>81</v>
      </c>
      <c r="K131">
        <v>58</v>
      </c>
      <c r="L131" t="s">
        <v>31</v>
      </c>
      <c r="M131">
        <v>144</v>
      </c>
      <c r="N131">
        <v>1</v>
      </c>
      <c r="O131">
        <v>5541.57</v>
      </c>
      <c r="P131" s="1">
        <v>45600.339861111112</v>
      </c>
      <c r="Q131">
        <v>16</v>
      </c>
      <c r="R131" t="s">
        <v>32</v>
      </c>
      <c r="S131">
        <v>2.5315147527541502</v>
      </c>
      <c r="T131" t="b">
        <v>1</v>
      </c>
      <c r="U131" t="b">
        <v>0</v>
      </c>
      <c r="V131" t="b">
        <f t="shared" ref="V131:V194" si="4">ISLOGICAL(T131)</f>
        <v>1</v>
      </c>
      <c r="W131">
        <v>1</v>
      </c>
      <c r="Y131">
        <f t="shared" ref="Y131:Y194" si="5">--T131</f>
        <v>1</v>
      </c>
    </row>
    <row r="132" spans="1:25" x14ac:dyDescent="0.3">
      <c r="A132" t="s">
        <v>633</v>
      </c>
      <c r="B132" t="s">
        <v>634</v>
      </c>
      <c r="C132">
        <v>124.72</v>
      </c>
      <c r="D132" s="1">
        <v>45110.718136574076</v>
      </c>
      <c r="E132" t="s">
        <v>25</v>
      </c>
      <c r="F132" t="s">
        <v>64</v>
      </c>
      <c r="G132" t="s">
        <v>635</v>
      </c>
      <c r="H132" t="s">
        <v>636</v>
      </c>
      <c r="I132" t="s">
        <v>445</v>
      </c>
      <c r="J132" t="s">
        <v>81</v>
      </c>
      <c r="K132">
        <v>33</v>
      </c>
      <c r="L132" t="s">
        <v>89</v>
      </c>
      <c r="M132">
        <v>105</v>
      </c>
      <c r="N132">
        <v>1</v>
      </c>
      <c r="O132">
        <v>6309.8</v>
      </c>
      <c r="P132" s="1">
        <v>45600.338483796295</v>
      </c>
      <c r="Q132">
        <v>17</v>
      </c>
      <c r="R132" t="s">
        <v>47</v>
      </c>
      <c r="S132">
        <v>-0.59214249809610797</v>
      </c>
      <c r="T132" t="b">
        <v>0</v>
      </c>
      <c r="U132" t="b">
        <v>0</v>
      </c>
      <c r="V132" t="b">
        <f t="shared" si="4"/>
        <v>1</v>
      </c>
      <c r="W132">
        <v>0</v>
      </c>
      <c r="Y132">
        <f t="shared" si="5"/>
        <v>0</v>
      </c>
    </row>
    <row r="133" spans="1:25" x14ac:dyDescent="0.3">
      <c r="A133" t="s">
        <v>637</v>
      </c>
      <c r="B133" t="s">
        <v>638</v>
      </c>
      <c r="C133">
        <v>302.45</v>
      </c>
      <c r="D133" s="1">
        <v>45194.717777777776</v>
      </c>
      <c r="E133" t="s">
        <v>57</v>
      </c>
      <c r="F133" t="s">
        <v>250</v>
      </c>
      <c r="G133" t="s">
        <v>639</v>
      </c>
      <c r="H133" t="s">
        <v>640</v>
      </c>
      <c r="I133" t="s">
        <v>140</v>
      </c>
      <c r="J133" t="s">
        <v>81</v>
      </c>
      <c r="K133">
        <v>78</v>
      </c>
      <c r="L133" t="s">
        <v>82</v>
      </c>
      <c r="M133">
        <v>40</v>
      </c>
      <c r="N133">
        <v>1</v>
      </c>
      <c r="O133">
        <v>5133.6099999999997</v>
      </c>
      <c r="P133" s="1">
        <v>45600.341608796298</v>
      </c>
      <c r="Q133">
        <v>17</v>
      </c>
      <c r="R133" t="s">
        <v>47</v>
      </c>
      <c r="S133">
        <v>1.6633959997206401E-2</v>
      </c>
      <c r="T133" t="b">
        <v>0</v>
      </c>
      <c r="U133" t="b">
        <v>0</v>
      </c>
      <c r="V133" t="b">
        <f t="shared" si="4"/>
        <v>1</v>
      </c>
      <c r="W133">
        <v>0</v>
      </c>
      <c r="Y133">
        <f t="shared" si="5"/>
        <v>0</v>
      </c>
    </row>
    <row r="134" spans="1:25" x14ac:dyDescent="0.3">
      <c r="A134" t="s">
        <v>641</v>
      </c>
      <c r="B134" t="s">
        <v>642</v>
      </c>
      <c r="C134">
        <v>208.04</v>
      </c>
      <c r="D134" s="1">
        <v>45250.715300925927</v>
      </c>
      <c r="E134" t="s">
        <v>25</v>
      </c>
      <c r="F134" t="s">
        <v>120</v>
      </c>
      <c r="G134" t="s">
        <v>643</v>
      </c>
      <c r="H134" t="s">
        <v>644</v>
      </c>
      <c r="I134" t="s">
        <v>301</v>
      </c>
      <c r="J134" t="s">
        <v>45</v>
      </c>
      <c r="K134">
        <v>47</v>
      </c>
      <c r="L134" t="s">
        <v>89</v>
      </c>
      <c r="M134">
        <v>273</v>
      </c>
      <c r="N134">
        <v>1</v>
      </c>
      <c r="O134">
        <v>9344.98</v>
      </c>
      <c r="P134" s="1">
        <v>45600.339409722219</v>
      </c>
      <c r="Q134">
        <v>17</v>
      </c>
      <c r="R134" t="s">
        <v>47</v>
      </c>
      <c r="S134">
        <v>-0.30674749169125198</v>
      </c>
      <c r="T134" t="b">
        <v>0</v>
      </c>
      <c r="U134" t="b">
        <v>0</v>
      </c>
      <c r="V134" t="b">
        <f t="shared" si="4"/>
        <v>1</v>
      </c>
      <c r="W134">
        <v>0</v>
      </c>
      <c r="Y134">
        <f t="shared" si="5"/>
        <v>0</v>
      </c>
    </row>
    <row r="135" spans="1:25" x14ac:dyDescent="0.3">
      <c r="A135" t="s">
        <v>645</v>
      </c>
      <c r="B135" t="s">
        <v>582</v>
      </c>
      <c r="C135">
        <v>5.77</v>
      </c>
      <c r="D135" s="1">
        <v>45247.727164351854</v>
      </c>
      <c r="E135" t="s">
        <v>57</v>
      </c>
      <c r="F135" t="s">
        <v>153</v>
      </c>
      <c r="G135" t="s">
        <v>646</v>
      </c>
      <c r="H135" t="s">
        <v>580</v>
      </c>
      <c r="I135" t="s">
        <v>647</v>
      </c>
      <c r="J135" t="s">
        <v>81</v>
      </c>
      <c r="K135">
        <v>23</v>
      </c>
      <c r="L135" t="s">
        <v>46</v>
      </c>
      <c r="M135">
        <v>254</v>
      </c>
      <c r="N135">
        <v>1</v>
      </c>
      <c r="O135">
        <v>1117.97</v>
      </c>
      <c r="P135" s="1">
        <v>45600.340891203705</v>
      </c>
      <c r="Q135">
        <v>17</v>
      </c>
      <c r="R135" t="s">
        <v>54</v>
      </c>
      <c r="S135">
        <v>-0.99958052032195499</v>
      </c>
      <c r="T135" t="b">
        <v>0</v>
      </c>
      <c r="U135" t="b">
        <v>0</v>
      </c>
      <c r="V135" t="b">
        <f t="shared" si="4"/>
        <v>1</v>
      </c>
      <c r="W135">
        <v>0</v>
      </c>
      <c r="Y135">
        <f t="shared" si="5"/>
        <v>0</v>
      </c>
    </row>
    <row r="136" spans="1:25" x14ac:dyDescent="0.3">
      <c r="A136" t="s">
        <v>648</v>
      </c>
      <c r="B136" t="s">
        <v>649</v>
      </c>
      <c r="C136">
        <v>381.33</v>
      </c>
      <c r="D136" s="1">
        <v>45159.69866898148</v>
      </c>
      <c r="E136" t="s">
        <v>25</v>
      </c>
      <c r="F136" t="s">
        <v>98</v>
      </c>
      <c r="G136" t="s">
        <v>650</v>
      </c>
      <c r="H136" t="s">
        <v>651</v>
      </c>
      <c r="I136" t="s">
        <v>652</v>
      </c>
      <c r="J136" t="s">
        <v>30</v>
      </c>
      <c r="K136">
        <v>56</v>
      </c>
      <c r="L136" t="s">
        <v>31</v>
      </c>
      <c r="M136">
        <v>75</v>
      </c>
      <c r="N136">
        <v>1</v>
      </c>
      <c r="O136">
        <v>11835.35</v>
      </c>
      <c r="P136" s="1">
        <v>45600.339953703704</v>
      </c>
      <c r="Q136">
        <v>16</v>
      </c>
      <c r="R136" t="s">
        <v>47</v>
      </c>
      <c r="S136">
        <v>0.28682068713612802</v>
      </c>
      <c r="T136" t="b">
        <v>0</v>
      </c>
      <c r="U136" t="b">
        <v>0</v>
      </c>
      <c r="V136" t="b">
        <f t="shared" si="4"/>
        <v>1</v>
      </c>
      <c r="W136">
        <v>0</v>
      </c>
      <c r="Y136">
        <f t="shared" si="5"/>
        <v>0</v>
      </c>
    </row>
    <row r="137" spans="1:25" x14ac:dyDescent="0.3">
      <c r="A137" t="s">
        <v>653</v>
      </c>
      <c r="B137" t="s">
        <v>654</v>
      </c>
      <c r="C137">
        <v>16.16</v>
      </c>
      <c r="D137" s="1">
        <v>45215.708055555559</v>
      </c>
      <c r="E137" t="s">
        <v>25</v>
      </c>
      <c r="F137" t="s">
        <v>191</v>
      </c>
      <c r="G137" t="s">
        <v>655</v>
      </c>
      <c r="H137" t="s">
        <v>656</v>
      </c>
      <c r="I137" t="s">
        <v>162</v>
      </c>
      <c r="J137" t="s">
        <v>30</v>
      </c>
      <c r="K137">
        <v>50</v>
      </c>
      <c r="L137" t="s">
        <v>31</v>
      </c>
      <c r="M137">
        <v>124</v>
      </c>
      <c r="N137">
        <v>1</v>
      </c>
      <c r="O137">
        <v>14401.17</v>
      </c>
      <c r="P137" s="1">
        <v>45600.34165509259</v>
      </c>
      <c r="Q137">
        <v>16</v>
      </c>
      <c r="R137" t="s">
        <v>47</v>
      </c>
      <c r="S137">
        <v>-0.96399177672442105</v>
      </c>
      <c r="T137" t="b">
        <v>0</v>
      </c>
      <c r="U137" t="b">
        <v>0</v>
      </c>
      <c r="V137" t="b">
        <f t="shared" si="4"/>
        <v>1</v>
      </c>
      <c r="W137">
        <v>0</v>
      </c>
      <c r="Y137">
        <f t="shared" si="5"/>
        <v>0</v>
      </c>
    </row>
    <row r="138" spans="1:25" x14ac:dyDescent="0.3">
      <c r="A138" t="s">
        <v>657</v>
      </c>
      <c r="B138" t="s">
        <v>617</v>
      </c>
      <c r="C138">
        <v>486.08</v>
      </c>
      <c r="D138" s="1">
        <v>45097.723495370374</v>
      </c>
      <c r="E138" t="s">
        <v>25</v>
      </c>
      <c r="F138" t="s">
        <v>64</v>
      </c>
      <c r="G138" t="s">
        <v>658</v>
      </c>
      <c r="H138" t="s">
        <v>659</v>
      </c>
      <c r="I138" t="s">
        <v>419</v>
      </c>
      <c r="J138" t="s">
        <v>45</v>
      </c>
      <c r="K138">
        <v>18</v>
      </c>
      <c r="L138" t="s">
        <v>46</v>
      </c>
      <c r="M138">
        <v>68</v>
      </c>
      <c r="N138">
        <v>1</v>
      </c>
      <c r="O138">
        <v>1748.69</v>
      </c>
      <c r="P138" s="1">
        <v>45600.338229166664</v>
      </c>
      <c r="Q138">
        <v>17</v>
      </c>
      <c r="R138" t="s">
        <v>32</v>
      </c>
      <c r="S138">
        <v>0.64561961801597201</v>
      </c>
      <c r="T138" t="b">
        <v>0</v>
      </c>
      <c r="U138" t="b">
        <v>0</v>
      </c>
      <c r="V138" t="b">
        <f t="shared" si="4"/>
        <v>1</v>
      </c>
      <c r="W138">
        <v>0</v>
      </c>
      <c r="Y138">
        <f t="shared" si="5"/>
        <v>0</v>
      </c>
    </row>
    <row r="139" spans="1:25" x14ac:dyDescent="0.3">
      <c r="A139" t="s">
        <v>660</v>
      </c>
      <c r="B139" t="s">
        <v>661</v>
      </c>
      <c r="C139">
        <v>336.39</v>
      </c>
      <c r="D139" s="1">
        <v>44942.703912037039</v>
      </c>
      <c r="E139" t="s">
        <v>25</v>
      </c>
      <c r="F139" t="s">
        <v>250</v>
      </c>
      <c r="G139" t="s">
        <v>662</v>
      </c>
      <c r="H139" t="s">
        <v>640</v>
      </c>
      <c r="I139" t="s">
        <v>375</v>
      </c>
      <c r="J139" t="s">
        <v>81</v>
      </c>
      <c r="K139">
        <v>21</v>
      </c>
      <c r="L139" t="s">
        <v>46</v>
      </c>
      <c r="M139">
        <v>18</v>
      </c>
      <c r="N139">
        <v>1</v>
      </c>
      <c r="O139">
        <v>1000.46</v>
      </c>
      <c r="P139" s="1">
        <v>45600.340243055558</v>
      </c>
      <c r="Q139">
        <v>16</v>
      </c>
      <c r="R139" t="s">
        <v>47</v>
      </c>
      <c r="S139">
        <v>0.132888238890398</v>
      </c>
      <c r="T139" t="b">
        <v>0</v>
      </c>
      <c r="U139" t="b">
        <v>0</v>
      </c>
      <c r="V139" t="b">
        <f t="shared" si="4"/>
        <v>1</v>
      </c>
      <c r="W139">
        <v>0</v>
      </c>
      <c r="Y139">
        <f t="shared" si="5"/>
        <v>0</v>
      </c>
    </row>
    <row r="140" spans="1:25" x14ac:dyDescent="0.3">
      <c r="A140" t="s">
        <v>663</v>
      </c>
      <c r="B140" t="s">
        <v>245</v>
      </c>
      <c r="C140">
        <v>997.43</v>
      </c>
      <c r="D140" s="1">
        <v>45252.671747685185</v>
      </c>
      <c r="E140" t="s">
        <v>25</v>
      </c>
      <c r="F140" t="s">
        <v>70</v>
      </c>
      <c r="G140" t="s">
        <v>305</v>
      </c>
      <c r="H140" t="s">
        <v>664</v>
      </c>
      <c r="I140" t="s">
        <v>665</v>
      </c>
      <c r="J140" t="s">
        <v>45</v>
      </c>
      <c r="K140">
        <v>69</v>
      </c>
      <c r="L140" t="s">
        <v>31</v>
      </c>
      <c r="M140">
        <v>118</v>
      </c>
      <c r="N140">
        <v>1</v>
      </c>
      <c r="O140">
        <v>6810.05</v>
      </c>
      <c r="P140" s="1">
        <v>45600.339178240742</v>
      </c>
      <c r="Q140">
        <v>16</v>
      </c>
      <c r="R140" t="s">
        <v>74</v>
      </c>
      <c r="S140">
        <v>2.3971406996905098</v>
      </c>
      <c r="T140" t="b">
        <v>1</v>
      </c>
      <c r="U140" t="b">
        <v>0</v>
      </c>
      <c r="V140" t="b">
        <f t="shared" si="4"/>
        <v>1</v>
      </c>
      <c r="W140">
        <v>1</v>
      </c>
      <c r="Y140">
        <f t="shared" si="5"/>
        <v>1</v>
      </c>
    </row>
    <row r="141" spans="1:25" x14ac:dyDescent="0.3">
      <c r="A141" t="s">
        <v>666</v>
      </c>
      <c r="B141" t="s">
        <v>91</v>
      </c>
      <c r="C141">
        <v>234.57</v>
      </c>
      <c r="D141" s="1">
        <v>45170.673009259262</v>
      </c>
      <c r="E141" t="s">
        <v>25</v>
      </c>
      <c r="F141" t="s">
        <v>278</v>
      </c>
      <c r="G141" t="s">
        <v>667</v>
      </c>
      <c r="H141" t="s">
        <v>668</v>
      </c>
      <c r="I141" t="s">
        <v>427</v>
      </c>
      <c r="J141" t="s">
        <v>45</v>
      </c>
      <c r="K141">
        <v>23</v>
      </c>
      <c r="L141" t="s">
        <v>46</v>
      </c>
      <c r="M141">
        <v>120</v>
      </c>
      <c r="N141">
        <v>1</v>
      </c>
      <c r="O141">
        <v>263.98</v>
      </c>
      <c r="P141" s="1">
        <v>45600.339432870373</v>
      </c>
      <c r="Q141">
        <v>16</v>
      </c>
      <c r="R141" t="s">
        <v>54</v>
      </c>
      <c r="S141">
        <v>-0.215874597789178</v>
      </c>
      <c r="T141" t="b">
        <v>0</v>
      </c>
      <c r="U141" t="b">
        <v>0</v>
      </c>
      <c r="V141" t="b">
        <f t="shared" si="4"/>
        <v>1</v>
      </c>
      <c r="W141">
        <v>0</v>
      </c>
      <c r="Y141">
        <f t="shared" si="5"/>
        <v>0</v>
      </c>
    </row>
    <row r="142" spans="1:25" x14ac:dyDescent="0.3">
      <c r="A142" t="s">
        <v>669</v>
      </c>
      <c r="B142" t="s">
        <v>670</v>
      </c>
      <c r="C142">
        <v>6</v>
      </c>
      <c r="D142" s="1">
        <v>45222.776562500003</v>
      </c>
      <c r="E142" t="s">
        <v>25</v>
      </c>
      <c r="F142" t="s">
        <v>278</v>
      </c>
      <c r="G142" t="s">
        <v>671</v>
      </c>
      <c r="H142" t="s">
        <v>516</v>
      </c>
      <c r="I142" t="s">
        <v>290</v>
      </c>
      <c r="J142" t="s">
        <v>45</v>
      </c>
      <c r="K142">
        <v>30</v>
      </c>
      <c r="L142" t="s">
        <v>31</v>
      </c>
      <c r="M142">
        <v>246</v>
      </c>
      <c r="N142">
        <v>1</v>
      </c>
      <c r="O142">
        <v>5442.76</v>
      </c>
      <c r="P142" s="1">
        <v>45600.340081018519</v>
      </c>
      <c r="Q142">
        <v>18</v>
      </c>
      <c r="R142" t="s">
        <v>47</v>
      </c>
      <c r="S142">
        <v>-0.99879270405367404</v>
      </c>
      <c r="T142" t="b">
        <v>0</v>
      </c>
      <c r="U142" t="b">
        <v>0</v>
      </c>
      <c r="V142" t="b">
        <f t="shared" si="4"/>
        <v>1</v>
      </c>
      <c r="W142">
        <v>0</v>
      </c>
      <c r="Y142">
        <f t="shared" si="5"/>
        <v>0</v>
      </c>
    </row>
    <row r="143" spans="1:25" x14ac:dyDescent="0.3">
      <c r="A143" t="s">
        <v>672</v>
      </c>
      <c r="B143" t="s">
        <v>673</v>
      </c>
      <c r="C143">
        <v>1049.92</v>
      </c>
      <c r="D143" s="1">
        <v>45222.701770833337</v>
      </c>
      <c r="E143" t="s">
        <v>25</v>
      </c>
      <c r="F143" t="s">
        <v>85</v>
      </c>
      <c r="G143" t="s">
        <v>674</v>
      </c>
      <c r="H143" t="s">
        <v>675</v>
      </c>
      <c r="I143" t="s">
        <v>38</v>
      </c>
      <c r="J143" t="s">
        <v>30</v>
      </c>
      <c r="K143">
        <v>80</v>
      </c>
      <c r="L143" t="s">
        <v>82</v>
      </c>
      <c r="M143">
        <v>21</v>
      </c>
      <c r="N143">
        <v>1</v>
      </c>
      <c r="O143">
        <v>2037.85</v>
      </c>
      <c r="P143" s="1">
        <v>45600.340671296297</v>
      </c>
      <c r="Q143">
        <v>16</v>
      </c>
      <c r="R143" t="s">
        <v>47</v>
      </c>
      <c r="S143">
        <v>2.57693407326457</v>
      </c>
      <c r="T143" t="b">
        <v>1</v>
      </c>
      <c r="U143" t="b">
        <v>0</v>
      </c>
      <c r="V143" t="b">
        <f t="shared" si="4"/>
        <v>1</v>
      </c>
      <c r="W143">
        <v>1</v>
      </c>
      <c r="Y143">
        <f t="shared" si="5"/>
        <v>1</v>
      </c>
    </row>
    <row r="144" spans="1:25" x14ac:dyDescent="0.3">
      <c r="A144" t="s">
        <v>676</v>
      </c>
      <c r="B144" t="s">
        <v>677</v>
      </c>
      <c r="C144">
        <v>227.14</v>
      </c>
      <c r="D144" s="1">
        <v>45110.737592592595</v>
      </c>
      <c r="E144" t="s">
        <v>25</v>
      </c>
      <c r="F144" t="s">
        <v>262</v>
      </c>
      <c r="G144" t="s">
        <v>678</v>
      </c>
      <c r="H144" t="s">
        <v>279</v>
      </c>
      <c r="I144" t="s">
        <v>112</v>
      </c>
      <c r="J144" t="s">
        <v>30</v>
      </c>
      <c r="K144">
        <v>18</v>
      </c>
      <c r="L144" t="s">
        <v>46</v>
      </c>
      <c r="M144">
        <v>294</v>
      </c>
      <c r="N144">
        <v>1</v>
      </c>
      <c r="O144">
        <v>341.94</v>
      </c>
      <c r="P144" s="1">
        <v>45600.341365740744</v>
      </c>
      <c r="Q144">
        <v>17</v>
      </c>
      <c r="R144" t="s">
        <v>47</v>
      </c>
      <c r="S144">
        <v>-0.24132448854275501</v>
      </c>
      <c r="T144" t="b">
        <v>0</v>
      </c>
      <c r="U144" t="b">
        <v>0</v>
      </c>
      <c r="V144" t="b">
        <f t="shared" si="4"/>
        <v>1</v>
      </c>
      <c r="W144">
        <v>0</v>
      </c>
      <c r="Y144">
        <f t="shared" si="5"/>
        <v>0</v>
      </c>
    </row>
    <row r="145" spans="1:25" x14ac:dyDescent="0.3">
      <c r="A145" t="s">
        <v>679</v>
      </c>
      <c r="B145" t="s">
        <v>680</v>
      </c>
      <c r="C145">
        <v>233.74</v>
      </c>
      <c r="D145" s="1">
        <v>45223.695138888892</v>
      </c>
      <c r="E145" t="s">
        <v>57</v>
      </c>
      <c r="F145" t="s">
        <v>64</v>
      </c>
      <c r="G145" t="s">
        <v>681</v>
      </c>
      <c r="H145" t="s">
        <v>536</v>
      </c>
      <c r="I145" t="s">
        <v>107</v>
      </c>
      <c r="J145" t="s">
        <v>45</v>
      </c>
      <c r="K145">
        <v>66</v>
      </c>
      <c r="L145" t="s">
        <v>82</v>
      </c>
      <c r="M145">
        <v>17</v>
      </c>
      <c r="N145">
        <v>1</v>
      </c>
      <c r="O145">
        <v>1066.5899999999999</v>
      </c>
      <c r="P145" s="1">
        <v>45600.341168981482</v>
      </c>
      <c r="Q145">
        <v>16</v>
      </c>
      <c r="R145" t="s">
        <v>32</v>
      </c>
      <c r="S145">
        <v>-0.218717586931233</v>
      </c>
      <c r="T145" t="b">
        <v>0</v>
      </c>
      <c r="U145" t="b">
        <v>0</v>
      </c>
      <c r="V145" t="b">
        <f t="shared" si="4"/>
        <v>1</v>
      </c>
      <c r="W145">
        <v>0</v>
      </c>
      <c r="Y145">
        <f t="shared" si="5"/>
        <v>0</v>
      </c>
    </row>
    <row r="146" spans="1:25" x14ac:dyDescent="0.3">
      <c r="A146" t="s">
        <v>682</v>
      </c>
      <c r="B146" t="s">
        <v>542</v>
      </c>
      <c r="C146">
        <v>113.02</v>
      </c>
      <c r="D146" s="1">
        <v>45194.704421296294</v>
      </c>
      <c r="E146" t="s">
        <v>57</v>
      </c>
      <c r="F146" t="s">
        <v>405</v>
      </c>
      <c r="G146" t="s">
        <v>683</v>
      </c>
      <c r="H146" t="s">
        <v>684</v>
      </c>
      <c r="I146" t="s">
        <v>73</v>
      </c>
      <c r="J146" t="s">
        <v>81</v>
      </c>
      <c r="K146">
        <v>69</v>
      </c>
      <c r="L146" t="s">
        <v>82</v>
      </c>
      <c r="M146">
        <v>166</v>
      </c>
      <c r="N146">
        <v>1</v>
      </c>
      <c r="O146">
        <v>6077.96</v>
      </c>
      <c r="P146" s="1">
        <v>45600.338437500002</v>
      </c>
      <c r="Q146">
        <v>16</v>
      </c>
      <c r="R146" t="s">
        <v>47</v>
      </c>
      <c r="S146">
        <v>-0.63221836913471596</v>
      </c>
      <c r="T146" t="b">
        <v>0</v>
      </c>
      <c r="U146" t="b">
        <v>0</v>
      </c>
      <c r="V146" t="b">
        <f t="shared" si="4"/>
        <v>1</v>
      </c>
      <c r="W146">
        <v>0</v>
      </c>
      <c r="Y146">
        <f t="shared" si="5"/>
        <v>0</v>
      </c>
    </row>
    <row r="147" spans="1:25" x14ac:dyDescent="0.3">
      <c r="A147" t="s">
        <v>685</v>
      </c>
      <c r="B147" t="s">
        <v>368</v>
      </c>
      <c r="C147">
        <v>45.85</v>
      </c>
      <c r="D147" s="1">
        <v>44973.748032407406</v>
      </c>
      <c r="E147" t="s">
        <v>25</v>
      </c>
      <c r="F147" t="s">
        <v>153</v>
      </c>
      <c r="G147" t="s">
        <v>71</v>
      </c>
      <c r="H147" t="s">
        <v>686</v>
      </c>
      <c r="I147" t="s">
        <v>687</v>
      </c>
      <c r="J147" t="s">
        <v>30</v>
      </c>
      <c r="K147">
        <v>20</v>
      </c>
      <c r="L147" t="s">
        <v>46</v>
      </c>
      <c r="M147">
        <v>92</v>
      </c>
      <c r="N147">
        <v>1</v>
      </c>
      <c r="O147">
        <v>1659.15</v>
      </c>
      <c r="P147" s="1">
        <v>45600.338472222225</v>
      </c>
      <c r="Q147">
        <v>17</v>
      </c>
      <c r="R147" t="s">
        <v>141</v>
      </c>
      <c r="S147">
        <v>-0.86229497235380004</v>
      </c>
      <c r="T147" t="b">
        <v>0</v>
      </c>
      <c r="U147" t="b">
        <v>0</v>
      </c>
      <c r="V147" t="b">
        <f t="shared" si="4"/>
        <v>1</v>
      </c>
      <c r="W147">
        <v>0</v>
      </c>
      <c r="Y147">
        <f t="shared" si="5"/>
        <v>0</v>
      </c>
    </row>
    <row r="148" spans="1:25" x14ac:dyDescent="0.3">
      <c r="A148" t="s">
        <v>688</v>
      </c>
      <c r="B148" t="s">
        <v>91</v>
      </c>
      <c r="C148">
        <v>973.39</v>
      </c>
      <c r="D148" s="1">
        <v>45168.724537037036</v>
      </c>
      <c r="E148" t="s">
        <v>25</v>
      </c>
      <c r="F148" t="s">
        <v>298</v>
      </c>
      <c r="G148" t="s">
        <v>689</v>
      </c>
      <c r="H148" t="s">
        <v>690</v>
      </c>
      <c r="I148" t="s">
        <v>620</v>
      </c>
      <c r="J148" t="s">
        <v>81</v>
      </c>
      <c r="K148">
        <v>77</v>
      </c>
      <c r="L148" t="s">
        <v>82</v>
      </c>
      <c r="M148">
        <v>296</v>
      </c>
      <c r="N148">
        <v>1</v>
      </c>
      <c r="O148">
        <v>2042.22</v>
      </c>
      <c r="P148" s="1">
        <v>45600.341481481482</v>
      </c>
      <c r="Q148">
        <v>17</v>
      </c>
      <c r="R148" t="s">
        <v>74</v>
      </c>
      <c r="S148">
        <v>2.3147967732146002</v>
      </c>
      <c r="T148" t="b">
        <v>1</v>
      </c>
      <c r="U148" t="b">
        <v>0</v>
      </c>
      <c r="V148" t="b">
        <f t="shared" si="4"/>
        <v>1</v>
      </c>
      <c r="W148">
        <v>1</v>
      </c>
      <c r="Y148">
        <f t="shared" si="5"/>
        <v>1</v>
      </c>
    </row>
    <row r="149" spans="1:25" x14ac:dyDescent="0.3">
      <c r="A149" t="s">
        <v>691</v>
      </c>
      <c r="B149" t="s">
        <v>692</v>
      </c>
      <c r="C149">
        <v>514.95000000000005</v>
      </c>
      <c r="D149" s="1">
        <v>45029.776250000003</v>
      </c>
      <c r="E149" t="s">
        <v>25</v>
      </c>
      <c r="F149" t="s">
        <v>216</v>
      </c>
      <c r="G149" t="s">
        <v>693</v>
      </c>
      <c r="H149" t="s">
        <v>694</v>
      </c>
      <c r="I149" t="s">
        <v>695</v>
      </c>
      <c r="J149" t="s">
        <v>45</v>
      </c>
      <c r="K149">
        <v>41</v>
      </c>
      <c r="L149" t="s">
        <v>31</v>
      </c>
      <c r="M149">
        <v>142</v>
      </c>
      <c r="N149">
        <v>5</v>
      </c>
      <c r="O149">
        <v>421.93</v>
      </c>
      <c r="P149" s="1">
        <v>45600.340289351851</v>
      </c>
      <c r="Q149">
        <v>18</v>
      </c>
      <c r="R149" t="s">
        <v>141</v>
      </c>
      <c r="S149">
        <v>0.74450768612576801</v>
      </c>
      <c r="T149" t="b">
        <v>0</v>
      </c>
      <c r="U149" t="b">
        <v>1</v>
      </c>
      <c r="V149" t="b">
        <f t="shared" si="4"/>
        <v>1</v>
      </c>
      <c r="W149">
        <v>1</v>
      </c>
      <c r="Y149">
        <f t="shared" si="5"/>
        <v>0</v>
      </c>
    </row>
    <row r="150" spans="1:25" x14ac:dyDescent="0.3">
      <c r="A150" t="s">
        <v>696</v>
      </c>
      <c r="B150" t="s">
        <v>697</v>
      </c>
      <c r="C150">
        <v>415.5</v>
      </c>
      <c r="D150" s="1">
        <v>45135.687071759261</v>
      </c>
      <c r="E150" t="s">
        <v>25</v>
      </c>
      <c r="F150" t="s">
        <v>104</v>
      </c>
      <c r="G150" t="s">
        <v>698</v>
      </c>
      <c r="H150" t="s">
        <v>72</v>
      </c>
      <c r="I150" t="s">
        <v>556</v>
      </c>
      <c r="J150" t="s">
        <v>30</v>
      </c>
      <c r="K150">
        <v>66</v>
      </c>
      <c r="L150" t="s">
        <v>31</v>
      </c>
      <c r="M150">
        <v>141</v>
      </c>
      <c r="N150">
        <v>1</v>
      </c>
      <c r="O150">
        <v>10113.66</v>
      </c>
      <c r="P150" s="1">
        <v>45600.340543981481</v>
      </c>
      <c r="Q150">
        <v>16</v>
      </c>
      <c r="R150" t="s">
        <v>54</v>
      </c>
      <c r="S150">
        <v>0.40386278229760098</v>
      </c>
      <c r="T150" t="b">
        <v>0</v>
      </c>
      <c r="U150" t="b">
        <v>0</v>
      </c>
      <c r="V150" t="b">
        <f t="shared" si="4"/>
        <v>1</v>
      </c>
      <c r="W150">
        <v>0</v>
      </c>
      <c r="Y150">
        <f t="shared" si="5"/>
        <v>0</v>
      </c>
    </row>
    <row r="151" spans="1:25" x14ac:dyDescent="0.3">
      <c r="A151" t="s">
        <v>699</v>
      </c>
      <c r="B151" t="s">
        <v>700</v>
      </c>
      <c r="C151">
        <v>265.76</v>
      </c>
      <c r="D151" s="1">
        <v>44963.742303240739</v>
      </c>
      <c r="E151" t="s">
        <v>25</v>
      </c>
      <c r="F151" t="s">
        <v>256</v>
      </c>
      <c r="G151" t="s">
        <v>701</v>
      </c>
      <c r="H151" t="s">
        <v>702</v>
      </c>
      <c r="I151" t="s">
        <v>487</v>
      </c>
      <c r="J151" t="s">
        <v>45</v>
      </c>
      <c r="K151">
        <v>54</v>
      </c>
      <c r="L151" t="s">
        <v>82</v>
      </c>
      <c r="M151">
        <v>92</v>
      </c>
      <c r="N151">
        <v>1</v>
      </c>
      <c r="O151">
        <v>4446.17</v>
      </c>
      <c r="P151" s="1">
        <v>45600.341874999998</v>
      </c>
      <c r="Q151">
        <v>17</v>
      </c>
      <c r="R151" t="s">
        <v>47</v>
      </c>
      <c r="S151">
        <v>-0.10903986123412</v>
      </c>
      <c r="T151" t="b">
        <v>0</v>
      </c>
      <c r="U151" t="b">
        <v>0</v>
      </c>
      <c r="V151" t="b">
        <f t="shared" si="4"/>
        <v>1</v>
      </c>
      <c r="W151">
        <v>0</v>
      </c>
      <c r="Y151">
        <f t="shared" si="5"/>
        <v>0</v>
      </c>
    </row>
    <row r="152" spans="1:25" x14ac:dyDescent="0.3">
      <c r="A152" t="s">
        <v>703</v>
      </c>
      <c r="B152" t="s">
        <v>704</v>
      </c>
      <c r="C152">
        <v>69.400000000000006</v>
      </c>
      <c r="D152" s="1">
        <v>45131.756053240744</v>
      </c>
      <c r="E152" t="s">
        <v>25</v>
      </c>
      <c r="F152" t="s">
        <v>314</v>
      </c>
      <c r="G152" t="s">
        <v>705</v>
      </c>
      <c r="H152" t="s">
        <v>548</v>
      </c>
      <c r="I152" t="s">
        <v>101</v>
      </c>
      <c r="J152" t="s">
        <v>45</v>
      </c>
      <c r="K152">
        <v>80</v>
      </c>
      <c r="L152" t="s">
        <v>82</v>
      </c>
      <c r="M152">
        <v>113</v>
      </c>
      <c r="N152">
        <v>1</v>
      </c>
      <c r="O152">
        <v>6452.77</v>
      </c>
      <c r="P152" s="1">
        <v>45600.339629629627</v>
      </c>
      <c r="Q152">
        <v>18</v>
      </c>
      <c r="R152" t="s">
        <v>47</v>
      </c>
      <c r="S152">
        <v>-0.78162943705814103</v>
      </c>
      <c r="T152" t="b">
        <v>0</v>
      </c>
      <c r="U152" t="b">
        <v>0</v>
      </c>
      <c r="V152" t="b">
        <f t="shared" si="4"/>
        <v>1</v>
      </c>
      <c r="W152">
        <v>0</v>
      </c>
      <c r="Y152">
        <f t="shared" si="5"/>
        <v>0</v>
      </c>
    </row>
    <row r="153" spans="1:25" x14ac:dyDescent="0.3">
      <c r="A153" t="s">
        <v>706</v>
      </c>
      <c r="B153" t="s">
        <v>143</v>
      </c>
      <c r="C153">
        <v>332.93</v>
      </c>
      <c r="D153" s="1">
        <v>45250.687361111108</v>
      </c>
      <c r="E153" t="s">
        <v>57</v>
      </c>
      <c r="F153" t="s">
        <v>98</v>
      </c>
      <c r="G153" t="s">
        <v>364</v>
      </c>
      <c r="H153" t="s">
        <v>284</v>
      </c>
      <c r="I153" t="s">
        <v>150</v>
      </c>
      <c r="J153" t="s">
        <v>81</v>
      </c>
      <c r="K153">
        <v>35</v>
      </c>
      <c r="L153" t="s">
        <v>89</v>
      </c>
      <c r="M153">
        <v>293</v>
      </c>
      <c r="N153">
        <v>1</v>
      </c>
      <c r="O153">
        <v>2788.2</v>
      </c>
      <c r="P153" s="1">
        <v>45600.339050925926</v>
      </c>
      <c r="Q153">
        <v>16</v>
      </c>
      <c r="R153" t="s">
        <v>47</v>
      </c>
      <c r="S153">
        <v>0.121036741984964</v>
      </c>
      <c r="T153" t="b">
        <v>0</v>
      </c>
      <c r="U153" t="b">
        <v>0</v>
      </c>
      <c r="V153" t="b">
        <f t="shared" si="4"/>
        <v>1</v>
      </c>
      <c r="W153">
        <v>0</v>
      </c>
      <c r="Y153">
        <f t="shared" si="5"/>
        <v>0</v>
      </c>
    </row>
    <row r="154" spans="1:25" x14ac:dyDescent="0.3">
      <c r="A154" t="s">
        <v>707</v>
      </c>
      <c r="B154" t="s">
        <v>460</v>
      </c>
      <c r="C154">
        <v>267.89999999999998</v>
      </c>
      <c r="D154" s="1">
        <v>45208.703321759262</v>
      </c>
      <c r="E154" t="s">
        <v>25</v>
      </c>
      <c r="F154" t="s">
        <v>250</v>
      </c>
      <c r="G154" t="s">
        <v>708</v>
      </c>
      <c r="H154" t="s">
        <v>709</v>
      </c>
      <c r="I154" t="s">
        <v>316</v>
      </c>
      <c r="J154" t="s">
        <v>45</v>
      </c>
      <c r="K154">
        <v>20</v>
      </c>
      <c r="L154" t="s">
        <v>46</v>
      </c>
      <c r="M154">
        <v>160</v>
      </c>
      <c r="N154">
        <v>1</v>
      </c>
      <c r="O154">
        <v>596.16</v>
      </c>
      <c r="P154" s="1">
        <v>45600.339282407411</v>
      </c>
      <c r="Q154">
        <v>16</v>
      </c>
      <c r="R154" t="s">
        <v>47</v>
      </c>
      <c r="S154">
        <v>-0.10170974465099</v>
      </c>
      <c r="T154" t="b">
        <v>0</v>
      </c>
      <c r="U154" t="b">
        <v>0</v>
      </c>
      <c r="V154" t="b">
        <f t="shared" si="4"/>
        <v>1</v>
      </c>
      <c r="W154">
        <v>0</v>
      </c>
      <c r="Y154">
        <f t="shared" si="5"/>
        <v>0</v>
      </c>
    </row>
    <row r="155" spans="1:25" x14ac:dyDescent="0.3">
      <c r="A155" t="s">
        <v>710</v>
      </c>
      <c r="B155" t="s">
        <v>711</v>
      </c>
      <c r="C155">
        <v>496.03</v>
      </c>
      <c r="D155" s="1">
        <v>45233.698518518519</v>
      </c>
      <c r="E155" t="s">
        <v>25</v>
      </c>
      <c r="F155" t="s">
        <v>225</v>
      </c>
      <c r="G155" t="s">
        <v>417</v>
      </c>
      <c r="H155" t="s">
        <v>712</v>
      </c>
      <c r="I155" t="s">
        <v>44</v>
      </c>
      <c r="J155" t="s">
        <v>81</v>
      </c>
      <c r="K155">
        <v>61</v>
      </c>
      <c r="L155" t="s">
        <v>31</v>
      </c>
      <c r="M155">
        <v>265</v>
      </c>
      <c r="N155">
        <v>1</v>
      </c>
      <c r="O155">
        <v>12904.66</v>
      </c>
      <c r="P155" s="1">
        <v>45600.340057870373</v>
      </c>
      <c r="Q155">
        <v>16</v>
      </c>
      <c r="R155" t="s">
        <v>54</v>
      </c>
      <c r="S155">
        <v>0.67970123483940403</v>
      </c>
      <c r="T155" t="b">
        <v>0</v>
      </c>
      <c r="U155" t="b">
        <v>0</v>
      </c>
      <c r="V155" t="b">
        <f t="shared" si="4"/>
        <v>1</v>
      </c>
      <c r="W155">
        <v>0</v>
      </c>
      <c r="Y155">
        <f t="shared" si="5"/>
        <v>0</v>
      </c>
    </row>
    <row r="156" spans="1:25" x14ac:dyDescent="0.3">
      <c r="A156" t="s">
        <v>713</v>
      </c>
      <c r="B156" t="s">
        <v>714</v>
      </c>
      <c r="C156">
        <v>376.26</v>
      </c>
      <c r="D156" s="1">
        <v>44972.6952662037</v>
      </c>
      <c r="E156" t="s">
        <v>25</v>
      </c>
      <c r="F156" t="s">
        <v>268</v>
      </c>
      <c r="G156" t="s">
        <v>481</v>
      </c>
      <c r="H156" t="s">
        <v>715</v>
      </c>
      <c r="I156" t="s">
        <v>440</v>
      </c>
      <c r="J156" t="s">
        <v>30</v>
      </c>
      <c r="K156">
        <v>37</v>
      </c>
      <c r="L156" t="s">
        <v>89</v>
      </c>
      <c r="M156">
        <v>245</v>
      </c>
      <c r="N156">
        <v>1</v>
      </c>
      <c r="O156">
        <v>9062.4</v>
      </c>
      <c r="P156" s="1">
        <v>45600.340254629627</v>
      </c>
      <c r="Q156">
        <v>16</v>
      </c>
      <c r="R156" t="s">
        <v>74</v>
      </c>
      <c r="S156">
        <v>0.26945447635273101</v>
      </c>
      <c r="T156" t="b">
        <v>0</v>
      </c>
      <c r="U156" t="b">
        <v>0</v>
      </c>
      <c r="V156" t="b">
        <f t="shared" si="4"/>
        <v>1</v>
      </c>
      <c r="W156">
        <v>0</v>
      </c>
      <c r="Y156">
        <f t="shared" si="5"/>
        <v>0</v>
      </c>
    </row>
    <row r="157" spans="1:25" x14ac:dyDescent="0.3">
      <c r="A157" t="s">
        <v>716</v>
      </c>
      <c r="B157" t="s">
        <v>717</v>
      </c>
      <c r="C157">
        <v>83.02</v>
      </c>
      <c r="D157" s="1">
        <v>45173.749895833331</v>
      </c>
      <c r="E157" t="s">
        <v>57</v>
      </c>
      <c r="F157" t="s">
        <v>70</v>
      </c>
      <c r="G157" t="s">
        <v>718</v>
      </c>
      <c r="H157" t="s">
        <v>719</v>
      </c>
      <c r="I157" t="s">
        <v>720</v>
      </c>
      <c r="J157" t="s">
        <v>45</v>
      </c>
      <c r="K157">
        <v>36</v>
      </c>
      <c r="L157" t="s">
        <v>89</v>
      </c>
      <c r="M157">
        <v>171</v>
      </c>
      <c r="N157">
        <v>1</v>
      </c>
      <c r="O157">
        <v>9009.56</v>
      </c>
      <c r="P157" s="1">
        <v>45600.340983796297</v>
      </c>
      <c r="Q157">
        <v>17</v>
      </c>
      <c r="R157" t="s">
        <v>47</v>
      </c>
      <c r="S157">
        <v>-0.73497701282345396</v>
      </c>
      <c r="T157" t="b">
        <v>0</v>
      </c>
      <c r="U157" t="b">
        <v>0</v>
      </c>
      <c r="V157" t="b">
        <f t="shared" si="4"/>
        <v>1</v>
      </c>
      <c r="W157">
        <v>0</v>
      </c>
      <c r="Y157">
        <f t="shared" si="5"/>
        <v>0</v>
      </c>
    </row>
    <row r="158" spans="1:25" x14ac:dyDescent="0.3">
      <c r="A158" t="s">
        <v>721</v>
      </c>
      <c r="B158" t="s">
        <v>249</v>
      </c>
      <c r="C158">
        <v>93.26</v>
      </c>
      <c r="D158" s="1">
        <v>45134.682546296295</v>
      </c>
      <c r="E158" t="s">
        <v>57</v>
      </c>
      <c r="F158" t="s">
        <v>216</v>
      </c>
      <c r="G158" t="s">
        <v>722</v>
      </c>
      <c r="H158" t="s">
        <v>723</v>
      </c>
      <c r="I158" t="s">
        <v>199</v>
      </c>
      <c r="J158" t="s">
        <v>45</v>
      </c>
      <c r="K158">
        <v>20</v>
      </c>
      <c r="L158" t="s">
        <v>46</v>
      </c>
      <c r="M158">
        <v>72</v>
      </c>
      <c r="N158">
        <v>1</v>
      </c>
      <c r="O158">
        <v>1152.2</v>
      </c>
      <c r="P158" s="1">
        <v>45600.34171296296</v>
      </c>
      <c r="Q158">
        <v>16</v>
      </c>
      <c r="R158" t="s">
        <v>141</v>
      </c>
      <c r="S158">
        <v>-0.69990206244436404</v>
      </c>
      <c r="T158" t="b">
        <v>0</v>
      </c>
      <c r="U158" t="b">
        <v>0</v>
      </c>
      <c r="V158" t="b">
        <f t="shared" si="4"/>
        <v>1</v>
      </c>
      <c r="W158">
        <v>0</v>
      </c>
      <c r="Y158">
        <f t="shared" si="5"/>
        <v>0</v>
      </c>
    </row>
    <row r="159" spans="1:25" x14ac:dyDescent="0.3">
      <c r="A159" t="s">
        <v>724</v>
      </c>
      <c r="B159" t="s">
        <v>725</v>
      </c>
      <c r="C159">
        <v>803.37</v>
      </c>
      <c r="D159" s="1">
        <v>45033.672615740739</v>
      </c>
      <c r="E159" t="s">
        <v>57</v>
      </c>
      <c r="F159" t="s">
        <v>104</v>
      </c>
      <c r="G159" t="s">
        <v>726</v>
      </c>
      <c r="H159" t="s">
        <v>727</v>
      </c>
      <c r="I159" t="s">
        <v>107</v>
      </c>
      <c r="J159" t="s">
        <v>81</v>
      </c>
      <c r="K159">
        <v>68</v>
      </c>
      <c r="L159" t="s">
        <v>31</v>
      </c>
      <c r="M159">
        <v>129</v>
      </c>
      <c r="N159">
        <v>1</v>
      </c>
      <c r="O159">
        <v>12168.37</v>
      </c>
      <c r="P159" s="1">
        <v>45600.33935185185</v>
      </c>
      <c r="Q159">
        <v>16</v>
      </c>
      <c r="R159" t="s">
        <v>47</v>
      </c>
      <c r="S159">
        <v>1.7324292865492901</v>
      </c>
      <c r="T159" t="b">
        <v>0</v>
      </c>
      <c r="U159" t="b">
        <v>0</v>
      </c>
      <c r="V159" t="b">
        <f t="shared" si="4"/>
        <v>1</v>
      </c>
      <c r="W159">
        <v>0</v>
      </c>
      <c r="Y159">
        <f t="shared" si="5"/>
        <v>0</v>
      </c>
    </row>
    <row r="160" spans="1:25" x14ac:dyDescent="0.3">
      <c r="A160" t="s">
        <v>728</v>
      </c>
      <c r="B160" t="s">
        <v>729</v>
      </c>
      <c r="C160">
        <v>35.76</v>
      </c>
      <c r="D160" s="1">
        <v>45188.734930555554</v>
      </c>
      <c r="E160" t="s">
        <v>25</v>
      </c>
      <c r="F160" t="s">
        <v>262</v>
      </c>
      <c r="G160" t="s">
        <v>730</v>
      </c>
      <c r="H160" t="s">
        <v>731</v>
      </c>
      <c r="I160" t="s">
        <v>112</v>
      </c>
      <c r="J160" t="s">
        <v>81</v>
      </c>
      <c r="K160">
        <v>23</v>
      </c>
      <c r="L160" t="s">
        <v>46</v>
      </c>
      <c r="M160">
        <v>122</v>
      </c>
      <c r="N160">
        <v>1</v>
      </c>
      <c r="O160">
        <v>611.86</v>
      </c>
      <c r="P160" s="1">
        <v>45600.341435185182</v>
      </c>
      <c r="Q160">
        <v>17</v>
      </c>
      <c r="R160" t="s">
        <v>32</v>
      </c>
      <c r="S160">
        <v>-0.89685612951444604</v>
      </c>
      <c r="T160" t="b">
        <v>0</v>
      </c>
      <c r="U160" t="b">
        <v>0</v>
      </c>
      <c r="V160" t="b">
        <f t="shared" si="4"/>
        <v>1</v>
      </c>
      <c r="W160">
        <v>0</v>
      </c>
      <c r="Y160">
        <f t="shared" si="5"/>
        <v>0</v>
      </c>
    </row>
    <row r="161" spans="1:25" x14ac:dyDescent="0.3">
      <c r="A161" t="s">
        <v>732</v>
      </c>
      <c r="B161" t="s">
        <v>733</v>
      </c>
      <c r="C161">
        <v>28.53</v>
      </c>
      <c r="D161" s="1">
        <v>45077.692812499998</v>
      </c>
      <c r="E161" t="s">
        <v>25</v>
      </c>
      <c r="F161" t="s">
        <v>466</v>
      </c>
      <c r="G161" t="s">
        <v>192</v>
      </c>
      <c r="H161" t="s">
        <v>43</v>
      </c>
      <c r="I161" t="s">
        <v>88</v>
      </c>
      <c r="J161" t="s">
        <v>45</v>
      </c>
      <c r="K161">
        <v>62</v>
      </c>
      <c r="L161" t="s">
        <v>31</v>
      </c>
      <c r="M161">
        <v>99</v>
      </c>
      <c r="N161">
        <v>1</v>
      </c>
      <c r="O161">
        <v>8670.5300000000007</v>
      </c>
      <c r="P161" s="1">
        <v>45600.337847222225</v>
      </c>
      <c r="Q161">
        <v>16</v>
      </c>
      <c r="R161" t="s">
        <v>74</v>
      </c>
      <c r="S161">
        <v>-0.92162096264343196</v>
      </c>
      <c r="T161" t="b">
        <v>0</v>
      </c>
      <c r="U161" t="b">
        <v>0</v>
      </c>
      <c r="V161" t="b">
        <f t="shared" si="4"/>
        <v>1</v>
      </c>
      <c r="W161">
        <v>0</v>
      </c>
      <c r="Y161">
        <f t="shared" si="5"/>
        <v>0</v>
      </c>
    </row>
    <row r="162" spans="1:25" x14ac:dyDescent="0.3">
      <c r="A162" t="s">
        <v>734</v>
      </c>
      <c r="B162" t="s">
        <v>735</v>
      </c>
      <c r="C162">
        <v>139.53</v>
      </c>
      <c r="D162" s="1">
        <v>45208.722326388888</v>
      </c>
      <c r="E162" t="s">
        <v>57</v>
      </c>
      <c r="F162" t="s">
        <v>120</v>
      </c>
      <c r="G162" t="s">
        <v>736</v>
      </c>
      <c r="H162" t="s">
        <v>453</v>
      </c>
      <c r="I162" t="s">
        <v>53</v>
      </c>
      <c r="J162" t="s">
        <v>45</v>
      </c>
      <c r="K162">
        <v>53</v>
      </c>
      <c r="L162" t="s">
        <v>31</v>
      </c>
      <c r="M162">
        <v>177</v>
      </c>
      <c r="N162">
        <v>1</v>
      </c>
      <c r="O162">
        <v>10098.86</v>
      </c>
      <c r="P162" s="1">
        <v>45600.338553240741</v>
      </c>
      <c r="Q162">
        <v>17</v>
      </c>
      <c r="R162" t="s">
        <v>47</v>
      </c>
      <c r="S162">
        <v>-0.54141398099510096</v>
      </c>
      <c r="T162" t="b">
        <v>0</v>
      </c>
      <c r="U162" t="b">
        <v>0</v>
      </c>
      <c r="V162" t="b">
        <f t="shared" si="4"/>
        <v>1</v>
      </c>
      <c r="W162">
        <v>0</v>
      </c>
      <c r="Y162">
        <f t="shared" si="5"/>
        <v>0</v>
      </c>
    </row>
    <row r="163" spans="1:25" x14ac:dyDescent="0.3">
      <c r="A163" t="s">
        <v>737</v>
      </c>
      <c r="B163" t="s">
        <v>738</v>
      </c>
      <c r="C163">
        <v>307.57</v>
      </c>
      <c r="D163" s="1">
        <v>44935.675011574072</v>
      </c>
      <c r="E163" t="s">
        <v>25</v>
      </c>
      <c r="F163" t="s">
        <v>85</v>
      </c>
      <c r="G163" t="s">
        <v>739</v>
      </c>
      <c r="H163" t="s">
        <v>740</v>
      </c>
      <c r="I163" t="s">
        <v>487</v>
      </c>
      <c r="J163" t="s">
        <v>81</v>
      </c>
      <c r="K163">
        <v>33</v>
      </c>
      <c r="L163" t="s">
        <v>31</v>
      </c>
      <c r="M163">
        <v>285</v>
      </c>
      <c r="N163">
        <v>1</v>
      </c>
      <c r="O163">
        <v>5307.74</v>
      </c>
      <c r="P163" s="1">
        <v>45600.337881944448</v>
      </c>
      <c r="Q163">
        <v>16</v>
      </c>
      <c r="R163" t="s">
        <v>47</v>
      </c>
      <c r="S163">
        <v>3.4171435186750997E-2</v>
      </c>
      <c r="T163" t="b">
        <v>0</v>
      </c>
      <c r="U163" t="b">
        <v>0</v>
      </c>
      <c r="V163" t="b">
        <f t="shared" si="4"/>
        <v>1</v>
      </c>
      <c r="W163">
        <v>0</v>
      </c>
      <c r="Y163">
        <f t="shared" si="5"/>
        <v>0</v>
      </c>
    </row>
    <row r="164" spans="1:25" x14ac:dyDescent="0.3">
      <c r="A164" t="s">
        <v>741</v>
      </c>
      <c r="B164" t="s">
        <v>742</v>
      </c>
      <c r="C164">
        <v>60.65</v>
      </c>
      <c r="D164" s="1">
        <v>45072.760509259257</v>
      </c>
      <c r="E164" t="s">
        <v>57</v>
      </c>
      <c r="F164" t="s">
        <v>268</v>
      </c>
      <c r="G164" t="s">
        <v>743</v>
      </c>
      <c r="H164" t="s">
        <v>744</v>
      </c>
      <c r="I164" t="s">
        <v>687</v>
      </c>
      <c r="J164" t="s">
        <v>81</v>
      </c>
      <c r="K164">
        <v>56</v>
      </c>
      <c r="L164" t="s">
        <v>82</v>
      </c>
      <c r="M164">
        <v>53</v>
      </c>
      <c r="N164">
        <v>1</v>
      </c>
      <c r="O164">
        <v>1047.28</v>
      </c>
      <c r="P164" s="1">
        <v>45600.339837962965</v>
      </c>
      <c r="Q164">
        <v>18</v>
      </c>
      <c r="R164" t="s">
        <v>54</v>
      </c>
      <c r="S164">
        <v>-0.81160070813402296</v>
      </c>
      <c r="T164" t="b">
        <v>0</v>
      </c>
      <c r="U164" t="b">
        <v>0</v>
      </c>
      <c r="V164" t="b">
        <f t="shared" si="4"/>
        <v>1</v>
      </c>
      <c r="W164">
        <v>0</v>
      </c>
      <c r="Y164">
        <f t="shared" si="5"/>
        <v>0</v>
      </c>
    </row>
    <row r="165" spans="1:25" x14ac:dyDescent="0.3">
      <c r="A165" t="s">
        <v>745</v>
      </c>
      <c r="B165" t="s">
        <v>746</v>
      </c>
      <c r="C165">
        <v>74.86</v>
      </c>
      <c r="D165" s="1">
        <v>45152.738391203704</v>
      </c>
      <c r="E165" t="s">
        <v>25</v>
      </c>
      <c r="F165" t="s">
        <v>92</v>
      </c>
      <c r="G165" t="s">
        <v>747</v>
      </c>
      <c r="H165" t="s">
        <v>748</v>
      </c>
      <c r="I165" t="s">
        <v>178</v>
      </c>
      <c r="J165" t="s">
        <v>81</v>
      </c>
      <c r="K165">
        <v>70</v>
      </c>
      <c r="L165" t="s">
        <v>31</v>
      </c>
      <c r="M165">
        <v>125</v>
      </c>
      <c r="N165">
        <v>1</v>
      </c>
      <c r="O165">
        <v>6921.48</v>
      </c>
      <c r="P165" s="1">
        <v>45600.338645833333</v>
      </c>
      <c r="Q165">
        <v>17</v>
      </c>
      <c r="R165" t="s">
        <v>47</v>
      </c>
      <c r="S165">
        <v>-0.76292736390678995</v>
      </c>
      <c r="T165" t="b">
        <v>0</v>
      </c>
      <c r="U165" t="b">
        <v>0</v>
      </c>
      <c r="V165" t="b">
        <f t="shared" si="4"/>
        <v>1</v>
      </c>
      <c r="W165">
        <v>0</v>
      </c>
      <c r="Y165">
        <f t="shared" si="5"/>
        <v>0</v>
      </c>
    </row>
    <row r="166" spans="1:25" x14ac:dyDescent="0.3">
      <c r="A166" t="s">
        <v>749</v>
      </c>
      <c r="B166" t="s">
        <v>750</v>
      </c>
      <c r="C166">
        <v>117.97</v>
      </c>
      <c r="D166" s="1">
        <v>45254.785787037035</v>
      </c>
      <c r="E166" t="s">
        <v>25</v>
      </c>
      <c r="F166" t="s">
        <v>304</v>
      </c>
      <c r="G166" t="s">
        <v>751</v>
      </c>
      <c r="H166" t="s">
        <v>752</v>
      </c>
      <c r="I166" t="s">
        <v>753</v>
      </c>
      <c r="J166" t="s">
        <v>81</v>
      </c>
      <c r="K166">
        <v>51</v>
      </c>
      <c r="L166" t="s">
        <v>82</v>
      </c>
      <c r="M166">
        <v>137</v>
      </c>
      <c r="N166">
        <v>1</v>
      </c>
      <c r="O166">
        <v>1475.46</v>
      </c>
      <c r="P166" s="1">
        <v>45600.339826388888</v>
      </c>
      <c r="Q166">
        <v>18</v>
      </c>
      <c r="R166" t="s">
        <v>54</v>
      </c>
      <c r="S166">
        <v>-0.61526319292607401</v>
      </c>
      <c r="T166" t="b">
        <v>0</v>
      </c>
      <c r="U166" t="b">
        <v>0</v>
      </c>
      <c r="V166" t="b">
        <f t="shared" si="4"/>
        <v>1</v>
      </c>
      <c r="W166">
        <v>0</v>
      </c>
      <c r="Y166">
        <f t="shared" si="5"/>
        <v>0</v>
      </c>
    </row>
    <row r="167" spans="1:25" x14ac:dyDescent="0.3">
      <c r="A167" t="s">
        <v>754</v>
      </c>
      <c r="B167" t="s">
        <v>755</v>
      </c>
      <c r="C167">
        <v>231.91</v>
      </c>
      <c r="D167" s="1">
        <v>44957.771782407406</v>
      </c>
      <c r="E167" t="s">
        <v>25</v>
      </c>
      <c r="F167" t="s">
        <v>104</v>
      </c>
      <c r="G167" t="s">
        <v>756</v>
      </c>
      <c r="H167" t="s">
        <v>757</v>
      </c>
      <c r="I167" t="s">
        <v>265</v>
      </c>
      <c r="J167" t="s">
        <v>30</v>
      </c>
      <c r="K167">
        <v>34</v>
      </c>
      <c r="L167" t="s">
        <v>89</v>
      </c>
      <c r="M167">
        <v>165</v>
      </c>
      <c r="N167">
        <v>1</v>
      </c>
      <c r="O167">
        <v>112.76</v>
      </c>
      <c r="P167" s="1">
        <v>45600.341840277775</v>
      </c>
      <c r="Q167">
        <v>18</v>
      </c>
      <c r="R167" t="s">
        <v>32</v>
      </c>
      <c r="S167">
        <v>-0.224985864196246</v>
      </c>
      <c r="T167" t="b">
        <v>0</v>
      </c>
      <c r="U167" t="b">
        <v>0</v>
      </c>
      <c r="V167" t="b">
        <f t="shared" si="4"/>
        <v>1</v>
      </c>
      <c r="W167">
        <v>0</v>
      </c>
      <c r="Y167">
        <f t="shared" si="5"/>
        <v>0</v>
      </c>
    </row>
    <row r="168" spans="1:25" x14ac:dyDescent="0.3">
      <c r="A168" t="s">
        <v>758</v>
      </c>
      <c r="B168" t="s">
        <v>241</v>
      </c>
      <c r="C168">
        <v>126.21</v>
      </c>
      <c r="D168" s="1">
        <v>44971.671539351853</v>
      </c>
      <c r="E168" t="s">
        <v>25</v>
      </c>
      <c r="F168" t="s">
        <v>210</v>
      </c>
      <c r="G168" t="s">
        <v>759</v>
      </c>
      <c r="H168" t="s">
        <v>760</v>
      </c>
      <c r="I168" t="s">
        <v>366</v>
      </c>
      <c r="J168" t="s">
        <v>81</v>
      </c>
      <c r="K168">
        <v>75</v>
      </c>
      <c r="L168" t="s">
        <v>82</v>
      </c>
      <c r="M168">
        <v>268</v>
      </c>
      <c r="N168">
        <v>1</v>
      </c>
      <c r="O168">
        <v>5669.66</v>
      </c>
      <c r="P168" s="1">
        <v>45600.339375000003</v>
      </c>
      <c r="Q168">
        <v>16</v>
      </c>
      <c r="R168" t="s">
        <v>32</v>
      </c>
      <c r="S168">
        <v>-0.58703881879289999</v>
      </c>
      <c r="T168" t="b">
        <v>0</v>
      </c>
      <c r="U168" t="b">
        <v>0</v>
      </c>
      <c r="V168" t="b">
        <f t="shared" si="4"/>
        <v>1</v>
      </c>
      <c r="W168">
        <v>0</v>
      </c>
      <c r="Y168">
        <f t="shared" si="5"/>
        <v>0</v>
      </c>
    </row>
    <row r="169" spans="1:25" x14ac:dyDescent="0.3">
      <c r="A169" t="s">
        <v>761</v>
      </c>
      <c r="B169" t="s">
        <v>762</v>
      </c>
      <c r="C169">
        <v>506.28</v>
      </c>
      <c r="D169" s="1">
        <v>45048.710752314815</v>
      </c>
      <c r="E169" t="s">
        <v>57</v>
      </c>
      <c r="F169" t="s">
        <v>278</v>
      </c>
      <c r="G169" t="s">
        <v>763</v>
      </c>
      <c r="H169" t="s">
        <v>764</v>
      </c>
      <c r="I169" t="s">
        <v>765</v>
      </c>
      <c r="J169" t="s">
        <v>45</v>
      </c>
      <c r="K169">
        <v>53</v>
      </c>
      <c r="L169" t="s">
        <v>82</v>
      </c>
      <c r="M169">
        <v>162</v>
      </c>
      <c r="N169">
        <v>2</v>
      </c>
      <c r="O169">
        <v>1309.95</v>
      </c>
      <c r="P169" s="1">
        <v>45600.339687500003</v>
      </c>
      <c r="Q169">
        <v>17</v>
      </c>
      <c r="R169" t="s">
        <v>32</v>
      </c>
      <c r="S169">
        <v>0.714810438099723</v>
      </c>
      <c r="T169" t="b">
        <v>0</v>
      </c>
      <c r="U169" t="b">
        <v>1</v>
      </c>
      <c r="V169" t="b">
        <f t="shared" si="4"/>
        <v>1</v>
      </c>
      <c r="W169">
        <v>1</v>
      </c>
      <c r="Y169">
        <f t="shared" si="5"/>
        <v>0</v>
      </c>
    </row>
    <row r="170" spans="1:25" x14ac:dyDescent="0.3">
      <c r="A170" t="s">
        <v>766</v>
      </c>
      <c r="B170" t="s">
        <v>235</v>
      </c>
      <c r="C170">
        <v>304.35000000000002</v>
      </c>
      <c r="D170" s="1">
        <v>45264.713587962964</v>
      </c>
      <c r="E170" t="s">
        <v>25</v>
      </c>
      <c r="F170" t="s">
        <v>35</v>
      </c>
      <c r="G170" t="s">
        <v>751</v>
      </c>
      <c r="H170" t="s">
        <v>767</v>
      </c>
      <c r="I170" t="s">
        <v>95</v>
      </c>
      <c r="J170" t="s">
        <v>81</v>
      </c>
      <c r="K170">
        <v>31</v>
      </c>
      <c r="L170" t="s">
        <v>89</v>
      </c>
      <c r="M170">
        <v>36</v>
      </c>
      <c r="N170">
        <v>1</v>
      </c>
      <c r="O170">
        <v>4057.1</v>
      </c>
      <c r="P170" s="1">
        <v>45600.339409722219</v>
      </c>
      <c r="Q170">
        <v>17</v>
      </c>
      <c r="R170" t="s">
        <v>47</v>
      </c>
      <c r="S170">
        <v>2.3142007430826599E-2</v>
      </c>
      <c r="T170" t="b">
        <v>0</v>
      </c>
      <c r="U170" t="b">
        <v>0</v>
      </c>
      <c r="V170" t="b">
        <f t="shared" si="4"/>
        <v>1</v>
      </c>
      <c r="W170">
        <v>0</v>
      </c>
      <c r="Y170">
        <f t="shared" si="5"/>
        <v>0</v>
      </c>
    </row>
    <row r="171" spans="1:25" x14ac:dyDescent="0.3">
      <c r="A171" t="s">
        <v>768</v>
      </c>
      <c r="B171" t="s">
        <v>769</v>
      </c>
      <c r="C171">
        <v>281.85000000000002</v>
      </c>
      <c r="D171" s="1">
        <v>45062.726817129631</v>
      </c>
      <c r="E171" t="s">
        <v>25</v>
      </c>
      <c r="F171" t="s">
        <v>85</v>
      </c>
      <c r="G171" t="s">
        <v>770</v>
      </c>
      <c r="H171" t="s">
        <v>771</v>
      </c>
      <c r="I171" t="s">
        <v>772</v>
      </c>
      <c r="J171" t="s">
        <v>30</v>
      </c>
      <c r="K171">
        <v>22</v>
      </c>
      <c r="L171" t="s">
        <v>46</v>
      </c>
      <c r="M171">
        <v>109</v>
      </c>
      <c r="N171">
        <v>1</v>
      </c>
      <c r="O171">
        <v>1585.98</v>
      </c>
      <c r="P171" s="1">
        <v>45600.338634259257</v>
      </c>
      <c r="Q171">
        <v>17</v>
      </c>
      <c r="R171" t="s">
        <v>32</v>
      </c>
      <c r="S171">
        <v>-5.3926975335726997E-2</v>
      </c>
      <c r="T171" t="b">
        <v>0</v>
      </c>
      <c r="U171" t="b">
        <v>0</v>
      </c>
      <c r="V171" t="b">
        <f t="shared" si="4"/>
        <v>1</v>
      </c>
      <c r="W171">
        <v>0</v>
      </c>
      <c r="Y171">
        <f t="shared" si="5"/>
        <v>0</v>
      </c>
    </row>
    <row r="172" spans="1:25" x14ac:dyDescent="0.3">
      <c r="A172" t="s">
        <v>773</v>
      </c>
      <c r="B172" t="s">
        <v>774</v>
      </c>
      <c r="C172">
        <v>777.88</v>
      </c>
      <c r="D172" s="1">
        <v>45005.707083333335</v>
      </c>
      <c r="E172" t="s">
        <v>25</v>
      </c>
      <c r="F172" t="s">
        <v>35</v>
      </c>
      <c r="G172" t="s">
        <v>722</v>
      </c>
      <c r="H172" t="s">
        <v>306</v>
      </c>
      <c r="I172" t="s">
        <v>775</v>
      </c>
      <c r="J172" t="s">
        <v>81</v>
      </c>
      <c r="K172">
        <v>31</v>
      </c>
      <c r="L172" t="s">
        <v>89</v>
      </c>
      <c r="M172">
        <v>17</v>
      </c>
      <c r="N172">
        <v>1</v>
      </c>
      <c r="O172">
        <v>6825.55</v>
      </c>
      <c r="P172" s="1">
        <v>45600.339756944442</v>
      </c>
      <c r="Q172">
        <v>16</v>
      </c>
      <c r="R172" t="s">
        <v>47</v>
      </c>
      <c r="S172">
        <v>1.64511869229509</v>
      </c>
      <c r="T172" t="b">
        <v>0</v>
      </c>
      <c r="U172" t="b">
        <v>0</v>
      </c>
      <c r="V172" t="b">
        <f t="shared" si="4"/>
        <v>1</v>
      </c>
      <c r="W172">
        <v>0</v>
      </c>
      <c r="Y172">
        <f t="shared" si="5"/>
        <v>0</v>
      </c>
    </row>
    <row r="173" spans="1:25" x14ac:dyDescent="0.3">
      <c r="A173" t="s">
        <v>776</v>
      </c>
      <c r="B173" t="s">
        <v>777</v>
      </c>
      <c r="C173">
        <v>119.18</v>
      </c>
      <c r="D173" s="1">
        <v>45163.751134259262</v>
      </c>
      <c r="E173" t="s">
        <v>25</v>
      </c>
      <c r="F173" t="s">
        <v>153</v>
      </c>
      <c r="G173" t="s">
        <v>121</v>
      </c>
      <c r="H173" t="s">
        <v>778</v>
      </c>
      <c r="I173" t="s">
        <v>495</v>
      </c>
      <c r="J173" t="s">
        <v>81</v>
      </c>
      <c r="K173">
        <v>56</v>
      </c>
      <c r="L173" t="s">
        <v>82</v>
      </c>
      <c r="M173">
        <v>96</v>
      </c>
      <c r="N173">
        <v>1</v>
      </c>
      <c r="O173">
        <v>5516.5</v>
      </c>
      <c r="P173" s="1">
        <v>45600.338587962964</v>
      </c>
      <c r="Q173">
        <v>18</v>
      </c>
      <c r="R173" t="s">
        <v>54</v>
      </c>
      <c r="S173">
        <v>-0.61111859429729498</v>
      </c>
      <c r="T173" t="b">
        <v>0</v>
      </c>
      <c r="U173" t="b">
        <v>0</v>
      </c>
      <c r="V173" t="b">
        <f t="shared" si="4"/>
        <v>1</v>
      </c>
      <c r="W173">
        <v>0</v>
      </c>
      <c r="Y173">
        <f t="shared" si="5"/>
        <v>0</v>
      </c>
    </row>
    <row r="174" spans="1:25" x14ac:dyDescent="0.3">
      <c r="A174" t="s">
        <v>779</v>
      </c>
      <c r="B174" t="s">
        <v>780</v>
      </c>
      <c r="C174">
        <v>177.19</v>
      </c>
      <c r="D174" s="1">
        <v>45061.726018518515</v>
      </c>
      <c r="E174" t="s">
        <v>25</v>
      </c>
      <c r="F174" t="s">
        <v>278</v>
      </c>
      <c r="G174" t="s">
        <v>781</v>
      </c>
      <c r="H174" t="s">
        <v>430</v>
      </c>
      <c r="I174" t="s">
        <v>782</v>
      </c>
      <c r="J174" t="s">
        <v>45</v>
      </c>
      <c r="K174">
        <v>76</v>
      </c>
      <c r="L174" t="s">
        <v>82</v>
      </c>
      <c r="M174">
        <v>43</v>
      </c>
      <c r="N174">
        <v>1</v>
      </c>
      <c r="O174">
        <v>5343.3</v>
      </c>
      <c r="P174" s="1">
        <v>45600.337847222225</v>
      </c>
      <c r="Q174">
        <v>17</v>
      </c>
      <c r="R174" t="s">
        <v>47</v>
      </c>
      <c r="S174">
        <v>-0.41241763028450501</v>
      </c>
      <c r="T174" t="b">
        <v>0</v>
      </c>
      <c r="U174" t="b">
        <v>0</v>
      </c>
      <c r="V174" t="b">
        <f t="shared" si="4"/>
        <v>1</v>
      </c>
      <c r="W174">
        <v>0</v>
      </c>
      <c r="Y174">
        <f t="shared" si="5"/>
        <v>0</v>
      </c>
    </row>
    <row r="175" spans="1:25" x14ac:dyDescent="0.3">
      <c r="A175" t="s">
        <v>783</v>
      </c>
      <c r="B175" t="s">
        <v>784</v>
      </c>
      <c r="C175">
        <v>260.88</v>
      </c>
      <c r="D175" s="1">
        <v>45075.701504629629</v>
      </c>
      <c r="E175" t="s">
        <v>25</v>
      </c>
      <c r="F175" t="s">
        <v>126</v>
      </c>
      <c r="G175" t="s">
        <v>785</v>
      </c>
      <c r="H175" t="s">
        <v>786</v>
      </c>
      <c r="I175" t="s">
        <v>222</v>
      </c>
      <c r="J175" t="s">
        <v>81</v>
      </c>
      <c r="K175">
        <v>22</v>
      </c>
      <c r="L175" t="s">
        <v>46</v>
      </c>
      <c r="M175">
        <v>36</v>
      </c>
      <c r="N175">
        <v>1</v>
      </c>
      <c r="O175">
        <v>903.05</v>
      </c>
      <c r="P175" s="1">
        <v>45600.338101851848</v>
      </c>
      <c r="Q175">
        <v>16</v>
      </c>
      <c r="R175" t="s">
        <v>47</v>
      </c>
      <c r="S175">
        <v>-0.12575526727415501</v>
      </c>
      <c r="T175" t="b">
        <v>0</v>
      </c>
      <c r="U175" t="b">
        <v>0</v>
      </c>
      <c r="V175" t="b">
        <f t="shared" si="4"/>
        <v>1</v>
      </c>
      <c r="W175">
        <v>0</v>
      </c>
      <c r="Y175">
        <f t="shared" si="5"/>
        <v>0</v>
      </c>
    </row>
    <row r="176" spans="1:25" x14ac:dyDescent="0.3">
      <c r="A176" t="s">
        <v>787</v>
      </c>
      <c r="B176" t="s">
        <v>476</v>
      </c>
      <c r="C176">
        <v>169.47</v>
      </c>
      <c r="D176" s="1">
        <v>45007.673773148148</v>
      </c>
      <c r="E176" t="s">
        <v>25</v>
      </c>
      <c r="F176" t="s">
        <v>278</v>
      </c>
      <c r="G176" t="s">
        <v>788</v>
      </c>
      <c r="H176" t="s">
        <v>149</v>
      </c>
      <c r="I176" t="s">
        <v>259</v>
      </c>
      <c r="J176" t="s">
        <v>45</v>
      </c>
      <c r="K176">
        <v>24</v>
      </c>
      <c r="L176" t="s">
        <v>46</v>
      </c>
      <c r="M176">
        <v>19</v>
      </c>
      <c r="N176">
        <v>1</v>
      </c>
      <c r="O176">
        <v>1806.16</v>
      </c>
      <c r="P176" s="1">
        <v>45600.338622685187</v>
      </c>
      <c r="Q176">
        <v>16</v>
      </c>
      <c r="R176" t="s">
        <v>74</v>
      </c>
      <c r="S176">
        <v>-0.43886085459374002</v>
      </c>
      <c r="T176" t="b">
        <v>0</v>
      </c>
      <c r="U176" t="b">
        <v>0</v>
      </c>
      <c r="V176" t="b">
        <f t="shared" si="4"/>
        <v>1</v>
      </c>
      <c r="W176">
        <v>0</v>
      </c>
      <c r="Y176">
        <f t="shared" si="5"/>
        <v>0</v>
      </c>
    </row>
    <row r="177" spans="1:25" x14ac:dyDescent="0.3">
      <c r="A177" t="s">
        <v>789</v>
      </c>
      <c r="B177" t="s">
        <v>790</v>
      </c>
      <c r="C177">
        <v>73.23</v>
      </c>
      <c r="D177" s="1">
        <v>45065.7033912037</v>
      </c>
      <c r="E177" t="s">
        <v>25</v>
      </c>
      <c r="F177" t="s">
        <v>608</v>
      </c>
      <c r="G177" t="s">
        <v>791</v>
      </c>
      <c r="H177" t="s">
        <v>792</v>
      </c>
      <c r="I177" t="s">
        <v>167</v>
      </c>
      <c r="J177" t="s">
        <v>81</v>
      </c>
      <c r="K177">
        <v>26</v>
      </c>
      <c r="L177" t="s">
        <v>46</v>
      </c>
      <c r="M177">
        <v>14</v>
      </c>
      <c r="N177">
        <v>1</v>
      </c>
      <c r="O177">
        <v>787.74</v>
      </c>
      <c r="P177" s="1">
        <v>45600.341111111113</v>
      </c>
      <c r="Q177">
        <v>16</v>
      </c>
      <c r="R177" t="s">
        <v>54</v>
      </c>
      <c r="S177">
        <v>-0.76851058354721202</v>
      </c>
      <c r="T177" t="b">
        <v>0</v>
      </c>
      <c r="U177" t="b">
        <v>0</v>
      </c>
      <c r="V177" t="b">
        <f t="shared" si="4"/>
        <v>1</v>
      </c>
      <c r="W177">
        <v>0</v>
      </c>
      <c r="Y177">
        <f t="shared" si="5"/>
        <v>0</v>
      </c>
    </row>
    <row r="178" spans="1:25" x14ac:dyDescent="0.3">
      <c r="A178" t="s">
        <v>793</v>
      </c>
      <c r="B178" t="s">
        <v>794</v>
      </c>
      <c r="C178">
        <v>1362.55</v>
      </c>
      <c r="D178" s="1">
        <v>44967.754942129628</v>
      </c>
      <c r="E178" t="s">
        <v>25</v>
      </c>
      <c r="F178" t="s">
        <v>519</v>
      </c>
      <c r="G178" t="s">
        <v>795</v>
      </c>
      <c r="H178" t="s">
        <v>796</v>
      </c>
      <c r="I178" t="s">
        <v>366</v>
      </c>
      <c r="J178" t="s">
        <v>30</v>
      </c>
      <c r="K178">
        <v>29</v>
      </c>
      <c r="L178" t="s">
        <v>89</v>
      </c>
      <c r="M178">
        <v>106</v>
      </c>
      <c r="N178">
        <v>1</v>
      </c>
      <c r="O178">
        <v>2429.6799999999998</v>
      </c>
      <c r="P178" s="1">
        <v>45600.34103009259</v>
      </c>
      <c r="Q178">
        <v>18</v>
      </c>
      <c r="R178" t="s">
        <v>54</v>
      </c>
      <c r="S178">
        <v>3.6477818991449098</v>
      </c>
      <c r="T178" t="b">
        <v>1</v>
      </c>
      <c r="U178" t="b">
        <v>0</v>
      </c>
      <c r="V178" t="b">
        <f t="shared" si="4"/>
        <v>1</v>
      </c>
      <c r="W178">
        <v>1</v>
      </c>
      <c r="Y178">
        <f t="shared" si="5"/>
        <v>1</v>
      </c>
    </row>
    <row r="179" spans="1:25" x14ac:dyDescent="0.3">
      <c r="A179" t="s">
        <v>797</v>
      </c>
      <c r="B179" t="s">
        <v>798</v>
      </c>
      <c r="C179">
        <v>792.57</v>
      </c>
      <c r="D179" s="1">
        <v>45068.68236111111</v>
      </c>
      <c r="E179" t="s">
        <v>25</v>
      </c>
      <c r="F179" t="s">
        <v>210</v>
      </c>
      <c r="G179" t="s">
        <v>799</v>
      </c>
      <c r="H179" t="s">
        <v>800</v>
      </c>
      <c r="I179" t="s">
        <v>140</v>
      </c>
      <c r="J179" t="s">
        <v>30</v>
      </c>
      <c r="K179">
        <v>19</v>
      </c>
      <c r="L179" t="s">
        <v>46</v>
      </c>
      <c r="M179">
        <v>164</v>
      </c>
      <c r="N179">
        <v>1</v>
      </c>
      <c r="O179">
        <v>770.37</v>
      </c>
      <c r="P179" s="1">
        <v>45600.340729166666</v>
      </c>
      <c r="Q179">
        <v>16</v>
      </c>
      <c r="R179" t="s">
        <v>47</v>
      </c>
      <c r="S179">
        <v>1.69543617482135</v>
      </c>
      <c r="T179" t="b">
        <v>0</v>
      </c>
      <c r="U179" t="b">
        <v>0</v>
      </c>
      <c r="V179" t="b">
        <f t="shared" si="4"/>
        <v>1</v>
      </c>
      <c r="W179">
        <v>0</v>
      </c>
      <c r="Y179">
        <f t="shared" si="5"/>
        <v>0</v>
      </c>
    </row>
    <row r="180" spans="1:25" x14ac:dyDescent="0.3">
      <c r="A180" t="s">
        <v>801</v>
      </c>
      <c r="B180" t="s">
        <v>802</v>
      </c>
      <c r="C180">
        <v>237.06</v>
      </c>
      <c r="D180" s="1">
        <v>45278.699502314812</v>
      </c>
      <c r="E180" t="s">
        <v>25</v>
      </c>
      <c r="F180" t="s">
        <v>438</v>
      </c>
      <c r="G180" t="s">
        <v>803</v>
      </c>
      <c r="H180" t="s">
        <v>804</v>
      </c>
      <c r="I180" t="s">
        <v>487</v>
      </c>
      <c r="J180" t="s">
        <v>45</v>
      </c>
      <c r="K180">
        <v>71</v>
      </c>
      <c r="L180" t="s">
        <v>82</v>
      </c>
      <c r="M180">
        <v>46</v>
      </c>
      <c r="N180">
        <v>1</v>
      </c>
      <c r="O180">
        <v>1182.77</v>
      </c>
      <c r="P180" s="1">
        <v>45600.338773148149</v>
      </c>
      <c r="Q180">
        <v>16</v>
      </c>
      <c r="R180" t="s">
        <v>47</v>
      </c>
      <c r="S180">
        <v>-0.20734563036301301</v>
      </c>
      <c r="T180" t="b">
        <v>0</v>
      </c>
      <c r="U180" t="b">
        <v>0</v>
      </c>
      <c r="V180" t="b">
        <f t="shared" si="4"/>
        <v>1</v>
      </c>
      <c r="W180">
        <v>0</v>
      </c>
      <c r="Y180">
        <f t="shared" si="5"/>
        <v>0</v>
      </c>
    </row>
    <row r="181" spans="1:25" x14ac:dyDescent="0.3">
      <c r="A181" t="s">
        <v>805</v>
      </c>
      <c r="B181" t="s">
        <v>497</v>
      </c>
      <c r="C181">
        <v>34.17</v>
      </c>
      <c r="D181" s="1">
        <v>45251.706747685188</v>
      </c>
      <c r="E181" t="s">
        <v>57</v>
      </c>
      <c r="F181" t="s">
        <v>256</v>
      </c>
      <c r="G181" t="s">
        <v>176</v>
      </c>
      <c r="H181" t="s">
        <v>806</v>
      </c>
      <c r="I181" t="s">
        <v>61</v>
      </c>
      <c r="J181" t="s">
        <v>45</v>
      </c>
      <c r="K181">
        <v>54</v>
      </c>
      <c r="L181" t="s">
        <v>89</v>
      </c>
      <c r="M181">
        <v>54</v>
      </c>
      <c r="N181">
        <v>1</v>
      </c>
      <c r="O181">
        <v>726.55</v>
      </c>
      <c r="P181" s="1">
        <v>45600.337835648148</v>
      </c>
      <c r="Q181">
        <v>16</v>
      </c>
      <c r="R181" t="s">
        <v>32</v>
      </c>
      <c r="S181">
        <v>-0.90230233762994905</v>
      </c>
      <c r="T181" t="b">
        <v>0</v>
      </c>
      <c r="U181" t="b">
        <v>0</v>
      </c>
      <c r="V181" t="b">
        <f t="shared" si="4"/>
        <v>1</v>
      </c>
      <c r="W181">
        <v>0</v>
      </c>
      <c r="Y181">
        <f t="shared" si="5"/>
        <v>0</v>
      </c>
    </row>
    <row r="182" spans="1:25" x14ac:dyDescent="0.3">
      <c r="A182" t="s">
        <v>807</v>
      </c>
      <c r="B182" t="s">
        <v>808</v>
      </c>
      <c r="C182">
        <v>740.25</v>
      </c>
      <c r="D182" s="1">
        <v>45126.711087962962</v>
      </c>
      <c r="E182" t="s">
        <v>25</v>
      </c>
      <c r="F182" t="s">
        <v>256</v>
      </c>
      <c r="G182" t="s">
        <v>809</v>
      </c>
      <c r="H182" t="s">
        <v>333</v>
      </c>
      <c r="I182" t="s">
        <v>765</v>
      </c>
      <c r="J182" t="s">
        <v>45</v>
      </c>
      <c r="K182">
        <v>41</v>
      </c>
      <c r="L182" t="s">
        <v>31</v>
      </c>
      <c r="M182">
        <v>123</v>
      </c>
      <c r="N182">
        <v>1</v>
      </c>
      <c r="O182">
        <v>14464.3</v>
      </c>
      <c r="P182" s="1">
        <v>45600.339201388888</v>
      </c>
      <c r="Q182">
        <v>17</v>
      </c>
      <c r="R182" t="s">
        <v>74</v>
      </c>
      <c r="S182">
        <v>1.5162251002281899</v>
      </c>
      <c r="T182" t="b">
        <v>0</v>
      </c>
      <c r="U182" t="b">
        <v>0</v>
      </c>
      <c r="V182" t="b">
        <f t="shared" si="4"/>
        <v>1</v>
      </c>
      <c r="W182">
        <v>0</v>
      </c>
      <c r="Y182">
        <f t="shared" si="5"/>
        <v>0</v>
      </c>
    </row>
    <row r="183" spans="1:25" x14ac:dyDescent="0.3">
      <c r="A183" t="s">
        <v>810</v>
      </c>
      <c r="B183" t="s">
        <v>484</v>
      </c>
      <c r="C183">
        <v>453.54</v>
      </c>
      <c r="D183" s="1">
        <v>45035.691701388889</v>
      </c>
      <c r="E183" t="s">
        <v>25</v>
      </c>
      <c r="F183" t="s">
        <v>98</v>
      </c>
      <c r="G183" t="s">
        <v>811</v>
      </c>
      <c r="H183" t="s">
        <v>812</v>
      </c>
      <c r="I183" t="s">
        <v>123</v>
      </c>
      <c r="J183" t="s">
        <v>30</v>
      </c>
      <c r="K183">
        <v>58</v>
      </c>
      <c r="L183" t="s">
        <v>31</v>
      </c>
      <c r="M183">
        <v>82</v>
      </c>
      <c r="N183">
        <v>1</v>
      </c>
      <c r="O183">
        <v>12046.3</v>
      </c>
      <c r="P183" s="1">
        <v>45600.341736111113</v>
      </c>
      <c r="Q183">
        <v>16</v>
      </c>
      <c r="R183" t="s">
        <v>74</v>
      </c>
      <c r="S183">
        <v>0.53416074249492096</v>
      </c>
      <c r="T183" t="b">
        <v>0</v>
      </c>
      <c r="U183" t="b">
        <v>0</v>
      </c>
      <c r="V183" t="b">
        <f t="shared" si="4"/>
        <v>1</v>
      </c>
      <c r="W183">
        <v>0</v>
      </c>
      <c r="Y183">
        <f t="shared" si="5"/>
        <v>0</v>
      </c>
    </row>
    <row r="184" spans="1:25" x14ac:dyDescent="0.3">
      <c r="A184" t="s">
        <v>813</v>
      </c>
      <c r="B184" t="s">
        <v>814</v>
      </c>
      <c r="C184">
        <v>300.47000000000003</v>
      </c>
      <c r="D184" s="1">
        <v>45243.674907407411</v>
      </c>
      <c r="E184" t="s">
        <v>25</v>
      </c>
      <c r="F184" t="s">
        <v>405</v>
      </c>
      <c r="G184" t="s">
        <v>815</v>
      </c>
      <c r="H184" t="s">
        <v>414</v>
      </c>
      <c r="I184" t="s">
        <v>162</v>
      </c>
      <c r="J184" t="s">
        <v>81</v>
      </c>
      <c r="K184">
        <v>73</v>
      </c>
      <c r="L184" t="s">
        <v>82</v>
      </c>
      <c r="M184">
        <v>100</v>
      </c>
      <c r="N184">
        <v>1</v>
      </c>
      <c r="O184">
        <v>7885.64</v>
      </c>
      <c r="P184" s="1">
        <v>45600.338888888888</v>
      </c>
      <c r="Q184">
        <v>16</v>
      </c>
      <c r="R184" t="s">
        <v>47</v>
      </c>
      <c r="S184">
        <v>9.8518895137498404E-3</v>
      </c>
      <c r="T184" t="b">
        <v>0</v>
      </c>
      <c r="U184" t="b">
        <v>0</v>
      </c>
      <c r="V184" t="b">
        <f t="shared" si="4"/>
        <v>1</v>
      </c>
      <c r="W184">
        <v>0</v>
      </c>
      <c r="Y184">
        <f t="shared" si="5"/>
        <v>0</v>
      </c>
    </row>
    <row r="185" spans="1:25" x14ac:dyDescent="0.3">
      <c r="A185" t="s">
        <v>816</v>
      </c>
      <c r="B185" t="s">
        <v>817</v>
      </c>
      <c r="C185">
        <v>110.93</v>
      </c>
      <c r="D185" s="1">
        <v>45023.693229166667</v>
      </c>
      <c r="E185" t="s">
        <v>57</v>
      </c>
      <c r="F185" t="s">
        <v>314</v>
      </c>
      <c r="G185" t="s">
        <v>165</v>
      </c>
      <c r="H185" t="s">
        <v>478</v>
      </c>
      <c r="I185" t="s">
        <v>321</v>
      </c>
      <c r="J185" t="s">
        <v>81</v>
      </c>
      <c r="K185">
        <v>19</v>
      </c>
      <c r="L185" t="s">
        <v>46</v>
      </c>
      <c r="M185">
        <v>201</v>
      </c>
      <c r="N185">
        <v>1</v>
      </c>
      <c r="O185">
        <v>1952.35</v>
      </c>
      <c r="P185" s="1">
        <v>45600.340891203705</v>
      </c>
      <c r="Q185">
        <v>16</v>
      </c>
      <c r="R185" t="s">
        <v>54</v>
      </c>
      <c r="S185">
        <v>-0.63937722131169805</v>
      </c>
      <c r="T185" t="b">
        <v>0</v>
      </c>
      <c r="U185" t="b">
        <v>0</v>
      </c>
      <c r="V185" t="b">
        <f t="shared" si="4"/>
        <v>1</v>
      </c>
      <c r="W185">
        <v>0</v>
      </c>
      <c r="Y185">
        <f t="shared" si="5"/>
        <v>0</v>
      </c>
    </row>
    <row r="186" spans="1:25" x14ac:dyDescent="0.3">
      <c r="A186" t="s">
        <v>818</v>
      </c>
      <c r="B186" t="s">
        <v>819</v>
      </c>
      <c r="C186">
        <v>201.69</v>
      </c>
      <c r="D186" s="1">
        <v>44929.69902777778</v>
      </c>
      <c r="E186" t="s">
        <v>25</v>
      </c>
      <c r="F186" t="s">
        <v>159</v>
      </c>
      <c r="G186" t="s">
        <v>820</v>
      </c>
      <c r="H186" t="s">
        <v>499</v>
      </c>
      <c r="I186" t="s">
        <v>73</v>
      </c>
      <c r="J186" t="s">
        <v>30</v>
      </c>
      <c r="K186">
        <v>59</v>
      </c>
      <c r="L186" t="s">
        <v>31</v>
      </c>
      <c r="M186">
        <v>299</v>
      </c>
      <c r="N186">
        <v>1</v>
      </c>
      <c r="O186">
        <v>7328.52</v>
      </c>
      <c r="P186" s="1">
        <v>45600.340462962966</v>
      </c>
      <c r="Q186">
        <v>16</v>
      </c>
      <c r="R186" t="s">
        <v>32</v>
      </c>
      <c r="S186">
        <v>-0.32849807127203501</v>
      </c>
      <c r="T186" t="b">
        <v>0</v>
      </c>
      <c r="U186" t="b">
        <v>0</v>
      </c>
      <c r="V186" t="b">
        <f t="shared" si="4"/>
        <v>1</v>
      </c>
      <c r="W186">
        <v>0</v>
      </c>
      <c r="Y186">
        <f t="shared" si="5"/>
        <v>0</v>
      </c>
    </row>
    <row r="187" spans="1:25" x14ac:dyDescent="0.3">
      <c r="A187" t="s">
        <v>821</v>
      </c>
      <c r="B187" t="s">
        <v>822</v>
      </c>
      <c r="C187">
        <v>399.21</v>
      </c>
      <c r="D187" s="1">
        <v>44956.67765046296</v>
      </c>
      <c r="E187" t="s">
        <v>25</v>
      </c>
      <c r="F187" t="s">
        <v>608</v>
      </c>
      <c r="G187" t="s">
        <v>823</v>
      </c>
      <c r="H187" t="s">
        <v>824</v>
      </c>
      <c r="I187" t="s">
        <v>632</v>
      </c>
      <c r="J187" t="s">
        <v>30</v>
      </c>
      <c r="K187">
        <v>59</v>
      </c>
      <c r="L187" t="s">
        <v>89</v>
      </c>
      <c r="M187">
        <v>109</v>
      </c>
      <c r="N187">
        <v>1</v>
      </c>
      <c r="O187">
        <v>3210.39</v>
      </c>
      <c r="P187" s="1">
        <v>45600.339131944442</v>
      </c>
      <c r="Q187">
        <v>16</v>
      </c>
      <c r="R187" t="s">
        <v>47</v>
      </c>
      <c r="S187">
        <v>0.34806483877461603</v>
      </c>
      <c r="T187" t="b">
        <v>0</v>
      </c>
      <c r="U187" t="b">
        <v>0</v>
      </c>
      <c r="V187" t="b">
        <f t="shared" si="4"/>
        <v>1</v>
      </c>
      <c r="W187">
        <v>0</v>
      </c>
      <c r="Y187">
        <f t="shared" si="5"/>
        <v>0</v>
      </c>
    </row>
    <row r="188" spans="1:25" x14ac:dyDescent="0.3">
      <c r="A188" t="s">
        <v>825</v>
      </c>
      <c r="B188" t="s">
        <v>826</v>
      </c>
      <c r="C188">
        <v>1041.8800000000001</v>
      </c>
      <c r="D188" s="1">
        <v>45175.697245370371</v>
      </c>
      <c r="E188" t="s">
        <v>25</v>
      </c>
      <c r="F188" t="s">
        <v>405</v>
      </c>
      <c r="G188" t="s">
        <v>827</v>
      </c>
      <c r="H188" t="s">
        <v>828</v>
      </c>
      <c r="I188" t="s">
        <v>431</v>
      </c>
      <c r="J188" t="s">
        <v>45</v>
      </c>
      <c r="K188">
        <v>78</v>
      </c>
      <c r="L188" t="s">
        <v>82</v>
      </c>
      <c r="M188">
        <v>57</v>
      </c>
      <c r="N188">
        <v>1</v>
      </c>
      <c r="O188">
        <v>5726.2</v>
      </c>
      <c r="P188" s="1">
        <v>45600.338009259256</v>
      </c>
      <c r="Q188">
        <v>16</v>
      </c>
      <c r="R188" t="s">
        <v>74</v>
      </c>
      <c r="S188">
        <v>2.5493947567559898</v>
      </c>
      <c r="T188" t="b">
        <v>1</v>
      </c>
      <c r="U188" t="b">
        <v>0</v>
      </c>
      <c r="V188" t="b">
        <f t="shared" si="4"/>
        <v>1</v>
      </c>
      <c r="W188">
        <v>1</v>
      </c>
      <c r="Y188">
        <f t="shared" si="5"/>
        <v>1</v>
      </c>
    </row>
    <row r="189" spans="1:25" x14ac:dyDescent="0.3">
      <c r="A189" t="s">
        <v>829</v>
      </c>
      <c r="B189" t="s">
        <v>830</v>
      </c>
      <c r="C189">
        <v>630.36</v>
      </c>
      <c r="D189" s="1">
        <v>44987.67491898148</v>
      </c>
      <c r="E189" t="s">
        <v>25</v>
      </c>
      <c r="F189" t="s">
        <v>41</v>
      </c>
      <c r="G189" t="s">
        <v>831</v>
      </c>
      <c r="H189" t="s">
        <v>832</v>
      </c>
      <c r="I189" t="s">
        <v>833</v>
      </c>
      <c r="J189" t="s">
        <v>30</v>
      </c>
      <c r="K189">
        <v>62</v>
      </c>
      <c r="L189" t="s">
        <v>82</v>
      </c>
      <c r="M189">
        <v>52</v>
      </c>
      <c r="N189">
        <v>1</v>
      </c>
      <c r="O189">
        <v>1363.65</v>
      </c>
      <c r="P189" s="1">
        <v>45600.341840277775</v>
      </c>
      <c r="Q189">
        <v>16</v>
      </c>
      <c r="R189" t="s">
        <v>141</v>
      </c>
      <c r="S189">
        <v>1.1398201883963399</v>
      </c>
      <c r="T189" t="b">
        <v>0</v>
      </c>
      <c r="U189" t="b">
        <v>0</v>
      </c>
      <c r="V189" t="b">
        <f t="shared" si="4"/>
        <v>1</v>
      </c>
      <c r="W189">
        <v>0</v>
      </c>
      <c r="Y189">
        <f t="shared" si="5"/>
        <v>0</v>
      </c>
    </row>
    <row r="190" spans="1:25" x14ac:dyDescent="0.3">
      <c r="A190" t="s">
        <v>834</v>
      </c>
      <c r="B190" t="s">
        <v>835</v>
      </c>
      <c r="C190">
        <v>10.94</v>
      </c>
      <c r="D190" s="1">
        <v>45222.725081018521</v>
      </c>
      <c r="E190" t="s">
        <v>57</v>
      </c>
      <c r="F190" t="s">
        <v>256</v>
      </c>
      <c r="G190" t="s">
        <v>836</v>
      </c>
      <c r="H190" t="s">
        <v>837</v>
      </c>
      <c r="I190" t="s">
        <v>173</v>
      </c>
      <c r="J190" t="s">
        <v>30</v>
      </c>
      <c r="K190">
        <v>60</v>
      </c>
      <c r="L190" t="s">
        <v>89</v>
      </c>
      <c r="M190">
        <v>245</v>
      </c>
      <c r="N190">
        <v>1</v>
      </c>
      <c r="O190">
        <v>1241.99</v>
      </c>
      <c r="P190" s="1">
        <v>45600.341585648152</v>
      </c>
      <c r="Q190">
        <v>17</v>
      </c>
      <c r="R190" t="s">
        <v>47</v>
      </c>
      <c r="S190">
        <v>-0.98187178072626202</v>
      </c>
      <c r="T190" t="b">
        <v>0</v>
      </c>
      <c r="U190" t="b">
        <v>0</v>
      </c>
      <c r="V190" t="b">
        <f t="shared" si="4"/>
        <v>1</v>
      </c>
      <c r="W190">
        <v>0</v>
      </c>
      <c r="Y190">
        <f t="shared" si="5"/>
        <v>0</v>
      </c>
    </row>
    <row r="191" spans="1:25" x14ac:dyDescent="0.3">
      <c r="A191" t="s">
        <v>838</v>
      </c>
      <c r="B191" t="s">
        <v>839</v>
      </c>
      <c r="C191">
        <v>215.9</v>
      </c>
      <c r="D191" s="1">
        <v>44930.66815972222</v>
      </c>
      <c r="E191" t="s">
        <v>25</v>
      </c>
      <c r="F191" t="s">
        <v>153</v>
      </c>
      <c r="G191" t="s">
        <v>840</v>
      </c>
      <c r="H191" t="s">
        <v>841</v>
      </c>
      <c r="I191" t="s">
        <v>173</v>
      </c>
      <c r="J191" t="s">
        <v>30</v>
      </c>
      <c r="K191">
        <v>38</v>
      </c>
      <c r="L191" t="s">
        <v>31</v>
      </c>
      <c r="M191">
        <v>235</v>
      </c>
      <c r="N191">
        <v>1</v>
      </c>
      <c r="O191">
        <v>7873.28</v>
      </c>
      <c r="P191" s="1">
        <v>45600.340543981481</v>
      </c>
      <c r="Q191">
        <v>16</v>
      </c>
      <c r="R191" t="s">
        <v>74</v>
      </c>
      <c r="S191">
        <v>-0.27982472704480299</v>
      </c>
      <c r="T191" t="b">
        <v>0</v>
      </c>
      <c r="U191" t="b">
        <v>0</v>
      </c>
      <c r="V191" t="b">
        <f t="shared" si="4"/>
        <v>1</v>
      </c>
      <c r="W191">
        <v>0</v>
      </c>
      <c r="Y191">
        <f t="shared" si="5"/>
        <v>0</v>
      </c>
    </row>
    <row r="192" spans="1:25" x14ac:dyDescent="0.3">
      <c r="A192" t="s">
        <v>842</v>
      </c>
      <c r="B192" t="s">
        <v>563</v>
      </c>
      <c r="C192">
        <v>1422.55</v>
      </c>
      <c r="D192" s="1">
        <v>45117.742569444446</v>
      </c>
      <c r="E192" t="s">
        <v>25</v>
      </c>
      <c r="F192" t="s">
        <v>466</v>
      </c>
      <c r="G192" t="s">
        <v>843</v>
      </c>
      <c r="H192" t="s">
        <v>122</v>
      </c>
      <c r="I192" t="s">
        <v>844</v>
      </c>
      <c r="J192" t="s">
        <v>81</v>
      </c>
      <c r="K192">
        <v>79</v>
      </c>
      <c r="L192" t="s">
        <v>82</v>
      </c>
      <c r="M192">
        <v>165</v>
      </c>
      <c r="N192">
        <v>1</v>
      </c>
      <c r="O192">
        <v>5674.32</v>
      </c>
      <c r="P192" s="1">
        <v>45600.338078703702</v>
      </c>
      <c r="Q192">
        <v>17</v>
      </c>
      <c r="R192" t="s">
        <v>47</v>
      </c>
      <c r="S192">
        <v>3.8532991865223898</v>
      </c>
      <c r="T192" t="b">
        <v>1</v>
      </c>
      <c r="U192" t="b">
        <v>0</v>
      </c>
      <c r="V192" t="b">
        <f t="shared" si="4"/>
        <v>1</v>
      </c>
      <c r="W192">
        <v>1</v>
      </c>
      <c r="Y192">
        <f t="shared" si="5"/>
        <v>1</v>
      </c>
    </row>
    <row r="193" spans="1:25" x14ac:dyDescent="0.3">
      <c r="A193" t="s">
        <v>845</v>
      </c>
      <c r="B193" t="s">
        <v>826</v>
      </c>
      <c r="C193">
        <v>226.37</v>
      </c>
      <c r="D193" s="1">
        <v>45187.713287037041</v>
      </c>
      <c r="E193" t="s">
        <v>57</v>
      </c>
      <c r="F193" t="s">
        <v>120</v>
      </c>
      <c r="G193" t="s">
        <v>846</v>
      </c>
      <c r="H193" t="s">
        <v>847</v>
      </c>
      <c r="I193" t="s">
        <v>589</v>
      </c>
      <c r="J193" t="s">
        <v>81</v>
      </c>
      <c r="K193">
        <v>49</v>
      </c>
      <c r="L193" t="s">
        <v>31</v>
      </c>
      <c r="M193">
        <v>141</v>
      </c>
      <c r="N193">
        <v>1</v>
      </c>
      <c r="O193">
        <v>9840.0400000000009</v>
      </c>
      <c r="P193" s="1">
        <v>45600.340231481481</v>
      </c>
      <c r="Q193">
        <v>17</v>
      </c>
      <c r="R193" t="s">
        <v>47</v>
      </c>
      <c r="S193">
        <v>-0.24396196039743301</v>
      </c>
      <c r="T193" t="b">
        <v>0</v>
      </c>
      <c r="U193" t="b">
        <v>0</v>
      </c>
      <c r="V193" t="b">
        <f t="shared" si="4"/>
        <v>1</v>
      </c>
      <c r="W193">
        <v>0</v>
      </c>
      <c r="Y193">
        <f t="shared" si="5"/>
        <v>0</v>
      </c>
    </row>
    <row r="194" spans="1:25" x14ac:dyDescent="0.3">
      <c r="A194" t="s">
        <v>848</v>
      </c>
      <c r="B194" t="s">
        <v>409</v>
      </c>
      <c r="C194">
        <v>444.89</v>
      </c>
      <c r="D194" s="1">
        <v>45180.685868055552</v>
      </c>
      <c r="E194" t="s">
        <v>57</v>
      </c>
      <c r="F194" t="s">
        <v>159</v>
      </c>
      <c r="G194" t="s">
        <v>849</v>
      </c>
      <c r="H194" t="s">
        <v>850</v>
      </c>
      <c r="I194" t="s">
        <v>419</v>
      </c>
      <c r="J194" t="s">
        <v>81</v>
      </c>
      <c r="K194">
        <v>43</v>
      </c>
      <c r="L194" t="s">
        <v>31</v>
      </c>
      <c r="M194">
        <v>101</v>
      </c>
      <c r="N194">
        <v>1</v>
      </c>
      <c r="O194">
        <v>10328.23</v>
      </c>
      <c r="P194" s="1">
        <v>45600.341550925928</v>
      </c>
      <c r="Q194">
        <v>16</v>
      </c>
      <c r="R194" t="s">
        <v>47</v>
      </c>
      <c r="S194">
        <v>0.50453200023133504</v>
      </c>
      <c r="T194" t="b">
        <v>0</v>
      </c>
      <c r="U194" t="b">
        <v>0</v>
      </c>
      <c r="V194" t="b">
        <f t="shared" si="4"/>
        <v>1</v>
      </c>
      <c r="W194">
        <v>0</v>
      </c>
      <c r="Y194">
        <f t="shared" si="5"/>
        <v>0</v>
      </c>
    </row>
    <row r="195" spans="1:25" x14ac:dyDescent="0.3">
      <c r="A195" t="s">
        <v>851</v>
      </c>
      <c r="B195" t="s">
        <v>852</v>
      </c>
      <c r="C195">
        <v>280.57</v>
      </c>
      <c r="D195" s="1">
        <v>44953.73269675926</v>
      </c>
      <c r="E195" t="s">
        <v>57</v>
      </c>
      <c r="F195" t="s">
        <v>314</v>
      </c>
      <c r="G195" t="s">
        <v>853</v>
      </c>
      <c r="H195" t="s">
        <v>854</v>
      </c>
      <c r="I195" t="s">
        <v>123</v>
      </c>
      <c r="J195" t="s">
        <v>45</v>
      </c>
      <c r="K195">
        <v>25</v>
      </c>
      <c r="L195" t="s">
        <v>46</v>
      </c>
      <c r="M195">
        <v>24</v>
      </c>
      <c r="N195">
        <v>1</v>
      </c>
      <c r="O195">
        <v>293.24</v>
      </c>
      <c r="P195" s="1">
        <v>45600.340555555558</v>
      </c>
      <c r="Q195">
        <v>17</v>
      </c>
      <c r="R195" t="s">
        <v>54</v>
      </c>
      <c r="S195">
        <v>-5.8311344133113202E-2</v>
      </c>
      <c r="T195" t="b">
        <v>0</v>
      </c>
      <c r="U195" t="b">
        <v>0</v>
      </c>
      <c r="V195" t="b">
        <f t="shared" ref="V195:V258" si="6">ISLOGICAL(T195)</f>
        <v>1</v>
      </c>
      <c r="W195">
        <v>0</v>
      </c>
      <c r="Y195">
        <f t="shared" ref="Y195:Y258" si="7">--T195</f>
        <v>0</v>
      </c>
    </row>
    <row r="196" spans="1:25" x14ac:dyDescent="0.3">
      <c r="A196" t="s">
        <v>855</v>
      </c>
      <c r="B196" t="s">
        <v>856</v>
      </c>
      <c r="C196">
        <v>488.54</v>
      </c>
      <c r="D196" s="1">
        <v>45110.741539351853</v>
      </c>
      <c r="E196" t="s">
        <v>25</v>
      </c>
      <c r="F196" t="s">
        <v>405</v>
      </c>
      <c r="G196" t="s">
        <v>127</v>
      </c>
      <c r="H196" t="s">
        <v>857</v>
      </c>
      <c r="I196" t="s">
        <v>321</v>
      </c>
      <c r="J196" t="s">
        <v>81</v>
      </c>
      <c r="K196">
        <v>52</v>
      </c>
      <c r="L196" t="s">
        <v>89</v>
      </c>
      <c r="M196">
        <v>132</v>
      </c>
      <c r="N196">
        <v>1</v>
      </c>
      <c r="O196">
        <v>7486.63</v>
      </c>
      <c r="P196" s="1">
        <v>45600.338495370372</v>
      </c>
      <c r="Q196">
        <v>17</v>
      </c>
      <c r="R196" t="s">
        <v>47</v>
      </c>
      <c r="S196">
        <v>0.65404582679844903</v>
      </c>
      <c r="T196" t="b">
        <v>0</v>
      </c>
      <c r="U196" t="b">
        <v>0</v>
      </c>
      <c r="V196" t="b">
        <f t="shared" si="6"/>
        <v>1</v>
      </c>
      <c r="W196">
        <v>0</v>
      </c>
      <c r="Y196">
        <f t="shared" si="7"/>
        <v>0</v>
      </c>
    </row>
    <row r="197" spans="1:25" x14ac:dyDescent="0.3">
      <c r="A197" t="s">
        <v>858</v>
      </c>
      <c r="B197" t="s">
        <v>794</v>
      </c>
      <c r="C197">
        <v>3.3</v>
      </c>
      <c r="D197" s="1">
        <v>45012.696018518516</v>
      </c>
      <c r="E197" t="s">
        <v>57</v>
      </c>
      <c r="F197" t="s">
        <v>153</v>
      </c>
      <c r="G197" t="s">
        <v>859</v>
      </c>
      <c r="H197" t="s">
        <v>155</v>
      </c>
      <c r="I197" t="s">
        <v>687</v>
      </c>
      <c r="J197" t="s">
        <v>81</v>
      </c>
      <c r="K197">
        <v>50</v>
      </c>
      <c r="L197" t="s">
        <v>31</v>
      </c>
      <c r="M197">
        <v>131</v>
      </c>
      <c r="N197">
        <v>1</v>
      </c>
      <c r="O197">
        <v>11385.37</v>
      </c>
      <c r="P197" s="1">
        <v>45600.340405092589</v>
      </c>
      <c r="Q197">
        <v>16</v>
      </c>
      <c r="R197" t="s">
        <v>47</v>
      </c>
      <c r="S197">
        <v>-1.0080409819856599</v>
      </c>
      <c r="T197" t="b">
        <v>0</v>
      </c>
      <c r="U197" t="b">
        <v>0</v>
      </c>
      <c r="V197" t="b">
        <f t="shared" si="6"/>
        <v>1</v>
      </c>
      <c r="W197">
        <v>0</v>
      </c>
      <c r="Y197">
        <f t="shared" si="7"/>
        <v>0</v>
      </c>
    </row>
    <row r="198" spans="1:25" x14ac:dyDescent="0.3">
      <c r="A198" t="s">
        <v>860</v>
      </c>
      <c r="B198" t="s">
        <v>861</v>
      </c>
      <c r="C198">
        <v>199.39</v>
      </c>
      <c r="D198" s="1">
        <v>45159.678032407406</v>
      </c>
      <c r="E198" t="s">
        <v>25</v>
      </c>
      <c r="F198" t="s">
        <v>534</v>
      </c>
      <c r="G198" t="s">
        <v>299</v>
      </c>
      <c r="H198" t="s">
        <v>862</v>
      </c>
      <c r="I198" t="s">
        <v>295</v>
      </c>
      <c r="J198" t="s">
        <v>81</v>
      </c>
      <c r="K198">
        <v>69</v>
      </c>
      <c r="L198" t="s">
        <v>82</v>
      </c>
      <c r="M198">
        <v>165</v>
      </c>
      <c r="N198">
        <v>1</v>
      </c>
      <c r="O198">
        <v>7264.79</v>
      </c>
      <c r="P198" s="1">
        <v>45600.33965277778</v>
      </c>
      <c r="Q198">
        <v>16</v>
      </c>
      <c r="R198" t="s">
        <v>47</v>
      </c>
      <c r="S198">
        <v>-0.33637623395483801</v>
      </c>
      <c r="T198" t="b">
        <v>0</v>
      </c>
      <c r="U198" t="b">
        <v>0</v>
      </c>
      <c r="V198" t="b">
        <f t="shared" si="6"/>
        <v>1</v>
      </c>
      <c r="W198">
        <v>0</v>
      </c>
      <c r="Y198">
        <f t="shared" si="7"/>
        <v>0</v>
      </c>
    </row>
    <row r="199" spans="1:25" x14ac:dyDescent="0.3">
      <c r="A199" t="s">
        <v>863</v>
      </c>
      <c r="B199" t="s">
        <v>864</v>
      </c>
      <c r="C199">
        <v>20.36</v>
      </c>
      <c r="D199" s="1">
        <v>45131.709930555553</v>
      </c>
      <c r="E199" t="s">
        <v>25</v>
      </c>
      <c r="F199" t="s">
        <v>268</v>
      </c>
      <c r="G199" t="s">
        <v>865</v>
      </c>
      <c r="H199" t="s">
        <v>536</v>
      </c>
      <c r="I199" t="s">
        <v>866</v>
      </c>
      <c r="J199" t="s">
        <v>81</v>
      </c>
      <c r="K199">
        <v>62</v>
      </c>
      <c r="L199" t="s">
        <v>82</v>
      </c>
      <c r="M199">
        <v>75</v>
      </c>
      <c r="N199">
        <v>1</v>
      </c>
      <c r="O199">
        <v>2762.48</v>
      </c>
      <c r="P199" s="1">
        <v>45600.341145833336</v>
      </c>
      <c r="Q199">
        <v>17</v>
      </c>
      <c r="R199" t="s">
        <v>47</v>
      </c>
      <c r="S199">
        <v>-0.949605566607998</v>
      </c>
      <c r="T199" t="b">
        <v>0</v>
      </c>
      <c r="U199" t="b">
        <v>0</v>
      </c>
      <c r="V199" t="b">
        <f t="shared" si="6"/>
        <v>1</v>
      </c>
      <c r="W199">
        <v>0</v>
      </c>
      <c r="Y199">
        <f t="shared" si="7"/>
        <v>0</v>
      </c>
    </row>
    <row r="200" spans="1:25" x14ac:dyDescent="0.3">
      <c r="A200" t="s">
        <v>867</v>
      </c>
      <c r="B200" t="s">
        <v>868</v>
      </c>
      <c r="C200">
        <v>113.64</v>
      </c>
      <c r="D200" s="1">
        <v>45223.715057870373</v>
      </c>
      <c r="E200" t="s">
        <v>25</v>
      </c>
      <c r="F200" t="s">
        <v>85</v>
      </c>
      <c r="G200" t="s">
        <v>869</v>
      </c>
      <c r="H200" t="s">
        <v>870</v>
      </c>
      <c r="I200" t="s">
        <v>871</v>
      </c>
      <c r="J200" t="s">
        <v>45</v>
      </c>
      <c r="K200">
        <v>62</v>
      </c>
      <c r="L200" t="s">
        <v>82</v>
      </c>
      <c r="M200">
        <v>32</v>
      </c>
      <c r="N200">
        <v>1</v>
      </c>
      <c r="O200">
        <v>6675.03</v>
      </c>
      <c r="P200" s="1">
        <v>45600.338831018518</v>
      </c>
      <c r="Q200">
        <v>17</v>
      </c>
      <c r="R200" t="s">
        <v>32</v>
      </c>
      <c r="S200">
        <v>-0.63009469049848199</v>
      </c>
      <c r="T200" t="b">
        <v>0</v>
      </c>
      <c r="U200" t="b">
        <v>0</v>
      </c>
      <c r="V200" t="b">
        <f t="shared" si="6"/>
        <v>1</v>
      </c>
      <c r="W200">
        <v>0</v>
      </c>
      <c r="Y200">
        <f t="shared" si="7"/>
        <v>0</v>
      </c>
    </row>
    <row r="201" spans="1:25" x14ac:dyDescent="0.3">
      <c r="A201" t="s">
        <v>872</v>
      </c>
      <c r="B201" t="s">
        <v>598</v>
      </c>
      <c r="C201">
        <v>493.11</v>
      </c>
      <c r="D201" s="1">
        <v>45138.684328703705</v>
      </c>
      <c r="E201" t="s">
        <v>25</v>
      </c>
      <c r="F201" t="s">
        <v>534</v>
      </c>
      <c r="G201" t="s">
        <v>197</v>
      </c>
      <c r="H201" t="s">
        <v>873</v>
      </c>
      <c r="I201" t="s">
        <v>167</v>
      </c>
      <c r="J201" t="s">
        <v>81</v>
      </c>
      <c r="K201">
        <v>53</v>
      </c>
      <c r="L201" t="s">
        <v>82</v>
      </c>
      <c r="M201">
        <v>236</v>
      </c>
      <c r="N201">
        <v>1</v>
      </c>
      <c r="O201">
        <v>7432.99</v>
      </c>
      <c r="P201" s="1">
        <v>45600.338900462964</v>
      </c>
      <c r="Q201">
        <v>16</v>
      </c>
      <c r="R201" t="s">
        <v>47</v>
      </c>
      <c r="S201">
        <v>0.669699393520367</v>
      </c>
      <c r="T201" t="b">
        <v>0</v>
      </c>
      <c r="U201" t="b">
        <v>0</v>
      </c>
      <c r="V201" t="b">
        <f t="shared" si="6"/>
        <v>1</v>
      </c>
      <c r="W201">
        <v>0</v>
      </c>
      <c r="Y201">
        <f t="shared" si="7"/>
        <v>0</v>
      </c>
    </row>
    <row r="202" spans="1:25" x14ac:dyDescent="0.3">
      <c r="A202" t="s">
        <v>874</v>
      </c>
      <c r="B202" t="s">
        <v>839</v>
      </c>
      <c r="C202">
        <v>307.41000000000003</v>
      </c>
      <c r="D202" s="1">
        <v>45089.731157407405</v>
      </c>
      <c r="E202" t="s">
        <v>25</v>
      </c>
      <c r="F202" t="s">
        <v>153</v>
      </c>
      <c r="G202" t="s">
        <v>875</v>
      </c>
      <c r="H202" t="s">
        <v>876</v>
      </c>
      <c r="I202" t="s">
        <v>95</v>
      </c>
      <c r="J202" t="s">
        <v>30</v>
      </c>
      <c r="K202">
        <v>19</v>
      </c>
      <c r="L202" t="s">
        <v>46</v>
      </c>
      <c r="M202">
        <v>14</v>
      </c>
      <c r="N202">
        <v>1</v>
      </c>
      <c r="O202">
        <v>1057</v>
      </c>
      <c r="P202" s="1">
        <v>45600.340138888889</v>
      </c>
      <c r="Q202">
        <v>17</v>
      </c>
      <c r="R202" t="s">
        <v>47</v>
      </c>
      <c r="S202">
        <v>3.3623389087077897E-2</v>
      </c>
      <c r="T202" t="b">
        <v>0</v>
      </c>
      <c r="U202" t="b">
        <v>0</v>
      </c>
      <c r="V202" t="b">
        <f t="shared" si="6"/>
        <v>1</v>
      </c>
      <c r="W202">
        <v>0</v>
      </c>
      <c r="Y202">
        <f t="shared" si="7"/>
        <v>0</v>
      </c>
    </row>
    <row r="203" spans="1:25" x14ac:dyDescent="0.3">
      <c r="A203" t="s">
        <v>877</v>
      </c>
      <c r="B203" t="s">
        <v>497</v>
      </c>
      <c r="C203">
        <v>11.18</v>
      </c>
      <c r="D203" s="1">
        <v>45260.703263888892</v>
      </c>
      <c r="E203" t="s">
        <v>25</v>
      </c>
      <c r="F203" t="s">
        <v>58</v>
      </c>
      <c r="G203" t="s">
        <v>878</v>
      </c>
      <c r="H203" t="s">
        <v>879</v>
      </c>
      <c r="I203" t="s">
        <v>123</v>
      </c>
      <c r="J203" t="s">
        <v>45</v>
      </c>
      <c r="K203">
        <v>43</v>
      </c>
      <c r="L203" t="s">
        <v>31</v>
      </c>
      <c r="M203">
        <v>161</v>
      </c>
      <c r="N203">
        <v>1</v>
      </c>
      <c r="O203">
        <v>5956.89</v>
      </c>
      <c r="P203" s="1">
        <v>45600.340509259258</v>
      </c>
      <c r="Q203">
        <v>16</v>
      </c>
      <c r="R203" t="s">
        <v>141</v>
      </c>
      <c r="S203">
        <v>-0.98104971157675203</v>
      </c>
      <c r="T203" t="b">
        <v>0</v>
      </c>
      <c r="U203" t="b">
        <v>0</v>
      </c>
      <c r="V203" t="b">
        <f t="shared" si="6"/>
        <v>1</v>
      </c>
      <c r="W203">
        <v>0</v>
      </c>
      <c r="Y203">
        <f t="shared" si="7"/>
        <v>0</v>
      </c>
    </row>
    <row r="204" spans="1:25" x14ac:dyDescent="0.3">
      <c r="A204" t="s">
        <v>880</v>
      </c>
      <c r="B204" t="s">
        <v>881</v>
      </c>
      <c r="C204">
        <v>313.82</v>
      </c>
      <c r="D204" s="1">
        <v>45245.790023148147</v>
      </c>
      <c r="E204" t="s">
        <v>25</v>
      </c>
      <c r="F204" t="s">
        <v>268</v>
      </c>
      <c r="G204" t="s">
        <v>226</v>
      </c>
      <c r="H204" t="s">
        <v>311</v>
      </c>
      <c r="I204" t="s">
        <v>361</v>
      </c>
      <c r="J204" t="s">
        <v>81</v>
      </c>
      <c r="K204">
        <v>59</v>
      </c>
      <c r="L204" t="s">
        <v>89</v>
      </c>
      <c r="M204">
        <v>151</v>
      </c>
      <c r="N204">
        <v>1</v>
      </c>
      <c r="O204">
        <v>7261.59</v>
      </c>
      <c r="P204" s="1">
        <v>45600.339375000003</v>
      </c>
      <c r="Q204">
        <v>18</v>
      </c>
      <c r="R204" t="s">
        <v>74</v>
      </c>
      <c r="S204">
        <v>5.5579485955238199E-2</v>
      </c>
      <c r="T204" t="b">
        <v>0</v>
      </c>
      <c r="U204" t="b">
        <v>0</v>
      </c>
      <c r="V204" t="b">
        <f t="shared" si="6"/>
        <v>1</v>
      </c>
      <c r="W204">
        <v>0</v>
      </c>
      <c r="Y204">
        <f t="shared" si="7"/>
        <v>0</v>
      </c>
    </row>
    <row r="205" spans="1:25" x14ac:dyDescent="0.3">
      <c r="A205" t="s">
        <v>882</v>
      </c>
      <c r="B205" t="s">
        <v>735</v>
      </c>
      <c r="C205">
        <v>51</v>
      </c>
      <c r="D205" s="1">
        <v>44956.66710648148</v>
      </c>
      <c r="E205" t="s">
        <v>25</v>
      </c>
      <c r="F205" t="s">
        <v>70</v>
      </c>
      <c r="G205" t="s">
        <v>93</v>
      </c>
      <c r="H205" t="s">
        <v>883</v>
      </c>
      <c r="I205" t="s">
        <v>383</v>
      </c>
      <c r="J205" t="s">
        <v>81</v>
      </c>
      <c r="K205">
        <v>64</v>
      </c>
      <c r="L205" t="s">
        <v>82</v>
      </c>
      <c r="M205">
        <v>107</v>
      </c>
      <c r="N205">
        <v>1</v>
      </c>
      <c r="O205">
        <v>4943.16</v>
      </c>
      <c r="P205" s="1">
        <v>45600.339155092595</v>
      </c>
      <c r="Q205">
        <v>16</v>
      </c>
      <c r="R205" t="s">
        <v>47</v>
      </c>
      <c r="S205">
        <v>-0.84465473852056705</v>
      </c>
      <c r="T205" t="b">
        <v>0</v>
      </c>
      <c r="U205" t="b">
        <v>0</v>
      </c>
      <c r="V205" t="b">
        <f t="shared" si="6"/>
        <v>1</v>
      </c>
      <c r="W205">
        <v>0</v>
      </c>
      <c r="Y205">
        <f t="shared" si="7"/>
        <v>0</v>
      </c>
    </row>
    <row r="206" spans="1:25" x14ac:dyDescent="0.3">
      <c r="A206" t="s">
        <v>884</v>
      </c>
      <c r="B206" t="s">
        <v>885</v>
      </c>
      <c r="C206">
        <v>140.97999999999999</v>
      </c>
      <c r="D206" s="1">
        <v>45071.690532407411</v>
      </c>
      <c r="E206" t="s">
        <v>25</v>
      </c>
      <c r="F206" t="s">
        <v>104</v>
      </c>
      <c r="G206" t="s">
        <v>886</v>
      </c>
      <c r="H206" t="s">
        <v>887</v>
      </c>
      <c r="I206" t="s">
        <v>140</v>
      </c>
      <c r="J206" t="s">
        <v>81</v>
      </c>
      <c r="K206">
        <v>60</v>
      </c>
      <c r="L206" t="s">
        <v>89</v>
      </c>
      <c r="M206">
        <v>100</v>
      </c>
      <c r="N206">
        <v>1</v>
      </c>
      <c r="O206">
        <v>8127.48</v>
      </c>
      <c r="P206" s="1">
        <v>45600.341817129629</v>
      </c>
      <c r="Q206">
        <v>16</v>
      </c>
      <c r="R206" t="s">
        <v>141</v>
      </c>
      <c r="S206">
        <v>-0.53644731321681205</v>
      </c>
      <c r="T206" t="b">
        <v>0</v>
      </c>
      <c r="U206" t="b">
        <v>0</v>
      </c>
      <c r="V206" t="b">
        <f t="shared" si="6"/>
        <v>1</v>
      </c>
      <c r="W206">
        <v>0</v>
      </c>
      <c r="Y206">
        <f t="shared" si="7"/>
        <v>0</v>
      </c>
    </row>
    <row r="207" spans="1:25" x14ac:dyDescent="0.3">
      <c r="A207" t="s">
        <v>888</v>
      </c>
      <c r="B207" t="s">
        <v>889</v>
      </c>
      <c r="C207">
        <v>288.04000000000002</v>
      </c>
      <c r="D207" s="1">
        <v>45162.699548611112</v>
      </c>
      <c r="E207" t="s">
        <v>25</v>
      </c>
      <c r="F207" t="s">
        <v>126</v>
      </c>
      <c r="G207" t="s">
        <v>890</v>
      </c>
      <c r="H207" t="s">
        <v>891</v>
      </c>
      <c r="I207" t="s">
        <v>199</v>
      </c>
      <c r="J207" t="s">
        <v>30</v>
      </c>
      <c r="K207">
        <v>68</v>
      </c>
      <c r="L207" t="s">
        <v>82</v>
      </c>
      <c r="M207">
        <v>63</v>
      </c>
      <c r="N207">
        <v>1</v>
      </c>
      <c r="O207">
        <v>1748.02</v>
      </c>
      <c r="P207" s="1">
        <v>45600.340277777781</v>
      </c>
      <c r="Q207">
        <v>16</v>
      </c>
      <c r="R207" t="s">
        <v>141</v>
      </c>
      <c r="S207">
        <v>-3.27244418546173E-2</v>
      </c>
      <c r="T207" t="b">
        <v>0</v>
      </c>
      <c r="U207" t="b">
        <v>0</v>
      </c>
      <c r="V207" t="b">
        <f t="shared" si="6"/>
        <v>1</v>
      </c>
      <c r="W207">
        <v>0</v>
      </c>
      <c r="Y207">
        <f t="shared" si="7"/>
        <v>0</v>
      </c>
    </row>
    <row r="208" spans="1:25" x14ac:dyDescent="0.3">
      <c r="A208" t="s">
        <v>892</v>
      </c>
      <c r="B208" t="s">
        <v>893</v>
      </c>
      <c r="C208">
        <v>800.55</v>
      </c>
      <c r="D208" s="1">
        <v>45050.681608796294</v>
      </c>
      <c r="E208" t="s">
        <v>25</v>
      </c>
      <c r="F208" t="s">
        <v>64</v>
      </c>
      <c r="G208" t="s">
        <v>894</v>
      </c>
      <c r="H208" t="s">
        <v>895</v>
      </c>
      <c r="I208" t="s">
        <v>632</v>
      </c>
      <c r="J208" t="s">
        <v>30</v>
      </c>
      <c r="K208">
        <v>31</v>
      </c>
      <c r="L208" t="s">
        <v>89</v>
      </c>
      <c r="M208">
        <v>108</v>
      </c>
      <c r="N208">
        <v>1</v>
      </c>
      <c r="O208">
        <v>9660.2199999999993</v>
      </c>
      <c r="P208" s="1">
        <v>45600.338067129633</v>
      </c>
      <c r="Q208">
        <v>16</v>
      </c>
      <c r="R208" t="s">
        <v>141</v>
      </c>
      <c r="S208">
        <v>1.7227699740425499</v>
      </c>
      <c r="T208" t="b">
        <v>0</v>
      </c>
      <c r="U208" t="b">
        <v>0</v>
      </c>
      <c r="V208" t="b">
        <f t="shared" si="6"/>
        <v>1</v>
      </c>
      <c r="W208">
        <v>0</v>
      </c>
      <c r="Y208">
        <f t="shared" si="7"/>
        <v>0</v>
      </c>
    </row>
    <row r="209" spans="1:25" x14ac:dyDescent="0.3">
      <c r="A209" t="s">
        <v>896</v>
      </c>
      <c r="B209" t="s">
        <v>897</v>
      </c>
      <c r="C209">
        <v>485.54</v>
      </c>
      <c r="D209" s="1">
        <v>44963.740960648145</v>
      </c>
      <c r="E209" t="s">
        <v>25</v>
      </c>
      <c r="F209" t="s">
        <v>35</v>
      </c>
      <c r="G209" t="s">
        <v>105</v>
      </c>
      <c r="H209" t="s">
        <v>72</v>
      </c>
      <c r="I209" t="s">
        <v>898</v>
      </c>
      <c r="J209" t="s">
        <v>30</v>
      </c>
      <c r="K209">
        <v>46</v>
      </c>
      <c r="L209" t="s">
        <v>89</v>
      </c>
      <c r="M209">
        <v>143</v>
      </c>
      <c r="N209">
        <v>1</v>
      </c>
      <c r="O209">
        <v>6371.51</v>
      </c>
      <c r="P209" s="1">
        <v>45600.341504629629</v>
      </c>
      <c r="Q209">
        <v>17</v>
      </c>
      <c r="R209" t="s">
        <v>47</v>
      </c>
      <c r="S209">
        <v>0.64376996242957496</v>
      </c>
      <c r="T209" t="b">
        <v>0</v>
      </c>
      <c r="U209" t="b">
        <v>0</v>
      </c>
      <c r="V209" t="b">
        <f t="shared" si="6"/>
        <v>1</v>
      </c>
      <c r="W209">
        <v>0</v>
      </c>
      <c r="Y209">
        <f t="shared" si="7"/>
        <v>0</v>
      </c>
    </row>
    <row r="210" spans="1:25" x14ac:dyDescent="0.3">
      <c r="A210" t="s">
        <v>899</v>
      </c>
      <c r="B210" t="s">
        <v>169</v>
      </c>
      <c r="C210">
        <v>521.15</v>
      </c>
      <c r="D210" s="1">
        <v>44974.76116898148</v>
      </c>
      <c r="E210" t="s">
        <v>25</v>
      </c>
      <c r="F210" t="s">
        <v>304</v>
      </c>
      <c r="G210" t="s">
        <v>726</v>
      </c>
      <c r="H210" t="s">
        <v>900</v>
      </c>
      <c r="I210" t="s">
        <v>833</v>
      </c>
      <c r="J210" t="s">
        <v>30</v>
      </c>
      <c r="K210">
        <v>54</v>
      </c>
      <c r="L210" t="s">
        <v>31</v>
      </c>
      <c r="M210">
        <v>214</v>
      </c>
      <c r="N210">
        <v>1</v>
      </c>
      <c r="O210">
        <v>9442.4699999999993</v>
      </c>
      <c r="P210" s="1">
        <v>45600.338553240741</v>
      </c>
      <c r="Q210">
        <v>18</v>
      </c>
      <c r="R210" t="s">
        <v>54</v>
      </c>
      <c r="S210">
        <v>0.76574447248810695</v>
      </c>
      <c r="T210" t="b">
        <v>0</v>
      </c>
      <c r="U210" t="b">
        <v>0</v>
      </c>
      <c r="V210" t="b">
        <f t="shared" si="6"/>
        <v>1</v>
      </c>
      <c r="W210">
        <v>0</v>
      </c>
      <c r="Y210">
        <f t="shared" si="7"/>
        <v>0</v>
      </c>
    </row>
    <row r="211" spans="1:25" x14ac:dyDescent="0.3">
      <c r="A211" t="s">
        <v>901</v>
      </c>
      <c r="B211" t="s">
        <v>902</v>
      </c>
      <c r="C211">
        <v>321.79000000000002</v>
      </c>
      <c r="D211" s="1">
        <v>45145.729548611111</v>
      </c>
      <c r="E211" t="s">
        <v>57</v>
      </c>
      <c r="F211" t="s">
        <v>50</v>
      </c>
      <c r="G211" t="s">
        <v>903</v>
      </c>
      <c r="H211" t="s">
        <v>435</v>
      </c>
      <c r="I211" t="s">
        <v>695</v>
      </c>
      <c r="J211" t="s">
        <v>30</v>
      </c>
      <c r="K211">
        <v>63</v>
      </c>
      <c r="L211" t="s">
        <v>82</v>
      </c>
      <c r="M211">
        <v>61</v>
      </c>
      <c r="N211">
        <v>1</v>
      </c>
      <c r="O211">
        <v>5959.2</v>
      </c>
      <c r="P211" s="1">
        <v>45600.340289351851</v>
      </c>
      <c r="Q211">
        <v>17</v>
      </c>
      <c r="R211" t="s">
        <v>47</v>
      </c>
      <c r="S211">
        <v>8.2879032295212998E-2</v>
      </c>
      <c r="T211" t="b">
        <v>0</v>
      </c>
      <c r="U211" t="b">
        <v>0</v>
      </c>
      <c r="V211" t="b">
        <f t="shared" si="6"/>
        <v>1</v>
      </c>
      <c r="W211">
        <v>0</v>
      </c>
      <c r="Y211">
        <f t="shared" si="7"/>
        <v>0</v>
      </c>
    </row>
    <row r="212" spans="1:25" x14ac:dyDescent="0.3">
      <c r="A212" t="s">
        <v>904</v>
      </c>
      <c r="B212" t="s">
        <v>905</v>
      </c>
      <c r="C212">
        <v>304.93</v>
      </c>
      <c r="D212" s="1">
        <v>44981.682893518519</v>
      </c>
      <c r="E212" t="s">
        <v>25</v>
      </c>
      <c r="F212" t="s">
        <v>608</v>
      </c>
      <c r="G212" t="s">
        <v>906</v>
      </c>
      <c r="H212" t="s">
        <v>907</v>
      </c>
      <c r="I212" t="s">
        <v>647</v>
      </c>
      <c r="J212" t="s">
        <v>30</v>
      </c>
      <c r="K212">
        <v>65</v>
      </c>
      <c r="L212" t="s">
        <v>31</v>
      </c>
      <c r="M212">
        <v>158</v>
      </c>
      <c r="N212">
        <v>1</v>
      </c>
      <c r="O212">
        <v>13531.22</v>
      </c>
      <c r="P212" s="1">
        <v>45600.339062500003</v>
      </c>
      <c r="Q212">
        <v>16</v>
      </c>
      <c r="R212" t="s">
        <v>54</v>
      </c>
      <c r="S212">
        <v>2.5128674542142099E-2</v>
      </c>
      <c r="T212" t="b">
        <v>0</v>
      </c>
      <c r="U212" t="b">
        <v>0</v>
      </c>
      <c r="V212" t="b">
        <f t="shared" si="6"/>
        <v>1</v>
      </c>
      <c r="W212">
        <v>0</v>
      </c>
      <c r="Y212">
        <f t="shared" si="7"/>
        <v>0</v>
      </c>
    </row>
    <row r="213" spans="1:25" x14ac:dyDescent="0.3">
      <c r="A213" t="s">
        <v>908</v>
      </c>
      <c r="B213" t="s">
        <v>909</v>
      </c>
      <c r="C213">
        <v>432.08</v>
      </c>
      <c r="D213" s="1">
        <v>45138.670081018521</v>
      </c>
      <c r="E213" t="s">
        <v>25</v>
      </c>
      <c r="F213" t="s">
        <v>519</v>
      </c>
      <c r="G213" t="s">
        <v>413</v>
      </c>
      <c r="H213" t="s">
        <v>910</v>
      </c>
      <c r="I213" t="s">
        <v>265</v>
      </c>
      <c r="J213" t="s">
        <v>30</v>
      </c>
      <c r="K213">
        <v>40</v>
      </c>
      <c r="L213" t="s">
        <v>31</v>
      </c>
      <c r="M213">
        <v>145</v>
      </c>
      <c r="N213">
        <v>1</v>
      </c>
      <c r="O213">
        <v>11500.62</v>
      </c>
      <c r="P213" s="1">
        <v>45600.341504629629</v>
      </c>
      <c r="Q213">
        <v>16</v>
      </c>
      <c r="R213" t="s">
        <v>47</v>
      </c>
      <c r="S213">
        <v>0.46065405937624399</v>
      </c>
      <c r="T213" t="b">
        <v>0</v>
      </c>
      <c r="U213" t="b">
        <v>0</v>
      </c>
      <c r="V213" t="b">
        <f t="shared" si="6"/>
        <v>1</v>
      </c>
      <c r="W213">
        <v>0</v>
      </c>
      <c r="Y213">
        <f t="shared" si="7"/>
        <v>0</v>
      </c>
    </row>
    <row r="214" spans="1:25" x14ac:dyDescent="0.3">
      <c r="A214" t="s">
        <v>911</v>
      </c>
      <c r="B214" t="s">
        <v>912</v>
      </c>
      <c r="C214">
        <v>694.2</v>
      </c>
      <c r="D214" s="1">
        <v>45267.680648148147</v>
      </c>
      <c r="E214" t="s">
        <v>25</v>
      </c>
      <c r="F214" t="s">
        <v>191</v>
      </c>
      <c r="G214" t="s">
        <v>913</v>
      </c>
      <c r="H214" t="s">
        <v>352</v>
      </c>
      <c r="I214" t="s">
        <v>88</v>
      </c>
      <c r="J214" t="s">
        <v>30</v>
      </c>
      <c r="K214">
        <v>61</v>
      </c>
      <c r="L214" t="s">
        <v>82</v>
      </c>
      <c r="M214">
        <v>72</v>
      </c>
      <c r="N214">
        <v>1</v>
      </c>
      <c r="O214">
        <v>1389.37</v>
      </c>
      <c r="P214" s="1">
        <v>45600.338460648149</v>
      </c>
      <c r="Q214">
        <v>16</v>
      </c>
      <c r="R214" t="s">
        <v>141</v>
      </c>
      <c r="S214">
        <v>1.3584905821659701</v>
      </c>
      <c r="T214" t="b">
        <v>0</v>
      </c>
      <c r="U214" t="b">
        <v>0</v>
      </c>
      <c r="V214" t="b">
        <f t="shared" si="6"/>
        <v>1</v>
      </c>
      <c r="W214">
        <v>0</v>
      </c>
      <c r="Y214">
        <f t="shared" si="7"/>
        <v>0</v>
      </c>
    </row>
    <row r="215" spans="1:25" x14ac:dyDescent="0.3">
      <c r="A215" t="s">
        <v>914</v>
      </c>
      <c r="B215" t="s">
        <v>735</v>
      </c>
      <c r="C215">
        <v>116.86</v>
      </c>
      <c r="D215" s="1">
        <v>45005.77</v>
      </c>
      <c r="E215" t="s">
        <v>25</v>
      </c>
      <c r="F215" t="s">
        <v>120</v>
      </c>
      <c r="G215" t="s">
        <v>915</v>
      </c>
      <c r="H215" t="s">
        <v>916</v>
      </c>
      <c r="I215" t="s">
        <v>782</v>
      </c>
      <c r="J215" t="s">
        <v>30</v>
      </c>
      <c r="K215">
        <v>55</v>
      </c>
      <c r="L215" t="s">
        <v>89</v>
      </c>
      <c r="M215">
        <v>171</v>
      </c>
      <c r="N215">
        <v>1</v>
      </c>
      <c r="O215">
        <v>6706.56</v>
      </c>
      <c r="P215" s="1">
        <v>45600.341840277775</v>
      </c>
      <c r="Q215">
        <v>18</v>
      </c>
      <c r="R215" t="s">
        <v>47</v>
      </c>
      <c r="S215">
        <v>-0.61906526274255702</v>
      </c>
      <c r="T215" t="b">
        <v>0</v>
      </c>
      <c r="U215" t="b">
        <v>0</v>
      </c>
      <c r="V215" t="b">
        <f t="shared" si="6"/>
        <v>1</v>
      </c>
      <c r="W215">
        <v>0</v>
      </c>
      <c r="Y215">
        <f t="shared" si="7"/>
        <v>0</v>
      </c>
    </row>
    <row r="216" spans="1:25" x14ac:dyDescent="0.3">
      <c r="A216" t="s">
        <v>917</v>
      </c>
      <c r="B216" t="s">
        <v>918</v>
      </c>
      <c r="C216">
        <v>386.81</v>
      </c>
      <c r="D216" s="1">
        <v>44988.75199074074</v>
      </c>
      <c r="E216" t="s">
        <v>57</v>
      </c>
      <c r="F216" t="s">
        <v>85</v>
      </c>
      <c r="G216" t="s">
        <v>919</v>
      </c>
      <c r="H216" t="s">
        <v>920</v>
      </c>
      <c r="I216" t="s">
        <v>150</v>
      </c>
      <c r="J216" t="s">
        <v>45</v>
      </c>
      <c r="K216">
        <v>57</v>
      </c>
      <c r="L216" t="s">
        <v>31</v>
      </c>
      <c r="M216">
        <v>149</v>
      </c>
      <c r="N216">
        <v>1</v>
      </c>
      <c r="O216">
        <v>7175.29</v>
      </c>
      <c r="P216" s="1">
        <v>45600.340856481482</v>
      </c>
      <c r="Q216">
        <v>18</v>
      </c>
      <c r="R216" t="s">
        <v>54</v>
      </c>
      <c r="S216">
        <v>0.30559126604993803</v>
      </c>
      <c r="T216" t="b">
        <v>0</v>
      </c>
      <c r="U216" t="b">
        <v>0</v>
      </c>
      <c r="V216" t="b">
        <f t="shared" si="6"/>
        <v>1</v>
      </c>
      <c r="W216">
        <v>0</v>
      </c>
      <c r="Y216">
        <f t="shared" si="7"/>
        <v>0</v>
      </c>
    </row>
    <row r="217" spans="1:25" x14ac:dyDescent="0.3">
      <c r="A217" t="s">
        <v>921</v>
      </c>
      <c r="B217" t="s">
        <v>922</v>
      </c>
      <c r="C217">
        <v>74.88</v>
      </c>
      <c r="D217" s="1">
        <v>45070.684606481482</v>
      </c>
      <c r="E217" t="s">
        <v>25</v>
      </c>
      <c r="F217" t="s">
        <v>58</v>
      </c>
      <c r="G217" t="s">
        <v>923</v>
      </c>
      <c r="H217" t="s">
        <v>924</v>
      </c>
      <c r="I217" t="s">
        <v>620</v>
      </c>
      <c r="J217" t="s">
        <v>30</v>
      </c>
      <c r="K217">
        <v>25</v>
      </c>
      <c r="L217" t="s">
        <v>46</v>
      </c>
      <c r="M217">
        <v>202</v>
      </c>
      <c r="N217">
        <v>1</v>
      </c>
      <c r="O217">
        <v>420.67</v>
      </c>
      <c r="P217" s="1">
        <v>45600.338726851849</v>
      </c>
      <c r="Q217">
        <v>16</v>
      </c>
      <c r="R217" t="s">
        <v>74</v>
      </c>
      <c r="S217">
        <v>-0.76285885814433096</v>
      </c>
      <c r="T217" t="b">
        <v>0</v>
      </c>
      <c r="U217" t="b">
        <v>0</v>
      </c>
      <c r="V217" t="b">
        <f t="shared" si="6"/>
        <v>1</v>
      </c>
      <c r="W217">
        <v>0</v>
      </c>
      <c r="Y217">
        <f t="shared" si="7"/>
        <v>0</v>
      </c>
    </row>
    <row r="218" spans="1:25" x14ac:dyDescent="0.3">
      <c r="A218" t="s">
        <v>925</v>
      </c>
      <c r="B218" t="s">
        <v>926</v>
      </c>
      <c r="C218">
        <v>195.76</v>
      </c>
      <c r="D218" s="1">
        <v>45068.67869212963</v>
      </c>
      <c r="E218" t="s">
        <v>25</v>
      </c>
      <c r="F218" t="s">
        <v>256</v>
      </c>
      <c r="G218" t="s">
        <v>927</v>
      </c>
      <c r="H218" t="s">
        <v>928</v>
      </c>
      <c r="I218" t="s">
        <v>695</v>
      </c>
      <c r="J218" t="s">
        <v>81</v>
      </c>
      <c r="K218">
        <v>75</v>
      </c>
      <c r="L218" t="s">
        <v>82</v>
      </c>
      <c r="M218">
        <v>99</v>
      </c>
      <c r="N218">
        <v>1</v>
      </c>
      <c r="O218">
        <v>7323.53</v>
      </c>
      <c r="P218" s="1">
        <v>45600.340138888889</v>
      </c>
      <c r="Q218">
        <v>16</v>
      </c>
      <c r="R218" t="s">
        <v>47</v>
      </c>
      <c r="S218">
        <v>-0.34881002984117598</v>
      </c>
      <c r="T218" t="b">
        <v>0</v>
      </c>
      <c r="U218" t="b">
        <v>0</v>
      </c>
      <c r="V218" t="b">
        <f t="shared" si="6"/>
        <v>1</v>
      </c>
      <c r="W218">
        <v>0</v>
      </c>
      <c r="Y218">
        <f t="shared" si="7"/>
        <v>0</v>
      </c>
    </row>
    <row r="219" spans="1:25" x14ac:dyDescent="0.3">
      <c r="A219" t="s">
        <v>929</v>
      </c>
      <c r="B219" t="s">
        <v>680</v>
      </c>
      <c r="C219">
        <v>134.69999999999999</v>
      </c>
      <c r="D219" s="1">
        <v>45159.668958333335</v>
      </c>
      <c r="E219" t="s">
        <v>25</v>
      </c>
      <c r="F219" t="s">
        <v>170</v>
      </c>
      <c r="G219" t="s">
        <v>930</v>
      </c>
      <c r="H219" t="s">
        <v>931</v>
      </c>
      <c r="I219" t="s">
        <v>239</v>
      </c>
      <c r="J219" t="s">
        <v>30</v>
      </c>
      <c r="K219">
        <v>50</v>
      </c>
      <c r="L219" t="s">
        <v>31</v>
      </c>
      <c r="M219">
        <v>106</v>
      </c>
      <c r="N219">
        <v>1</v>
      </c>
      <c r="O219">
        <v>8395.85</v>
      </c>
      <c r="P219" s="1">
        <v>45600.341053240743</v>
      </c>
      <c r="Q219">
        <v>16</v>
      </c>
      <c r="R219" t="s">
        <v>47</v>
      </c>
      <c r="S219">
        <v>-0.55795812262898703</v>
      </c>
      <c r="T219" t="b">
        <v>0</v>
      </c>
      <c r="U219" t="b">
        <v>0</v>
      </c>
      <c r="V219" t="b">
        <f t="shared" si="6"/>
        <v>1</v>
      </c>
      <c r="W219">
        <v>0</v>
      </c>
      <c r="Y219">
        <f t="shared" si="7"/>
        <v>0</v>
      </c>
    </row>
    <row r="220" spans="1:25" x14ac:dyDescent="0.3">
      <c r="A220" t="s">
        <v>932</v>
      </c>
      <c r="B220" t="s">
        <v>49</v>
      </c>
      <c r="C220">
        <v>890.24</v>
      </c>
      <c r="D220" s="1">
        <v>45114.752581018518</v>
      </c>
      <c r="E220" t="s">
        <v>57</v>
      </c>
      <c r="F220" t="s">
        <v>159</v>
      </c>
      <c r="G220" t="s">
        <v>933</v>
      </c>
      <c r="H220" t="s">
        <v>934</v>
      </c>
      <c r="I220" t="s">
        <v>188</v>
      </c>
      <c r="J220" t="s">
        <v>45</v>
      </c>
      <c r="K220">
        <v>33</v>
      </c>
      <c r="L220" t="s">
        <v>89</v>
      </c>
      <c r="M220">
        <v>161</v>
      </c>
      <c r="N220">
        <v>1</v>
      </c>
      <c r="O220">
        <v>5140.93</v>
      </c>
      <c r="P220" s="1">
        <v>45600.338564814818</v>
      </c>
      <c r="Q220">
        <v>18</v>
      </c>
      <c r="R220" t="s">
        <v>54</v>
      </c>
      <c r="S220">
        <v>2.02998406579065</v>
      </c>
      <c r="T220" t="b">
        <v>0</v>
      </c>
      <c r="U220" t="b">
        <v>0</v>
      </c>
      <c r="V220" t="b">
        <f t="shared" si="6"/>
        <v>1</v>
      </c>
      <c r="W220">
        <v>0</v>
      </c>
      <c r="Y220">
        <f t="shared" si="7"/>
        <v>0</v>
      </c>
    </row>
    <row r="221" spans="1:25" x14ac:dyDescent="0.3">
      <c r="A221" t="s">
        <v>935</v>
      </c>
      <c r="B221" t="s">
        <v>936</v>
      </c>
      <c r="C221">
        <v>361.27</v>
      </c>
      <c r="D221" s="1">
        <v>44932.709641203706</v>
      </c>
      <c r="E221" t="s">
        <v>25</v>
      </c>
      <c r="F221" t="s">
        <v>309</v>
      </c>
      <c r="G221" t="s">
        <v>937</v>
      </c>
      <c r="H221" t="s">
        <v>938</v>
      </c>
      <c r="I221" t="s">
        <v>782</v>
      </c>
      <c r="J221" t="s">
        <v>30</v>
      </c>
      <c r="K221">
        <v>63</v>
      </c>
      <c r="L221" t="s">
        <v>31</v>
      </c>
      <c r="M221">
        <v>180</v>
      </c>
      <c r="N221">
        <v>1</v>
      </c>
      <c r="O221">
        <v>7945.57</v>
      </c>
      <c r="P221" s="1">
        <v>45600.340358796297</v>
      </c>
      <c r="Q221">
        <v>17</v>
      </c>
      <c r="R221" t="s">
        <v>54</v>
      </c>
      <c r="S221">
        <v>0.218109407389592</v>
      </c>
      <c r="T221" t="b">
        <v>0</v>
      </c>
      <c r="U221" t="b">
        <v>0</v>
      </c>
      <c r="V221" t="b">
        <f t="shared" si="6"/>
        <v>1</v>
      </c>
      <c r="W221">
        <v>0</v>
      </c>
      <c r="Y221">
        <f t="shared" si="7"/>
        <v>0</v>
      </c>
    </row>
    <row r="222" spans="1:25" x14ac:dyDescent="0.3">
      <c r="A222" t="s">
        <v>939</v>
      </c>
      <c r="B222" t="s">
        <v>940</v>
      </c>
      <c r="C222">
        <v>131.56</v>
      </c>
      <c r="D222" s="1">
        <v>45218.696261574078</v>
      </c>
      <c r="E222" t="s">
        <v>25</v>
      </c>
      <c r="F222" t="s">
        <v>262</v>
      </c>
      <c r="G222" t="s">
        <v>941</v>
      </c>
      <c r="H222" t="s">
        <v>942</v>
      </c>
      <c r="I222" t="s">
        <v>253</v>
      </c>
      <c r="J222" t="s">
        <v>81</v>
      </c>
      <c r="K222">
        <v>44</v>
      </c>
      <c r="L222" t="s">
        <v>31</v>
      </c>
      <c r="M222">
        <v>42</v>
      </c>
      <c r="N222">
        <v>1</v>
      </c>
      <c r="O222">
        <v>5873.54</v>
      </c>
      <c r="P222" s="1">
        <v>45600.338333333333</v>
      </c>
      <c r="Q222">
        <v>16</v>
      </c>
      <c r="R222" t="s">
        <v>141</v>
      </c>
      <c r="S222">
        <v>-0.56871352733507496</v>
      </c>
      <c r="T222" t="b">
        <v>0</v>
      </c>
      <c r="U222" t="b">
        <v>0</v>
      </c>
      <c r="V222" t="b">
        <f t="shared" si="6"/>
        <v>1</v>
      </c>
      <c r="W222">
        <v>0</v>
      </c>
      <c r="Y222">
        <f t="shared" si="7"/>
        <v>0</v>
      </c>
    </row>
    <row r="223" spans="1:25" x14ac:dyDescent="0.3">
      <c r="A223" t="s">
        <v>943</v>
      </c>
      <c r="B223" t="s">
        <v>944</v>
      </c>
      <c r="C223">
        <v>485.51</v>
      </c>
      <c r="D223" s="1">
        <v>45258.701006944444</v>
      </c>
      <c r="E223" t="s">
        <v>57</v>
      </c>
      <c r="F223" t="s">
        <v>191</v>
      </c>
      <c r="G223" t="s">
        <v>945</v>
      </c>
      <c r="H223" t="s">
        <v>946</v>
      </c>
      <c r="I223" t="s">
        <v>361</v>
      </c>
      <c r="J223" t="s">
        <v>45</v>
      </c>
      <c r="K223">
        <v>76</v>
      </c>
      <c r="L223" t="s">
        <v>82</v>
      </c>
      <c r="M223">
        <v>37</v>
      </c>
      <c r="N223">
        <v>1</v>
      </c>
      <c r="O223">
        <v>3074.45</v>
      </c>
      <c r="P223" s="1">
        <v>45600.338912037034</v>
      </c>
      <c r="Q223">
        <v>16</v>
      </c>
      <c r="R223" t="s">
        <v>32</v>
      </c>
      <c r="S223">
        <v>0.64366720378588604</v>
      </c>
      <c r="T223" t="b">
        <v>0</v>
      </c>
      <c r="U223" t="b">
        <v>0</v>
      </c>
      <c r="V223" t="b">
        <f t="shared" si="6"/>
        <v>1</v>
      </c>
      <c r="W223">
        <v>0</v>
      </c>
      <c r="Y223">
        <f t="shared" si="7"/>
        <v>0</v>
      </c>
    </row>
    <row r="224" spans="1:25" x14ac:dyDescent="0.3">
      <c r="A224" t="s">
        <v>947</v>
      </c>
      <c r="B224" t="s">
        <v>948</v>
      </c>
      <c r="C224">
        <v>547.87</v>
      </c>
      <c r="D224" s="1">
        <v>45117.7190625</v>
      </c>
      <c r="E224" t="s">
        <v>25</v>
      </c>
      <c r="F224" t="s">
        <v>137</v>
      </c>
      <c r="G224" t="s">
        <v>949</v>
      </c>
      <c r="H224" t="s">
        <v>950</v>
      </c>
      <c r="I224" t="s">
        <v>344</v>
      </c>
      <c r="J224" t="s">
        <v>30</v>
      </c>
      <c r="K224">
        <v>64</v>
      </c>
      <c r="L224" t="s">
        <v>82</v>
      </c>
      <c r="M224">
        <v>131</v>
      </c>
      <c r="N224">
        <v>1</v>
      </c>
      <c r="O224">
        <v>6155.76</v>
      </c>
      <c r="P224" s="1">
        <v>45600.340636574074</v>
      </c>
      <c r="Q224">
        <v>17</v>
      </c>
      <c r="R224" t="s">
        <v>47</v>
      </c>
      <c r="S224">
        <v>0.85726817113354303</v>
      </c>
      <c r="T224" t="b">
        <v>0</v>
      </c>
      <c r="U224" t="b">
        <v>0</v>
      </c>
      <c r="V224" t="b">
        <f t="shared" si="6"/>
        <v>1</v>
      </c>
      <c r="W224">
        <v>0</v>
      </c>
      <c r="Y224">
        <f t="shared" si="7"/>
        <v>0</v>
      </c>
    </row>
    <row r="225" spans="1:25" x14ac:dyDescent="0.3">
      <c r="A225" t="s">
        <v>951</v>
      </c>
      <c r="B225" t="s">
        <v>852</v>
      </c>
      <c r="C225">
        <v>457.3</v>
      </c>
      <c r="D225" s="1">
        <v>45103.767604166664</v>
      </c>
      <c r="E225" t="s">
        <v>25</v>
      </c>
      <c r="F225" t="s">
        <v>314</v>
      </c>
      <c r="G225" t="s">
        <v>952</v>
      </c>
      <c r="H225" t="s">
        <v>953</v>
      </c>
      <c r="I225" t="s">
        <v>577</v>
      </c>
      <c r="J225" t="s">
        <v>45</v>
      </c>
      <c r="K225">
        <v>28</v>
      </c>
      <c r="L225" t="s">
        <v>89</v>
      </c>
      <c r="M225">
        <v>15</v>
      </c>
      <c r="N225">
        <v>1</v>
      </c>
      <c r="O225">
        <v>8318.2900000000009</v>
      </c>
      <c r="P225" s="1">
        <v>45600.338807870372</v>
      </c>
      <c r="Q225">
        <v>18</v>
      </c>
      <c r="R225" t="s">
        <v>47</v>
      </c>
      <c r="S225">
        <v>0.54703982583724298</v>
      </c>
      <c r="T225" t="b">
        <v>0</v>
      </c>
      <c r="U225" t="b">
        <v>0</v>
      </c>
      <c r="V225" t="b">
        <f t="shared" si="6"/>
        <v>1</v>
      </c>
      <c r="W225">
        <v>0</v>
      </c>
      <c r="Y225">
        <f t="shared" si="7"/>
        <v>0</v>
      </c>
    </row>
    <row r="226" spans="1:25" x14ac:dyDescent="0.3">
      <c r="A226" t="s">
        <v>954</v>
      </c>
      <c r="B226" t="s">
        <v>955</v>
      </c>
      <c r="C226">
        <v>506.24</v>
      </c>
      <c r="D226" s="1">
        <v>44939.697523148148</v>
      </c>
      <c r="E226" t="s">
        <v>25</v>
      </c>
      <c r="F226" t="s">
        <v>278</v>
      </c>
      <c r="G226" t="s">
        <v>956</v>
      </c>
      <c r="H226" t="s">
        <v>957</v>
      </c>
      <c r="I226" t="s">
        <v>556</v>
      </c>
      <c r="J226" t="s">
        <v>30</v>
      </c>
      <c r="K226">
        <v>58</v>
      </c>
      <c r="L226" t="s">
        <v>89</v>
      </c>
      <c r="M226">
        <v>64</v>
      </c>
      <c r="N226">
        <v>1</v>
      </c>
      <c r="O226">
        <v>230.09</v>
      </c>
      <c r="P226" s="1">
        <v>45600.341435185182</v>
      </c>
      <c r="Q226">
        <v>16</v>
      </c>
      <c r="R226" t="s">
        <v>54</v>
      </c>
      <c r="S226">
        <v>0.71467342657480404</v>
      </c>
      <c r="T226" t="b">
        <v>0</v>
      </c>
      <c r="U226" t="b">
        <v>0</v>
      </c>
      <c r="V226" t="b">
        <f t="shared" si="6"/>
        <v>1</v>
      </c>
      <c r="W226">
        <v>0</v>
      </c>
      <c r="Y226">
        <f t="shared" si="7"/>
        <v>0</v>
      </c>
    </row>
    <row r="227" spans="1:25" x14ac:dyDescent="0.3">
      <c r="A227" t="s">
        <v>958</v>
      </c>
      <c r="B227" t="s">
        <v>959</v>
      </c>
      <c r="C227">
        <v>486.59</v>
      </c>
      <c r="D227" s="1">
        <v>45279.705057870371</v>
      </c>
      <c r="E227" t="s">
        <v>25</v>
      </c>
      <c r="F227" t="s">
        <v>77</v>
      </c>
      <c r="G227" t="s">
        <v>960</v>
      </c>
      <c r="H227" t="s">
        <v>961</v>
      </c>
      <c r="I227" t="s">
        <v>123</v>
      </c>
      <c r="J227" t="s">
        <v>81</v>
      </c>
      <c r="K227">
        <v>57</v>
      </c>
      <c r="L227" t="s">
        <v>82</v>
      </c>
      <c r="M227">
        <v>119</v>
      </c>
      <c r="N227">
        <v>1</v>
      </c>
      <c r="O227">
        <v>2513.56</v>
      </c>
      <c r="P227" s="1">
        <v>45600.340300925927</v>
      </c>
      <c r="Q227">
        <v>16</v>
      </c>
      <c r="R227" t="s">
        <v>32</v>
      </c>
      <c r="S227">
        <v>0.64736651495868103</v>
      </c>
      <c r="T227" t="b">
        <v>0</v>
      </c>
      <c r="U227" t="b">
        <v>0</v>
      </c>
      <c r="V227" t="b">
        <f t="shared" si="6"/>
        <v>1</v>
      </c>
      <c r="W227">
        <v>0</v>
      </c>
      <c r="Y227">
        <f t="shared" si="7"/>
        <v>0</v>
      </c>
    </row>
    <row r="228" spans="1:25" x14ac:dyDescent="0.3">
      <c r="A228" t="s">
        <v>962</v>
      </c>
      <c r="B228" t="s">
        <v>963</v>
      </c>
      <c r="C228">
        <v>163.68</v>
      </c>
      <c r="D228" s="1">
        <v>45197.681215277778</v>
      </c>
      <c r="E228" t="s">
        <v>25</v>
      </c>
      <c r="F228" t="s">
        <v>26</v>
      </c>
      <c r="G228" t="s">
        <v>964</v>
      </c>
      <c r="H228" t="s">
        <v>207</v>
      </c>
      <c r="I228" t="s">
        <v>356</v>
      </c>
      <c r="J228" t="s">
        <v>81</v>
      </c>
      <c r="K228">
        <v>41</v>
      </c>
      <c r="L228" t="s">
        <v>31</v>
      </c>
      <c r="M228">
        <v>292</v>
      </c>
      <c r="N228">
        <v>1</v>
      </c>
      <c r="O228">
        <v>10090.049999999999</v>
      </c>
      <c r="P228" s="1">
        <v>45600.340983796297</v>
      </c>
      <c r="Q228">
        <v>16</v>
      </c>
      <c r="R228" t="s">
        <v>141</v>
      </c>
      <c r="S228">
        <v>-0.45869327282566602</v>
      </c>
      <c r="T228" t="b">
        <v>0</v>
      </c>
      <c r="U228" t="b">
        <v>0</v>
      </c>
      <c r="V228" t="b">
        <f t="shared" si="6"/>
        <v>1</v>
      </c>
      <c r="W228">
        <v>0</v>
      </c>
      <c r="Y228">
        <f t="shared" si="7"/>
        <v>0</v>
      </c>
    </row>
    <row r="229" spans="1:25" x14ac:dyDescent="0.3">
      <c r="A229" t="s">
        <v>965</v>
      </c>
      <c r="B229" t="s">
        <v>313</v>
      </c>
      <c r="C229">
        <v>581.65</v>
      </c>
      <c r="D229" s="1">
        <v>44935.704837962963</v>
      </c>
      <c r="E229" t="s">
        <v>25</v>
      </c>
      <c r="F229" t="s">
        <v>401</v>
      </c>
      <c r="G229" t="s">
        <v>781</v>
      </c>
      <c r="H229" t="s">
        <v>966</v>
      </c>
      <c r="I229" t="s">
        <v>44</v>
      </c>
      <c r="J229" t="s">
        <v>30</v>
      </c>
      <c r="K229">
        <v>22</v>
      </c>
      <c r="L229" t="s">
        <v>46</v>
      </c>
      <c r="M229">
        <v>176</v>
      </c>
      <c r="N229">
        <v>1</v>
      </c>
      <c r="O229">
        <v>480.19</v>
      </c>
      <c r="P229" s="1">
        <v>45600.34003472222</v>
      </c>
      <c r="Q229">
        <v>16</v>
      </c>
      <c r="R229" t="s">
        <v>47</v>
      </c>
      <c r="S229">
        <v>0.97297440392706303</v>
      </c>
      <c r="T229" t="b">
        <v>0</v>
      </c>
      <c r="U229" t="b">
        <v>0</v>
      </c>
      <c r="V229" t="b">
        <f t="shared" si="6"/>
        <v>1</v>
      </c>
      <c r="W229">
        <v>0</v>
      </c>
      <c r="Y229">
        <f t="shared" si="7"/>
        <v>0</v>
      </c>
    </row>
    <row r="230" spans="1:25" x14ac:dyDescent="0.3">
      <c r="A230" t="s">
        <v>967</v>
      </c>
      <c r="B230" t="s">
        <v>318</v>
      </c>
      <c r="C230">
        <v>52.01</v>
      </c>
      <c r="D230" s="1">
        <v>45237.698657407411</v>
      </c>
      <c r="E230" t="s">
        <v>25</v>
      </c>
      <c r="F230" t="s">
        <v>41</v>
      </c>
      <c r="G230" t="s">
        <v>968</v>
      </c>
      <c r="H230" t="s">
        <v>969</v>
      </c>
      <c r="I230" t="s">
        <v>73</v>
      </c>
      <c r="J230" t="s">
        <v>30</v>
      </c>
      <c r="K230">
        <v>48</v>
      </c>
      <c r="L230" t="s">
        <v>31</v>
      </c>
      <c r="M230">
        <v>85</v>
      </c>
      <c r="N230">
        <v>1</v>
      </c>
      <c r="O230">
        <v>1120.8800000000001</v>
      </c>
      <c r="P230" s="1">
        <v>45600.341284722221</v>
      </c>
      <c r="Q230">
        <v>16</v>
      </c>
      <c r="R230" t="s">
        <v>32</v>
      </c>
      <c r="S230">
        <v>-0.84119519751637895</v>
      </c>
      <c r="T230" t="b">
        <v>0</v>
      </c>
      <c r="U230" t="b">
        <v>0</v>
      </c>
      <c r="V230" t="b">
        <f t="shared" si="6"/>
        <v>1</v>
      </c>
      <c r="W230">
        <v>0</v>
      </c>
      <c r="Y230">
        <f t="shared" si="7"/>
        <v>0</v>
      </c>
    </row>
    <row r="231" spans="1:25" x14ac:dyDescent="0.3">
      <c r="A231" t="s">
        <v>970</v>
      </c>
      <c r="B231" t="s">
        <v>346</v>
      </c>
      <c r="C231">
        <v>630.24</v>
      </c>
      <c r="D231" s="1">
        <v>45259.757291666669</v>
      </c>
      <c r="E231" t="s">
        <v>25</v>
      </c>
      <c r="F231" t="s">
        <v>401</v>
      </c>
      <c r="G231" t="s">
        <v>364</v>
      </c>
      <c r="H231" t="s">
        <v>971</v>
      </c>
      <c r="I231" t="s">
        <v>67</v>
      </c>
      <c r="J231" t="s">
        <v>30</v>
      </c>
      <c r="K231">
        <v>21</v>
      </c>
      <c r="L231" t="s">
        <v>46</v>
      </c>
      <c r="M231">
        <v>62</v>
      </c>
      <c r="N231">
        <v>1</v>
      </c>
      <c r="O231">
        <v>370.81</v>
      </c>
      <c r="P231" s="1">
        <v>45600.341574074075</v>
      </c>
      <c r="Q231">
        <v>18</v>
      </c>
      <c r="R231" t="s">
        <v>74</v>
      </c>
      <c r="S231">
        <v>1.13940915382158</v>
      </c>
      <c r="T231" t="b">
        <v>0</v>
      </c>
      <c r="U231" t="b">
        <v>0</v>
      </c>
      <c r="V231" t="b">
        <f t="shared" si="6"/>
        <v>1</v>
      </c>
      <c r="W231">
        <v>0</v>
      </c>
      <c r="Y231">
        <f t="shared" si="7"/>
        <v>0</v>
      </c>
    </row>
    <row r="232" spans="1:25" x14ac:dyDescent="0.3">
      <c r="A232" t="s">
        <v>972</v>
      </c>
      <c r="B232" t="s">
        <v>277</v>
      </c>
      <c r="C232">
        <v>523.74</v>
      </c>
      <c r="D232" s="1">
        <v>45232.692094907405</v>
      </c>
      <c r="E232" t="s">
        <v>25</v>
      </c>
      <c r="F232" t="s">
        <v>64</v>
      </c>
      <c r="G232" t="s">
        <v>973</v>
      </c>
      <c r="H232" t="s">
        <v>548</v>
      </c>
      <c r="I232" t="s">
        <v>527</v>
      </c>
      <c r="J232" t="s">
        <v>30</v>
      </c>
      <c r="K232">
        <v>43</v>
      </c>
      <c r="L232" t="s">
        <v>31</v>
      </c>
      <c r="M232">
        <v>159</v>
      </c>
      <c r="N232">
        <v>1</v>
      </c>
      <c r="O232">
        <v>13498.55</v>
      </c>
      <c r="P232" s="1">
        <v>45600.338101851848</v>
      </c>
      <c r="Q232">
        <v>16</v>
      </c>
      <c r="R232" t="s">
        <v>141</v>
      </c>
      <c r="S232">
        <v>0.77461596872656802</v>
      </c>
      <c r="T232" t="b">
        <v>0</v>
      </c>
      <c r="U232" t="b">
        <v>0</v>
      </c>
      <c r="V232" t="b">
        <f t="shared" si="6"/>
        <v>1</v>
      </c>
      <c r="W232">
        <v>0</v>
      </c>
      <c r="Y232">
        <f t="shared" si="7"/>
        <v>0</v>
      </c>
    </row>
    <row r="233" spans="1:25" x14ac:dyDescent="0.3">
      <c r="A233" t="s">
        <v>974</v>
      </c>
      <c r="B233" t="s">
        <v>975</v>
      </c>
      <c r="C233">
        <v>705.6</v>
      </c>
      <c r="D233" s="1">
        <v>44977.778969907406</v>
      </c>
      <c r="E233" t="s">
        <v>25</v>
      </c>
      <c r="F233" t="s">
        <v>438</v>
      </c>
      <c r="G233" t="s">
        <v>283</v>
      </c>
      <c r="H233" t="s">
        <v>976</v>
      </c>
      <c r="I233" t="s">
        <v>371</v>
      </c>
      <c r="J233" t="s">
        <v>81</v>
      </c>
      <c r="K233">
        <v>40</v>
      </c>
      <c r="L233" t="s">
        <v>31</v>
      </c>
      <c r="M233">
        <v>124</v>
      </c>
      <c r="N233">
        <v>3</v>
      </c>
      <c r="O233">
        <v>14804.7</v>
      </c>
      <c r="P233" s="1">
        <v>45600.339629629627</v>
      </c>
      <c r="Q233">
        <v>18</v>
      </c>
      <c r="R233" t="s">
        <v>47</v>
      </c>
      <c r="S233">
        <v>1.39753886676769</v>
      </c>
      <c r="T233" t="b">
        <v>0</v>
      </c>
      <c r="U233" t="b">
        <v>1</v>
      </c>
      <c r="V233" t="b">
        <f t="shared" si="6"/>
        <v>1</v>
      </c>
      <c r="W233">
        <v>1</v>
      </c>
      <c r="Y233">
        <f t="shared" si="7"/>
        <v>0</v>
      </c>
    </row>
    <row r="234" spans="1:25" x14ac:dyDescent="0.3">
      <c r="A234" t="s">
        <v>977</v>
      </c>
      <c r="B234" t="s">
        <v>978</v>
      </c>
      <c r="C234">
        <v>217.5</v>
      </c>
      <c r="D234" s="1">
        <v>45222.788055555553</v>
      </c>
      <c r="E234" t="s">
        <v>57</v>
      </c>
      <c r="F234" t="s">
        <v>126</v>
      </c>
      <c r="G234" t="s">
        <v>979</v>
      </c>
      <c r="H234" t="s">
        <v>584</v>
      </c>
      <c r="I234" t="s">
        <v>182</v>
      </c>
      <c r="J234" t="s">
        <v>81</v>
      </c>
      <c r="K234">
        <v>46</v>
      </c>
      <c r="L234" t="s">
        <v>89</v>
      </c>
      <c r="M234">
        <v>35</v>
      </c>
      <c r="N234">
        <v>1</v>
      </c>
      <c r="O234">
        <v>3057.4</v>
      </c>
      <c r="P234" s="1">
        <v>45600.338171296295</v>
      </c>
      <c r="Q234">
        <v>18</v>
      </c>
      <c r="R234" t="s">
        <v>47</v>
      </c>
      <c r="S234">
        <v>-0.27434426604807</v>
      </c>
      <c r="T234" t="b">
        <v>0</v>
      </c>
      <c r="U234" t="b">
        <v>0</v>
      </c>
      <c r="V234" t="b">
        <f t="shared" si="6"/>
        <v>1</v>
      </c>
      <c r="W234">
        <v>0</v>
      </c>
      <c r="Y234">
        <f t="shared" si="7"/>
        <v>0</v>
      </c>
    </row>
    <row r="235" spans="1:25" x14ac:dyDescent="0.3">
      <c r="A235" t="s">
        <v>980</v>
      </c>
      <c r="B235" t="s">
        <v>981</v>
      </c>
      <c r="C235">
        <v>91.48</v>
      </c>
      <c r="D235" s="1">
        <v>44949.701747685183</v>
      </c>
      <c r="E235" t="s">
        <v>25</v>
      </c>
      <c r="F235" t="s">
        <v>170</v>
      </c>
      <c r="G235" t="s">
        <v>406</v>
      </c>
      <c r="H235" t="s">
        <v>982</v>
      </c>
      <c r="I235" t="s">
        <v>440</v>
      </c>
      <c r="J235" t="s">
        <v>30</v>
      </c>
      <c r="K235">
        <v>51</v>
      </c>
      <c r="L235" t="s">
        <v>31</v>
      </c>
      <c r="M235">
        <v>141</v>
      </c>
      <c r="N235">
        <v>1</v>
      </c>
      <c r="O235">
        <v>14942.78</v>
      </c>
      <c r="P235" s="1">
        <v>45600.339780092596</v>
      </c>
      <c r="Q235">
        <v>16</v>
      </c>
      <c r="R235" t="s">
        <v>47</v>
      </c>
      <c r="S235">
        <v>-0.70599907530322903</v>
      </c>
      <c r="T235" t="b">
        <v>0</v>
      </c>
      <c r="U235" t="b">
        <v>0</v>
      </c>
      <c r="V235" t="b">
        <f t="shared" si="6"/>
        <v>1</v>
      </c>
      <c r="W235">
        <v>0</v>
      </c>
      <c r="Y235">
        <f t="shared" si="7"/>
        <v>0</v>
      </c>
    </row>
    <row r="236" spans="1:25" x14ac:dyDescent="0.3">
      <c r="A236" t="s">
        <v>983</v>
      </c>
      <c r="B236" t="s">
        <v>975</v>
      </c>
      <c r="C236">
        <v>5.25</v>
      </c>
      <c r="D236" s="1">
        <v>45243.768333333333</v>
      </c>
      <c r="E236" t="s">
        <v>25</v>
      </c>
      <c r="F236" t="s">
        <v>236</v>
      </c>
      <c r="G236" t="s">
        <v>984</v>
      </c>
      <c r="H236" t="s">
        <v>985</v>
      </c>
      <c r="I236" t="s">
        <v>765</v>
      </c>
      <c r="J236" t="s">
        <v>30</v>
      </c>
      <c r="K236">
        <v>39</v>
      </c>
      <c r="L236" t="s">
        <v>31</v>
      </c>
      <c r="M236">
        <v>49</v>
      </c>
      <c r="N236">
        <v>1</v>
      </c>
      <c r="O236">
        <v>14143.32</v>
      </c>
      <c r="P236" s="1">
        <v>45600.341921296298</v>
      </c>
      <c r="Q236">
        <v>18</v>
      </c>
      <c r="R236" t="s">
        <v>47</v>
      </c>
      <c r="S236">
        <v>-1.0013616701458901</v>
      </c>
      <c r="T236" t="b">
        <v>0</v>
      </c>
      <c r="U236" t="b">
        <v>0</v>
      </c>
      <c r="V236" t="b">
        <f t="shared" si="6"/>
        <v>1</v>
      </c>
      <c r="W236">
        <v>0</v>
      </c>
      <c r="Y236">
        <f t="shared" si="7"/>
        <v>0</v>
      </c>
    </row>
    <row r="237" spans="1:25" x14ac:dyDescent="0.3">
      <c r="A237" t="s">
        <v>986</v>
      </c>
      <c r="B237" t="s">
        <v>987</v>
      </c>
      <c r="C237">
        <v>54.03</v>
      </c>
      <c r="D237" s="1">
        <v>45188.719976851855</v>
      </c>
      <c r="E237" t="s">
        <v>57</v>
      </c>
      <c r="F237" t="s">
        <v>191</v>
      </c>
      <c r="G237" t="s">
        <v>988</v>
      </c>
      <c r="H237" t="s">
        <v>989</v>
      </c>
      <c r="I237" t="s">
        <v>356</v>
      </c>
      <c r="J237" t="s">
        <v>30</v>
      </c>
      <c r="K237">
        <v>56</v>
      </c>
      <c r="L237" t="s">
        <v>82</v>
      </c>
      <c r="M237">
        <v>161</v>
      </c>
      <c r="N237">
        <v>1</v>
      </c>
      <c r="O237">
        <v>6736.3</v>
      </c>
      <c r="P237" s="1">
        <v>45600.33861111111</v>
      </c>
      <c r="Q237">
        <v>17</v>
      </c>
      <c r="R237" t="s">
        <v>32</v>
      </c>
      <c r="S237">
        <v>-0.83427611550800396</v>
      </c>
      <c r="T237" t="b">
        <v>0</v>
      </c>
      <c r="U237" t="b">
        <v>0</v>
      </c>
      <c r="V237" t="b">
        <f t="shared" si="6"/>
        <v>1</v>
      </c>
      <c r="W237">
        <v>0</v>
      </c>
      <c r="Y237">
        <f t="shared" si="7"/>
        <v>0</v>
      </c>
    </row>
    <row r="238" spans="1:25" x14ac:dyDescent="0.3">
      <c r="A238" t="s">
        <v>990</v>
      </c>
      <c r="B238" t="s">
        <v>654</v>
      </c>
      <c r="C238">
        <v>736.73</v>
      </c>
      <c r="D238" s="1">
        <v>45257.670451388891</v>
      </c>
      <c r="E238" t="s">
        <v>25</v>
      </c>
      <c r="F238" t="s">
        <v>104</v>
      </c>
      <c r="G238" t="s">
        <v>991</v>
      </c>
      <c r="H238" t="s">
        <v>992</v>
      </c>
      <c r="I238" t="s">
        <v>993</v>
      </c>
      <c r="J238" t="s">
        <v>81</v>
      </c>
      <c r="K238">
        <v>48</v>
      </c>
      <c r="L238" t="s">
        <v>89</v>
      </c>
      <c r="M238">
        <v>10</v>
      </c>
      <c r="N238">
        <v>1</v>
      </c>
      <c r="O238">
        <v>3313.07</v>
      </c>
      <c r="P238" s="1">
        <v>45600.340902777774</v>
      </c>
      <c r="Q238">
        <v>16</v>
      </c>
      <c r="R238" t="s">
        <v>47</v>
      </c>
      <c r="S238">
        <v>1.5041680860353801</v>
      </c>
      <c r="T238" t="b">
        <v>0</v>
      </c>
      <c r="U238" t="b">
        <v>0</v>
      </c>
      <c r="V238" t="b">
        <f t="shared" si="6"/>
        <v>1</v>
      </c>
      <c r="W238">
        <v>0</v>
      </c>
      <c r="Y238">
        <f t="shared" si="7"/>
        <v>0</v>
      </c>
    </row>
    <row r="239" spans="1:25" x14ac:dyDescent="0.3">
      <c r="A239" t="s">
        <v>994</v>
      </c>
      <c r="B239" t="s">
        <v>814</v>
      </c>
      <c r="C239">
        <v>368.91</v>
      </c>
      <c r="D239" s="1">
        <v>44995.743020833332</v>
      </c>
      <c r="E239" t="s">
        <v>25</v>
      </c>
      <c r="F239" t="s">
        <v>314</v>
      </c>
      <c r="G239" t="s">
        <v>995</v>
      </c>
      <c r="H239" t="s">
        <v>996</v>
      </c>
      <c r="I239" t="s">
        <v>997</v>
      </c>
      <c r="J239" t="s">
        <v>81</v>
      </c>
      <c r="K239">
        <v>54</v>
      </c>
      <c r="L239" t="s">
        <v>31</v>
      </c>
      <c r="M239">
        <v>14</v>
      </c>
      <c r="N239">
        <v>1</v>
      </c>
      <c r="O239">
        <v>829.71</v>
      </c>
      <c r="P239" s="1">
        <v>45600.340601851851</v>
      </c>
      <c r="Q239">
        <v>17</v>
      </c>
      <c r="R239" t="s">
        <v>54</v>
      </c>
      <c r="S239">
        <v>0.24427860864899101</v>
      </c>
      <c r="T239" t="b">
        <v>0</v>
      </c>
      <c r="U239" t="b">
        <v>0</v>
      </c>
      <c r="V239" t="b">
        <f t="shared" si="6"/>
        <v>1</v>
      </c>
      <c r="W239">
        <v>0</v>
      </c>
      <c r="Y239">
        <f t="shared" si="7"/>
        <v>0</v>
      </c>
    </row>
    <row r="240" spans="1:25" x14ac:dyDescent="0.3">
      <c r="A240" t="s">
        <v>998</v>
      </c>
      <c r="B240" t="s">
        <v>999</v>
      </c>
      <c r="C240">
        <v>33.06</v>
      </c>
      <c r="D240" s="1">
        <v>44943.669224537036</v>
      </c>
      <c r="E240" t="s">
        <v>57</v>
      </c>
      <c r="F240" t="s">
        <v>170</v>
      </c>
      <c r="G240" t="s">
        <v>1000</v>
      </c>
      <c r="H240" t="s">
        <v>615</v>
      </c>
      <c r="I240" t="s">
        <v>427</v>
      </c>
      <c r="J240" t="s">
        <v>45</v>
      </c>
      <c r="K240">
        <v>53</v>
      </c>
      <c r="L240" t="s">
        <v>82</v>
      </c>
      <c r="M240">
        <v>170</v>
      </c>
      <c r="N240">
        <v>1</v>
      </c>
      <c r="O240">
        <v>1540.87</v>
      </c>
      <c r="P240" s="1">
        <v>45600.337997685187</v>
      </c>
      <c r="Q240">
        <v>16</v>
      </c>
      <c r="R240" t="s">
        <v>32</v>
      </c>
      <c r="S240">
        <v>-0.90610440744643195</v>
      </c>
      <c r="T240" t="b">
        <v>0</v>
      </c>
      <c r="U240" t="b">
        <v>0</v>
      </c>
      <c r="V240" t="b">
        <f t="shared" si="6"/>
        <v>1</v>
      </c>
      <c r="W240">
        <v>0</v>
      </c>
      <c r="Y240">
        <f t="shared" si="7"/>
        <v>0</v>
      </c>
    </row>
    <row r="241" spans="1:25" x14ac:dyDescent="0.3">
      <c r="A241" t="s">
        <v>1001</v>
      </c>
      <c r="B241" t="s">
        <v>1002</v>
      </c>
      <c r="C241">
        <v>66.5</v>
      </c>
      <c r="D241" s="1">
        <v>45050.697870370372</v>
      </c>
      <c r="E241" t="s">
        <v>57</v>
      </c>
      <c r="F241" t="s">
        <v>120</v>
      </c>
      <c r="G241" t="s">
        <v>1003</v>
      </c>
      <c r="H241" t="s">
        <v>1004</v>
      </c>
      <c r="I241" t="s">
        <v>647</v>
      </c>
      <c r="J241" t="s">
        <v>45</v>
      </c>
      <c r="K241">
        <v>32</v>
      </c>
      <c r="L241" t="s">
        <v>89</v>
      </c>
      <c r="M241">
        <v>144</v>
      </c>
      <c r="N241">
        <v>1</v>
      </c>
      <c r="O241">
        <v>6820.23</v>
      </c>
      <c r="P241" s="1">
        <v>45600.338958333334</v>
      </c>
      <c r="Q241">
        <v>16</v>
      </c>
      <c r="R241" t="s">
        <v>141</v>
      </c>
      <c r="S241">
        <v>-0.79156277261471897</v>
      </c>
      <c r="T241" t="b">
        <v>0</v>
      </c>
      <c r="U241" t="b">
        <v>0</v>
      </c>
      <c r="V241" t="b">
        <f t="shared" si="6"/>
        <v>1</v>
      </c>
      <c r="W241">
        <v>0</v>
      </c>
      <c r="Y241">
        <f t="shared" si="7"/>
        <v>0</v>
      </c>
    </row>
    <row r="242" spans="1:25" x14ac:dyDescent="0.3">
      <c r="A242" t="s">
        <v>1005</v>
      </c>
      <c r="B242" t="s">
        <v>1006</v>
      </c>
      <c r="C242">
        <v>177.08</v>
      </c>
      <c r="D242" s="1">
        <v>44932.719953703701</v>
      </c>
      <c r="E242" t="s">
        <v>25</v>
      </c>
      <c r="F242" t="s">
        <v>159</v>
      </c>
      <c r="G242" t="s">
        <v>1007</v>
      </c>
      <c r="H242" t="s">
        <v>1008</v>
      </c>
      <c r="I242" t="s">
        <v>253</v>
      </c>
      <c r="J242" t="s">
        <v>45</v>
      </c>
      <c r="K242">
        <v>35</v>
      </c>
      <c r="L242" t="s">
        <v>31</v>
      </c>
      <c r="M242">
        <v>85</v>
      </c>
      <c r="N242">
        <v>1</v>
      </c>
      <c r="O242">
        <v>13475.14</v>
      </c>
      <c r="P242" s="1">
        <v>45600.341909722221</v>
      </c>
      <c r="Q242">
        <v>17</v>
      </c>
      <c r="R242" t="s">
        <v>54</v>
      </c>
      <c r="S242">
        <v>-0.41279441197803002</v>
      </c>
      <c r="T242" t="b">
        <v>0</v>
      </c>
      <c r="U242" t="b">
        <v>0</v>
      </c>
      <c r="V242" t="b">
        <f t="shared" si="6"/>
        <v>1</v>
      </c>
      <c r="W242">
        <v>0</v>
      </c>
      <c r="Y242">
        <f t="shared" si="7"/>
        <v>0</v>
      </c>
    </row>
    <row r="243" spans="1:25" x14ac:dyDescent="0.3">
      <c r="A243" t="s">
        <v>1009</v>
      </c>
      <c r="B243" t="s">
        <v>1010</v>
      </c>
      <c r="C243">
        <v>588.54</v>
      </c>
      <c r="D243" s="1">
        <v>44963.748240740744</v>
      </c>
      <c r="E243" t="s">
        <v>25</v>
      </c>
      <c r="F243" t="s">
        <v>608</v>
      </c>
      <c r="G243" t="s">
        <v>1011</v>
      </c>
      <c r="H243" t="s">
        <v>1012</v>
      </c>
      <c r="I243" t="s">
        <v>1013</v>
      </c>
      <c r="J243" t="s">
        <v>81</v>
      </c>
      <c r="K243">
        <v>32</v>
      </c>
      <c r="L243" t="s">
        <v>89</v>
      </c>
      <c r="M243">
        <v>130</v>
      </c>
      <c r="N243">
        <v>1</v>
      </c>
      <c r="O243">
        <v>714.45</v>
      </c>
      <c r="P243" s="1">
        <v>45600.34070601852</v>
      </c>
      <c r="Q243">
        <v>17</v>
      </c>
      <c r="R243" t="s">
        <v>47</v>
      </c>
      <c r="S243">
        <v>0.99657463909424304</v>
      </c>
      <c r="T243" t="b">
        <v>0</v>
      </c>
      <c r="U243" t="b">
        <v>0</v>
      </c>
      <c r="V243" t="b">
        <f t="shared" si="6"/>
        <v>1</v>
      </c>
      <c r="W243">
        <v>0</v>
      </c>
      <c r="Y243">
        <f t="shared" si="7"/>
        <v>0</v>
      </c>
    </row>
    <row r="244" spans="1:25" x14ac:dyDescent="0.3">
      <c r="A244" t="s">
        <v>1014</v>
      </c>
      <c r="B244" t="s">
        <v>235</v>
      </c>
      <c r="C244">
        <v>173.5</v>
      </c>
      <c r="D244" s="1">
        <v>45222.719675925924</v>
      </c>
      <c r="E244" t="s">
        <v>25</v>
      </c>
      <c r="F244" t="s">
        <v>92</v>
      </c>
      <c r="G244" t="s">
        <v>42</v>
      </c>
      <c r="H244" t="s">
        <v>1015</v>
      </c>
      <c r="I244" t="s">
        <v>38</v>
      </c>
      <c r="J244" t="s">
        <v>30</v>
      </c>
      <c r="K244">
        <v>21</v>
      </c>
      <c r="L244" t="s">
        <v>46</v>
      </c>
      <c r="M244">
        <v>282</v>
      </c>
      <c r="N244">
        <v>1</v>
      </c>
      <c r="O244">
        <v>1306.9100000000001</v>
      </c>
      <c r="P244" s="1">
        <v>45600.341574074075</v>
      </c>
      <c r="Q244">
        <v>17</v>
      </c>
      <c r="R244" t="s">
        <v>47</v>
      </c>
      <c r="S244">
        <v>-0.42505694345821898</v>
      </c>
      <c r="T244" t="b">
        <v>0</v>
      </c>
      <c r="U244" t="b">
        <v>0</v>
      </c>
      <c r="V244" t="b">
        <f t="shared" si="6"/>
        <v>1</v>
      </c>
      <c r="W244">
        <v>0</v>
      </c>
      <c r="Y244">
        <f t="shared" si="7"/>
        <v>0</v>
      </c>
    </row>
    <row r="245" spans="1:25" x14ac:dyDescent="0.3">
      <c r="A245" t="s">
        <v>1016</v>
      </c>
      <c r="B245" t="s">
        <v>1017</v>
      </c>
      <c r="C245">
        <v>78.33</v>
      </c>
      <c r="D245" s="1">
        <v>45138.675833333335</v>
      </c>
      <c r="E245" t="s">
        <v>57</v>
      </c>
      <c r="F245" t="s">
        <v>104</v>
      </c>
      <c r="G245" t="s">
        <v>1018</v>
      </c>
      <c r="H245" t="s">
        <v>580</v>
      </c>
      <c r="I245" t="s">
        <v>866</v>
      </c>
      <c r="J245" t="s">
        <v>45</v>
      </c>
      <c r="K245">
        <v>56</v>
      </c>
      <c r="L245" t="s">
        <v>89</v>
      </c>
      <c r="M245">
        <v>189</v>
      </c>
      <c r="N245">
        <v>1</v>
      </c>
      <c r="O245">
        <v>7255.33</v>
      </c>
      <c r="P245" s="1">
        <v>45600.339097222219</v>
      </c>
      <c r="Q245">
        <v>16</v>
      </c>
      <c r="R245" t="s">
        <v>47</v>
      </c>
      <c r="S245">
        <v>-0.75104161412012604</v>
      </c>
      <c r="T245" t="b">
        <v>0</v>
      </c>
      <c r="U245" t="b">
        <v>0</v>
      </c>
      <c r="V245" t="b">
        <f t="shared" si="6"/>
        <v>1</v>
      </c>
      <c r="W245">
        <v>0</v>
      </c>
      <c r="Y245">
        <f t="shared" si="7"/>
        <v>0</v>
      </c>
    </row>
    <row r="246" spans="1:25" x14ac:dyDescent="0.3">
      <c r="A246" t="s">
        <v>1019</v>
      </c>
      <c r="B246" t="s">
        <v>948</v>
      </c>
      <c r="C246">
        <v>40.659999999999997</v>
      </c>
      <c r="D246" s="1">
        <v>45292.672789351855</v>
      </c>
      <c r="E246" t="s">
        <v>25</v>
      </c>
      <c r="F246" t="s">
        <v>120</v>
      </c>
      <c r="G246" t="s">
        <v>952</v>
      </c>
      <c r="H246" t="s">
        <v>1020</v>
      </c>
      <c r="I246" t="s">
        <v>898</v>
      </c>
      <c r="J246" t="s">
        <v>81</v>
      </c>
      <c r="K246">
        <v>59</v>
      </c>
      <c r="L246" t="s">
        <v>82</v>
      </c>
      <c r="M246">
        <v>156</v>
      </c>
      <c r="N246">
        <v>1</v>
      </c>
      <c r="O246">
        <v>1153.8399999999999</v>
      </c>
      <c r="P246" s="1">
        <v>45600.341296296298</v>
      </c>
      <c r="Q246">
        <v>16</v>
      </c>
      <c r="R246" t="s">
        <v>47</v>
      </c>
      <c r="S246">
        <v>-0.88007221771195199</v>
      </c>
      <c r="T246" t="b">
        <v>0</v>
      </c>
      <c r="U246" t="b">
        <v>0</v>
      </c>
      <c r="V246" t="b">
        <f t="shared" si="6"/>
        <v>1</v>
      </c>
      <c r="W246">
        <v>0</v>
      </c>
      <c r="Y246">
        <f t="shared" si="7"/>
        <v>0</v>
      </c>
    </row>
    <row r="247" spans="1:25" x14ac:dyDescent="0.3">
      <c r="A247" t="s">
        <v>1021</v>
      </c>
      <c r="B247" t="s">
        <v>1022</v>
      </c>
      <c r="C247">
        <v>97.22</v>
      </c>
      <c r="D247" s="1">
        <v>44977.729386574072</v>
      </c>
      <c r="E247" t="s">
        <v>57</v>
      </c>
      <c r="F247" t="s">
        <v>58</v>
      </c>
      <c r="G247" t="s">
        <v>1023</v>
      </c>
      <c r="H247" t="s">
        <v>950</v>
      </c>
      <c r="I247" t="s">
        <v>383</v>
      </c>
      <c r="J247" t="s">
        <v>81</v>
      </c>
      <c r="K247">
        <v>77</v>
      </c>
      <c r="L247" t="s">
        <v>82</v>
      </c>
      <c r="M247">
        <v>55</v>
      </c>
      <c r="N247">
        <v>1</v>
      </c>
      <c r="O247">
        <v>6647.73</v>
      </c>
      <c r="P247" s="1">
        <v>45600.341168981482</v>
      </c>
      <c r="Q247">
        <v>17</v>
      </c>
      <c r="R247" t="s">
        <v>47</v>
      </c>
      <c r="S247">
        <v>-0.68633792147745099</v>
      </c>
      <c r="T247" t="b">
        <v>0</v>
      </c>
      <c r="U247" t="b">
        <v>0</v>
      </c>
      <c r="V247" t="b">
        <f t="shared" si="6"/>
        <v>1</v>
      </c>
      <c r="W247">
        <v>0</v>
      </c>
      <c r="Y247">
        <f t="shared" si="7"/>
        <v>0</v>
      </c>
    </row>
    <row r="248" spans="1:25" x14ac:dyDescent="0.3">
      <c r="A248" t="s">
        <v>1024</v>
      </c>
      <c r="B248" t="s">
        <v>1025</v>
      </c>
      <c r="C248">
        <v>34.07</v>
      </c>
      <c r="D248" s="1">
        <v>45236.724282407406</v>
      </c>
      <c r="E248" t="s">
        <v>25</v>
      </c>
      <c r="F248" t="s">
        <v>256</v>
      </c>
      <c r="G248" t="s">
        <v>701</v>
      </c>
      <c r="H248" t="s">
        <v>1026</v>
      </c>
      <c r="I248" t="s">
        <v>1027</v>
      </c>
      <c r="J248" t="s">
        <v>81</v>
      </c>
      <c r="K248">
        <v>22</v>
      </c>
      <c r="L248" t="s">
        <v>46</v>
      </c>
      <c r="M248">
        <v>81</v>
      </c>
      <c r="N248">
        <v>1</v>
      </c>
      <c r="O248">
        <v>8709.77</v>
      </c>
      <c r="P248" s="1">
        <v>45600.338437500002</v>
      </c>
      <c r="Q248">
        <v>17</v>
      </c>
      <c r="R248" t="s">
        <v>47</v>
      </c>
      <c r="S248">
        <v>-0.90264486644224495</v>
      </c>
      <c r="T248" t="b">
        <v>0</v>
      </c>
      <c r="U248" t="b">
        <v>0</v>
      </c>
      <c r="V248" t="b">
        <f t="shared" si="6"/>
        <v>1</v>
      </c>
      <c r="W248">
        <v>0</v>
      </c>
      <c r="Y248">
        <f t="shared" si="7"/>
        <v>0</v>
      </c>
    </row>
    <row r="249" spans="1:25" x14ac:dyDescent="0.3">
      <c r="A249" t="s">
        <v>1028</v>
      </c>
      <c r="B249" t="s">
        <v>1029</v>
      </c>
      <c r="C249">
        <v>492.06</v>
      </c>
      <c r="D249" s="1">
        <v>45218.676562499997</v>
      </c>
      <c r="E249" t="s">
        <v>25</v>
      </c>
      <c r="F249" t="s">
        <v>571</v>
      </c>
      <c r="G249" t="s">
        <v>1030</v>
      </c>
      <c r="H249" t="s">
        <v>1031</v>
      </c>
      <c r="I249" t="s">
        <v>458</v>
      </c>
      <c r="J249" t="s">
        <v>45</v>
      </c>
      <c r="K249">
        <v>23</v>
      </c>
      <c r="L249" t="s">
        <v>46</v>
      </c>
      <c r="M249">
        <v>74</v>
      </c>
      <c r="N249">
        <v>1</v>
      </c>
      <c r="O249">
        <v>857.9</v>
      </c>
      <c r="P249" s="1">
        <v>45600.340231481481</v>
      </c>
      <c r="Q249">
        <v>16</v>
      </c>
      <c r="R249" t="s">
        <v>141</v>
      </c>
      <c r="S249">
        <v>0.66610284099126105</v>
      </c>
      <c r="T249" t="b">
        <v>0</v>
      </c>
      <c r="U249" t="b">
        <v>0</v>
      </c>
      <c r="V249" t="b">
        <f t="shared" si="6"/>
        <v>1</v>
      </c>
      <c r="W249">
        <v>0</v>
      </c>
      <c r="Y249">
        <f t="shared" si="7"/>
        <v>0</v>
      </c>
    </row>
    <row r="250" spans="1:25" x14ac:dyDescent="0.3">
      <c r="A250" t="s">
        <v>1032</v>
      </c>
      <c r="B250" t="s">
        <v>1033</v>
      </c>
      <c r="C250">
        <v>842.01</v>
      </c>
      <c r="D250" s="1">
        <v>45181.696840277778</v>
      </c>
      <c r="E250" t="s">
        <v>57</v>
      </c>
      <c r="F250" t="s">
        <v>314</v>
      </c>
      <c r="G250" t="s">
        <v>1034</v>
      </c>
      <c r="H250" t="s">
        <v>506</v>
      </c>
      <c r="I250" t="s">
        <v>29</v>
      </c>
      <c r="J250" t="s">
        <v>45</v>
      </c>
      <c r="K250">
        <v>53</v>
      </c>
      <c r="L250" t="s">
        <v>31</v>
      </c>
      <c r="M250">
        <v>185</v>
      </c>
      <c r="N250">
        <v>1</v>
      </c>
      <c r="O250">
        <v>509.45</v>
      </c>
      <c r="P250" s="1">
        <v>45600.339270833334</v>
      </c>
      <c r="Q250">
        <v>16</v>
      </c>
      <c r="R250" t="s">
        <v>32</v>
      </c>
      <c r="S250">
        <v>1.8647824196203899</v>
      </c>
      <c r="T250" t="b">
        <v>0</v>
      </c>
      <c r="U250" t="b">
        <v>0</v>
      </c>
      <c r="V250" t="b">
        <f t="shared" si="6"/>
        <v>1</v>
      </c>
      <c r="W250">
        <v>0</v>
      </c>
      <c r="Y250">
        <f t="shared" si="7"/>
        <v>0</v>
      </c>
    </row>
    <row r="251" spans="1:25" x14ac:dyDescent="0.3">
      <c r="A251" t="s">
        <v>1035</v>
      </c>
      <c r="B251" t="s">
        <v>1036</v>
      </c>
      <c r="C251">
        <v>73.55</v>
      </c>
      <c r="D251" s="1">
        <v>44935.673472222225</v>
      </c>
      <c r="E251" t="s">
        <v>25</v>
      </c>
      <c r="F251" t="s">
        <v>58</v>
      </c>
      <c r="G251" t="s">
        <v>1037</v>
      </c>
      <c r="H251" t="s">
        <v>1038</v>
      </c>
      <c r="I251" t="s">
        <v>585</v>
      </c>
      <c r="J251" t="s">
        <v>30</v>
      </c>
      <c r="K251">
        <v>51</v>
      </c>
      <c r="L251" t="s">
        <v>89</v>
      </c>
      <c r="M251">
        <v>158</v>
      </c>
      <c r="N251">
        <v>1</v>
      </c>
      <c r="O251">
        <v>2812.06</v>
      </c>
      <c r="P251" s="1">
        <v>45600.341215277775</v>
      </c>
      <c r="Q251">
        <v>16</v>
      </c>
      <c r="R251" t="s">
        <v>47</v>
      </c>
      <c r="S251">
        <v>-0.76741449134786499</v>
      </c>
      <c r="T251" t="b">
        <v>0</v>
      </c>
      <c r="U251" t="b">
        <v>0</v>
      </c>
      <c r="V251" t="b">
        <f t="shared" si="6"/>
        <v>1</v>
      </c>
      <c r="W251">
        <v>0</v>
      </c>
      <c r="Y251">
        <f t="shared" si="7"/>
        <v>0</v>
      </c>
    </row>
    <row r="252" spans="1:25" x14ac:dyDescent="0.3">
      <c r="A252" t="s">
        <v>1039</v>
      </c>
      <c r="B252" t="s">
        <v>1040</v>
      </c>
      <c r="C252">
        <v>760.53</v>
      </c>
      <c r="D252" s="1">
        <v>45173.759317129632</v>
      </c>
      <c r="E252" t="s">
        <v>25</v>
      </c>
      <c r="F252" t="s">
        <v>438</v>
      </c>
      <c r="G252" t="s">
        <v>1041</v>
      </c>
      <c r="H252" t="s">
        <v>806</v>
      </c>
      <c r="I252" t="s">
        <v>275</v>
      </c>
      <c r="J252" t="s">
        <v>45</v>
      </c>
      <c r="K252">
        <v>57</v>
      </c>
      <c r="L252" t="s">
        <v>89</v>
      </c>
      <c r="M252">
        <v>118</v>
      </c>
      <c r="N252">
        <v>1</v>
      </c>
      <c r="O252">
        <v>6179.91</v>
      </c>
      <c r="P252" s="1">
        <v>45600.339988425927</v>
      </c>
      <c r="Q252">
        <v>18</v>
      </c>
      <c r="R252" t="s">
        <v>47</v>
      </c>
      <c r="S252">
        <v>1.5856899433617699</v>
      </c>
      <c r="T252" t="b">
        <v>0</v>
      </c>
      <c r="U252" t="b">
        <v>0</v>
      </c>
      <c r="V252" t="b">
        <f t="shared" si="6"/>
        <v>1</v>
      </c>
      <c r="W252">
        <v>0</v>
      </c>
      <c r="Y252">
        <f t="shared" si="7"/>
        <v>0</v>
      </c>
    </row>
    <row r="253" spans="1:25" x14ac:dyDescent="0.3">
      <c r="A253" t="s">
        <v>1042</v>
      </c>
      <c r="B253" t="s">
        <v>1043</v>
      </c>
      <c r="C253">
        <v>273.08</v>
      </c>
      <c r="D253" s="1">
        <v>44956.673009259262</v>
      </c>
      <c r="E253" t="s">
        <v>57</v>
      </c>
      <c r="F253" t="s">
        <v>35</v>
      </c>
      <c r="G253" t="s">
        <v>1044</v>
      </c>
      <c r="H253" t="s">
        <v>1045</v>
      </c>
      <c r="I253" t="s">
        <v>95</v>
      </c>
      <c r="J253" t="s">
        <v>81</v>
      </c>
      <c r="K253">
        <v>26</v>
      </c>
      <c r="L253" t="s">
        <v>89</v>
      </c>
      <c r="M253">
        <v>134</v>
      </c>
      <c r="N253">
        <v>1</v>
      </c>
      <c r="O253">
        <v>6609.3</v>
      </c>
      <c r="P253" s="1">
        <v>45600.338854166665</v>
      </c>
      <c r="Q253">
        <v>16</v>
      </c>
      <c r="R253" t="s">
        <v>47</v>
      </c>
      <c r="S253">
        <v>-8.3966752174068196E-2</v>
      </c>
      <c r="T253" t="b">
        <v>0</v>
      </c>
      <c r="U253" t="b">
        <v>0</v>
      </c>
      <c r="V253" t="b">
        <f t="shared" si="6"/>
        <v>1</v>
      </c>
      <c r="W253">
        <v>0</v>
      </c>
      <c r="Y253">
        <f t="shared" si="7"/>
        <v>0</v>
      </c>
    </row>
    <row r="254" spans="1:25" x14ac:dyDescent="0.3">
      <c r="A254" t="s">
        <v>1046</v>
      </c>
      <c r="B254" t="s">
        <v>180</v>
      </c>
      <c r="C254">
        <v>371.69</v>
      </c>
      <c r="D254" s="1">
        <v>45282.685983796298</v>
      </c>
      <c r="E254" t="s">
        <v>25</v>
      </c>
      <c r="F254" t="s">
        <v>225</v>
      </c>
      <c r="G254" t="s">
        <v>886</v>
      </c>
      <c r="H254" t="s">
        <v>1047</v>
      </c>
      <c r="I254" t="s">
        <v>80</v>
      </c>
      <c r="J254" t="s">
        <v>81</v>
      </c>
      <c r="K254">
        <v>67</v>
      </c>
      <c r="L254" t="s">
        <v>82</v>
      </c>
      <c r="M254">
        <v>143</v>
      </c>
      <c r="N254">
        <v>1</v>
      </c>
      <c r="O254">
        <v>3484.32</v>
      </c>
      <c r="P254" s="1">
        <v>45600.340266203704</v>
      </c>
      <c r="Q254">
        <v>16</v>
      </c>
      <c r="R254" t="s">
        <v>54</v>
      </c>
      <c r="S254">
        <v>0.25380090963081398</v>
      </c>
      <c r="T254" t="b">
        <v>0</v>
      </c>
      <c r="U254" t="b">
        <v>0</v>
      </c>
      <c r="V254" t="b">
        <f t="shared" si="6"/>
        <v>1</v>
      </c>
      <c r="W254">
        <v>0</v>
      </c>
      <c r="Y254">
        <f t="shared" si="7"/>
        <v>0</v>
      </c>
    </row>
    <row r="255" spans="1:25" x14ac:dyDescent="0.3">
      <c r="A255" t="s">
        <v>1048</v>
      </c>
      <c r="B255" t="s">
        <v>711</v>
      </c>
      <c r="C255">
        <v>218.96</v>
      </c>
      <c r="D255" s="1">
        <v>45168.674849537034</v>
      </c>
      <c r="E255" t="s">
        <v>25</v>
      </c>
      <c r="F255" t="s">
        <v>70</v>
      </c>
      <c r="G255" t="s">
        <v>671</v>
      </c>
      <c r="H255" t="s">
        <v>1049</v>
      </c>
      <c r="I255" t="s">
        <v>1050</v>
      </c>
      <c r="J255" t="s">
        <v>30</v>
      </c>
      <c r="K255">
        <v>18</v>
      </c>
      <c r="L255" t="s">
        <v>46</v>
      </c>
      <c r="M255">
        <v>13</v>
      </c>
      <c r="N255">
        <v>1</v>
      </c>
      <c r="O255">
        <v>754.21</v>
      </c>
      <c r="P255" s="1">
        <v>45600.340682870374</v>
      </c>
      <c r="Q255">
        <v>16</v>
      </c>
      <c r="R255" t="s">
        <v>74</v>
      </c>
      <c r="S255">
        <v>-0.26934334538855098</v>
      </c>
      <c r="T255" t="b">
        <v>0</v>
      </c>
      <c r="U255" t="b">
        <v>0</v>
      </c>
      <c r="V255" t="b">
        <f t="shared" si="6"/>
        <v>1</v>
      </c>
      <c r="W255">
        <v>0</v>
      </c>
      <c r="Y255">
        <f t="shared" si="7"/>
        <v>0</v>
      </c>
    </row>
    <row r="256" spans="1:25" x14ac:dyDescent="0.3">
      <c r="A256" t="s">
        <v>1051</v>
      </c>
      <c r="B256" t="s">
        <v>975</v>
      </c>
      <c r="C256">
        <v>227.39</v>
      </c>
      <c r="D256" s="1">
        <v>45285.70716435185</v>
      </c>
      <c r="E256" t="s">
        <v>25</v>
      </c>
      <c r="F256" t="s">
        <v>58</v>
      </c>
      <c r="G256" t="s">
        <v>1052</v>
      </c>
      <c r="H256" t="s">
        <v>536</v>
      </c>
      <c r="I256" t="s">
        <v>765</v>
      </c>
      <c r="J256" t="s">
        <v>45</v>
      </c>
      <c r="K256">
        <v>18</v>
      </c>
      <c r="L256" t="s">
        <v>46</v>
      </c>
      <c r="M256">
        <v>65</v>
      </c>
      <c r="N256">
        <v>1</v>
      </c>
      <c r="O256">
        <v>751.09</v>
      </c>
      <c r="P256" s="1">
        <v>45600.34138888889</v>
      </c>
      <c r="Q256">
        <v>16</v>
      </c>
      <c r="R256" t="s">
        <v>47</v>
      </c>
      <c r="S256">
        <v>-0.240468166512016</v>
      </c>
      <c r="T256" t="b">
        <v>0</v>
      </c>
      <c r="U256" t="b">
        <v>0</v>
      </c>
      <c r="V256" t="b">
        <f t="shared" si="6"/>
        <v>1</v>
      </c>
      <c r="W256">
        <v>0</v>
      </c>
      <c r="Y256">
        <f t="shared" si="7"/>
        <v>0</v>
      </c>
    </row>
    <row r="257" spans="1:25" x14ac:dyDescent="0.3">
      <c r="A257" t="s">
        <v>1053</v>
      </c>
      <c r="B257" t="s">
        <v>830</v>
      </c>
      <c r="C257">
        <v>237.99</v>
      </c>
      <c r="D257" s="1">
        <v>45054.69804398148</v>
      </c>
      <c r="E257" t="s">
        <v>57</v>
      </c>
      <c r="F257" t="s">
        <v>304</v>
      </c>
      <c r="G257" t="s">
        <v>1054</v>
      </c>
      <c r="H257" t="s">
        <v>1055</v>
      </c>
      <c r="I257" t="s">
        <v>182</v>
      </c>
      <c r="J257" t="s">
        <v>81</v>
      </c>
      <c r="K257">
        <v>39</v>
      </c>
      <c r="L257" t="s">
        <v>31</v>
      </c>
      <c r="M257">
        <v>86</v>
      </c>
      <c r="N257">
        <v>1</v>
      </c>
      <c r="O257">
        <v>8510.09</v>
      </c>
      <c r="P257" s="1">
        <v>45600.34138888889</v>
      </c>
      <c r="Q257">
        <v>16</v>
      </c>
      <c r="R257" t="s">
        <v>47</v>
      </c>
      <c r="S257">
        <v>-0.204160112408662</v>
      </c>
      <c r="T257" t="b">
        <v>0</v>
      </c>
      <c r="U257" t="b">
        <v>0</v>
      </c>
      <c r="V257" t="b">
        <f t="shared" si="6"/>
        <v>1</v>
      </c>
      <c r="W257">
        <v>0</v>
      </c>
      <c r="Y257">
        <f t="shared" si="7"/>
        <v>0</v>
      </c>
    </row>
    <row r="258" spans="1:25" x14ac:dyDescent="0.3">
      <c r="A258" t="s">
        <v>1056</v>
      </c>
      <c r="B258" t="s">
        <v>1057</v>
      </c>
      <c r="C258">
        <v>186.6</v>
      </c>
      <c r="D258" s="1">
        <v>45111.685682870368</v>
      </c>
      <c r="E258" t="s">
        <v>25</v>
      </c>
      <c r="F258" t="s">
        <v>466</v>
      </c>
      <c r="G258" t="s">
        <v>1058</v>
      </c>
      <c r="H258" t="s">
        <v>1059</v>
      </c>
      <c r="I258" t="s">
        <v>993</v>
      </c>
      <c r="J258" t="s">
        <v>45</v>
      </c>
      <c r="K258">
        <v>58</v>
      </c>
      <c r="L258" t="s">
        <v>31</v>
      </c>
      <c r="M258">
        <v>13</v>
      </c>
      <c r="N258">
        <v>1</v>
      </c>
      <c r="O258">
        <v>1508.72</v>
      </c>
      <c r="P258" s="1">
        <v>45600.337777777779</v>
      </c>
      <c r="Q258">
        <v>16</v>
      </c>
      <c r="R258" t="s">
        <v>32</v>
      </c>
      <c r="S258">
        <v>-0.38018566904746998</v>
      </c>
      <c r="T258" t="b">
        <v>0</v>
      </c>
      <c r="U258" t="b">
        <v>0</v>
      </c>
      <c r="V258" t="b">
        <f t="shared" si="6"/>
        <v>1</v>
      </c>
      <c r="W258">
        <v>0</v>
      </c>
      <c r="Y258">
        <f t="shared" si="7"/>
        <v>0</v>
      </c>
    </row>
    <row r="259" spans="1:25" x14ac:dyDescent="0.3">
      <c r="A259" t="s">
        <v>1060</v>
      </c>
      <c r="B259" t="s">
        <v>975</v>
      </c>
      <c r="C259">
        <v>341.15</v>
      </c>
      <c r="D259" s="1">
        <v>44970.721006944441</v>
      </c>
      <c r="E259" t="s">
        <v>25</v>
      </c>
      <c r="F259" t="s">
        <v>236</v>
      </c>
      <c r="G259" t="s">
        <v>470</v>
      </c>
      <c r="H259" t="s">
        <v>1061</v>
      </c>
      <c r="I259" t="s">
        <v>577</v>
      </c>
      <c r="J259" t="s">
        <v>45</v>
      </c>
      <c r="K259">
        <v>18</v>
      </c>
      <c r="L259" t="s">
        <v>46</v>
      </c>
      <c r="M259">
        <v>148</v>
      </c>
      <c r="N259">
        <v>1</v>
      </c>
      <c r="O259">
        <v>511.37</v>
      </c>
      <c r="P259" s="1">
        <v>45600.340381944443</v>
      </c>
      <c r="Q259">
        <v>17</v>
      </c>
      <c r="R259" t="s">
        <v>47</v>
      </c>
      <c r="S259">
        <v>0.14919261035567799</v>
      </c>
      <c r="T259" t="b">
        <v>0</v>
      </c>
      <c r="U259" t="b">
        <v>0</v>
      </c>
      <c r="V259" t="b">
        <f t="shared" ref="V259:V322" si="8">ISLOGICAL(T259)</f>
        <v>1</v>
      </c>
      <c r="W259">
        <v>0</v>
      </c>
      <c r="Y259">
        <f t="shared" ref="Y259:Y322" si="9">--T259</f>
        <v>0</v>
      </c>
    </row>
    <row r="260" spans="1:25" x14ac:dyDescent="0.3">
      <c r="A260" t="s">
        <v>1062</v>
      </c>
      <c r="B260" t="s">
        <v>794</v>
      </c>
      <c r="C260">
        <v>434.58</v>
      </c>
      <c r="D260" s="1">
        <v>45175.686550925922</v>
      </c>
      <c r="E260" t="s">
        <v>25</v>
      </c>
      <c r="F260" t="s">
        <v>104</v>
      </c>
      <c r="G260" t="s">
        <v>1063</v>
      </c>
      <c r="H260" t="s">
        <v>966</v>
      </c>
      <c r="I260" t="s">
        <v>61</v>
      </c>
      <c r="J260" t="s">
        <v>30</v>
      </c>
      <c r="K260">
        <v>59</v>
      </c>
      <c r="L260" t="s">
        <v>31</v>
      </c>
      <c r="M260">
        <v>215</v>
      </c>
      <c r="N260">
        <v>1</v>
      </c>
      <c r="O260">
        <v>12648.32</v>
      </c>
      <c r="P260" s="1">
        <v>45600.339062500003</v>
      </c>
      <c r="Q260">
        <v>16</v>
      </c>
      <c r="R260" t="s">
        <v>74</v>
      </c>
      <c r="S260">
        <v>0.46921727968363802</v>
      </c>
      <c r="T260" t="b">
        <v>0</v>
      </c>
      <c r="U260" t="b">
        <v>0</v>
      </c>
      <c r="V260" t="b">
        <f t="shared" si="8"/>
        <v>1</v>
      </c>
      <c r="W260">
        <v>0</v>
      </c>
      <c r="Y260">
        <f t="shared" si="9"/>
        <v>0</v>
      </c>
    </row>
    <row r="261" spans="1:25" x14ac:dyDescent="0.3">
      <c r="A261" t="s">
        <v>1064</v>
      </c>
      <c r="B261" t="s">
        <v>1065</v>
      </c>
      <c r="C261">
        <v>312.88</v>
      </c>
      <c r="D261" s="1">
        <v>45072.758912037039</v>
      </c>
      <c r="E261" t="s">
        <v>57</v>
      </c>
      <c r="F261" t="s">
        <v>608</v>
      </c>
      <c r="G261" t="s">
        <v>836</v>
      </c>
      <c r="H261" t="s">
        <v>1066</v>
      </c>
      <c r="I261" t="s">
        <v>156</v>
      </c>
      <c r="J261" t="s">
        <v>81</v>
      </c>
      <c r="K261">
        <v>54</v>
      </c>
      <c r="L261" t="s">
        <v>89</v>
      </c>
      <c r="M261">
        <v>44</v>
      </c>
      <c r="N261">
        <v>1</v>
      </c>
      <c r="O261">
        <v>233.21</v>
      </c>
      <c r="P261" s="1">
        <v>45600.338460648149</v>
      </c>
      <c r="Q261">
        <v>18</v>
      </c>
      <c r="R261" t="s">
        <v>54</v>
      </c>
      <c r="S261">
        <v>5.2359715119657702E-2</v>
      </c>
      <c r="T261" t="b">
        <v>0</v>
      </c>
      <c r="U261" t="b">
        <v>0</v>
      </c>
      <c r="V261" t="b">
        <f t="shared" si="8"/>
        <v>1</v>
      </c>
      <c r="W261">
        <v>0</v>
      </c>
      <c r="Y261">
        <f t="shared" si="9"/>
        <v>0</v>
      </c>
    </row>
    <row r="262" spans="1:25" x14ac:dyDescent="0.3">
      <c r="A262" t="s">
        <v>1067</v>
      </c>
      <c r="B262" t="s">
        <v>119</v>
      </c>
      <c r="C262">
        <v>75.150000000000006</v>
      </c>
      <c r="D262" s="1">
        <v>45187.730127314811</v>
      </c>
      <c r="E262" t="s">
        <v>25</v>
      </c>
      <c r="F262" t="s">
        <v>401</v>
      </c>
      <c r="G262" t="s">
        <v>875</v>
      </c>
      <c r="H262" t="s">
        <v>1068</v>
      </c>
      <c r="I262" t="s">
        <v>222</v>
      </c>
      <c r="J262" t="s">
        <v>30</v>
      </c>
      <c r="K262">
        <v>23</v>
      </c>
      <c r="L262" t="s">
        <v>46</v>
      </c>
      <c r="M262">
        <v>154</v>
      </c>
      <c r="N262">
        <v>1</v>
      </c>
      <c r="O262">
        <v>1092.92</v>
      </c>
      <c r="P262" s="1">
        <v>45600.34097222222</v>
      </c>
      <c r="Q262">
        <v>17</v>
      </c>
      <c r="R262" t="s">
        <v>47</v>
      </c>
      <c r="S262">
        <v>-0.76193403035113305</v>
      </c>
      <c r="T262" t="b">
        <v>0</v>
      </c>
      <c r="U262" t="b">
        <v>0</v>
      </c>
      <c r="V262" t="b">
        <f t="shared" si="8"/>
        <v>1</v>
      </c>
      <c r="W262">
        <v>0</v>
      </c>
      <c r="Y262">
        <f t="shared" si="9"/>
        <v>0</v>
      </c>
    </row>
    <row r="263" spans="1:25" x14ac:dyDescent="0.3">
      <c r="A263" t="s">
        <v>1069</v>
      </c>
      <c r="B263" t="s">
        <v>1070</v>
      </c>
      <c r="C263">
        <v>23.3</v>
      </c>
      <c r="D263" s="1">
        <v>45152.759467592594</v>
      </c>
      <c r="E263" t="s">
        <v>25</v>
      </c>
      <c r="F263" t="s">
        <v>153</v>
      </c>
      <c r="G263" t="s">
        <v>1071</v>
      </c>
      <c r="H263" t="s">
        <v>531</v>
      </c>
      <c r="I263" t="s">
        <v>898</v>
      </c>
      <c r="J263" t="s">
        <v>30</v>
      </c>
      <c r="K263">
        <v>59</v>
      </c>
      <c r="L263" t="s">
        <v>89</v>
      </c>
      <c r="M263">
        <v>161</v>
      </c>
      <c r="N263">
        <v>1</v>
      </c>
      <c r="O263">
        <v>6711.15</v>
      </c>
      <c r="P263" s="1">
        <v>45600.338958333334</v>
      </c>
      <c r="Q263">
        <v>18</v>
      </c>
      <c r="R263" t="s">
        <v>47</v>
      </c>
      <c r="S263">
        <v>-0.93953521952650199</v>
      </c>
      <c r="T263" t="b">
        <v>0</v>
      </c>
      <c r="U263" t="b">
        <v>0</v>
      </c>
      <c r="V263" t="b">
        <f t="shared" si="8"/>
        <v>1</v>
      </c>
      <c r="W263">
        <v>0</v>
      </c>
      <c r="Y263">
        <f t="shared" si="9"/>
        <v>0</v>
      </c>
    </row>
    <row r="264" spans="1:25" x14ac:dyDescent="0.3">
      <c r="A264" t="s">
        <v>1072</v>
      </c>
      <c r="B264" t="s">
        <v>1073</v>
      </c>
      <c r="C264">
        <v>47.38</v>
      </c>
      <c r="D264" s="1">
        <v>44965.76258101852</v>
      </c>
      <c r="E264" t="s">
        <v>57</v>
      </c>
      <c r="F264" t="s">
        <v>70</v>
      </c>
      <c r="G264" t="s">
        <v>1074</v>
      </c>
      <c r="H264" t="s">
        <v>1045</v>
      </c>
      <c r="I264" t="s">
        <v>898</v>
      </c>
      <c r="J264" t="s">
        <v>45</v>
      </c>
      <c r="K264">
        <v>25</v>
      </c>
      <c r="L264" t="s">
        <v>46</v>
      </c>
      <c r="M264">
        <v>61</v>
      </c>
      <c r="N264">
        <v>1</v>
      </c>
      <c r="O264">
        <v>459.37</v>
      </c>
      <c r="P264" s="1">
        <v>45600.338252314818</v>
      </c>
      <c r="Q264">
        <v>18</v>
      </c>
      <c r="R264" t="s">
        <v>74</v>
      </c>
      <c r="S264">
        <v>-0.85705428152567498</v>
      </c>
      <c r="T264" t="b">
        <v>0</v>
      </c>
      <c r="U264" t="b">
        <v>0</v>
      </c>
      <c r="V264" t="b">
        <f t="shared" si="8"/>
        <v>1</v>
      </c>
      <c r="W264">
        <v>0</v>
      </c>
      <c r="Y264">
        <f t="shared" si="9"/>
        <v>0</v>
      </c>
    </row>
    <row r="265" spans="1:25" x14ac:dyDescent="0.3">
      <c r="A265" t="s">
        <v>1075</v>
      </c>
      <c r="B265" t="s">
        <v>377</v>
      </c>
      <c r="C265">
        <v>512.80999999999995</v>
      </c>
      <c r="D265" s="1">
        <v>45126.706261574072</v>
      </c>
      <c r="E265" t="s">
        <v>25</v>
      </c>
      <c r="F265" t="s">
        <v>298</v>
      </c>
      <c r="G265" t="s">
        <v>1076</v>
      </c>
      <c r="H265" t="s">
        <v>1077</v>
      </c>
      <c r="I265" t="s">
        <v>445</v>
      </c>
      <c r="J265" t="s">
        <v>81</v>
      </c>
      <c r="K265">
        <v>79</v>
      </c>
      <c r="L265" t="s">
        <v>82</v>
      </c>
      <c r="M265">
        <v>30</v>
      </c>
      <c r="N265">
        <v>1</v>
      </c>
      <c r="O265">
        <v>6994.34</v>
      </c>
      <c r="P265" s="1">
        <v>45600.341643518521</v>
      </c>
      <c r="Q265">
        <v>16</v>
      </c>
      <c r="R265" t="s">
        <v>74</v>
      </c>
      <c r="S265">
        <v>0.73717756954263802</v>
      </c>
      <c r="T265" t="b">
        <v>0</v>
      </c>
      <c r="U265" t="b">
        <v>0</v>
      </c>
      <c r="V265" t="b">
        <f t="shared" si="8"/>
        <v>1</v>
      </c>
      <c r="W265">
        <v>0</v>
      </c>
      <c r="Y265">
        <f t="shared" si="9"/>
        <v>0</v>
      </c>
    </row>
    <row r="266" spans="1:25" x14ac:dyDescent="0.3">
      <c r="A266" t="s">
        <v>1078</v>
      </c>
      <c r="B266" t="s">
        <v>1079</v>
      </c>
      <c r="C266">
        <v>488.15</v>
      </c>
      <c r="D266" s="1">
        <v>45138.667361111111</v>
      </c>
      <c r="E266" t="s">
        <v>25</v>
      </c>
      <c r="F266" t="s">
        <v>120</v>
      </c>
      <c r="G266" t="s">
        <v>1080</v>
      </c>
      <c r="H266" t="s">
        <v>329</v>
      </c>
      <c r="I266" t="s">
        <v>647</v>
      </c>
      <c r="J266" t="s">
        <v>81</v>
      </c>
      <c r="K266">
        <v>43</v>
      </c>
      <c r="L266" t="s">
        <v>89</v>
      </c>
      <c r="M266">
        <v>168</v>
      </c>
      <c r="N266">
        <v>1</v>
      </c>
      <c r="O266">
        <v>7071.09</v>
      </c>
      <c r="P266" s="1">
        <v>45600.341122685182</v>
      </c>
      <c r="Q266">
        <v>16</v>
      </c>
      <c r="R266" t="s">
        <v>47</v>
      </c>
      <c r="S266">
        <v>0.652709964430495</v>
      </c>
      <c r="T266" t="b">
        <v>0</v>
      </c>
      <c r="U266" t="b">
        <v>0</v>
      </c>
      <c r="V266" t="b">
        <f t="shared" si="8"/>
        <v>1</v>
      </c>
      <c r="W266">
        <v>0</v>
      </c>
      <c r="Y266">
        <f t="shared" si="9"/>
        <v>0</v>
      </c>
    </row>
    <row r="267" spans="1:25" x14ac:dyDescent="0.3">
      <c r="A267" t="s">
        <v>1081</v>
      </c>
      <c r="B267" t="s">
        <v>1082</v>
      </c>
      <c r="C267">
        <v>12.82</v>
      </c>
      <c r="D267" s="1">
        <v>45021.775810185187</v>
      </c>
      <c r="E267" t="s">
        <v>25</v>
      </c>
      <c r="F267" t="s">
        <v>170</v>
      </c>
      <c r="G267" t="s">
        <v>1083</v>
      </c>
      <c r="H267" t="s">
        <v>198</v>
      </c>
      <c r="I267" t="s">
        <v>301</v>
      </c>
      <c r="J267" t="s">
        <v>30</v>
      </c>
      <c r="K267">
        <v>44</v>
      </c>
      <c r="L267" t="s">
        <v>89</v>
      </c>
      <c r="M267">
        <v>156</v>
      </c>
      <c r="N267">
        <v>1</v>
      </c>
      <c r="O267">
        <v>9045.19</v>
      </c>
      <c r="P267" s="1">
        <v>45600.339178240742</v>
      </c>
      <c r="Q267">
        <v>18</v>
      </c>
      <c r="R267" t="s">
        <v>74</v>
      </c>
      <c r="S267">
        <v>-0.97543223905510101</v>
      </c>
      <c r="T267" t="b">
        <v>0</v>
      </c>
      <c r="U267" t="b">
        <v>0</v>
      </c>
      <c r="V267" t="b">
        <f t="shared" si="8"/>
        <v>1</v>
      </c>
      <c r="W267">
        <v>0</v>
      </c>
      <c r="Y267">
        <f t="shared" si="9"/>
        <v>0</v>
      </c>
    </row>
    <row r="268" spans="1:25" x14ac:dyDescent="0.3">
      <c r="A268" t="s">
        <v>1084</v>
      </c>
      <c r="B268" t="s">
        <v>511</v>
      </c>
      <c r="C268">
        <v>66.900000000000006</v>
      </c>
      <c r="D268" s="1">
        <v>45033.701909722222</v>
      </c>
      <c r="E268" t="s">
        <v>57</v>
      </c>
      <c r="F268" t="s">
        <v>262</v>
      </c>
      <c r="G268" t="s">
        <v>995</v>
      </c>
      <c r="H268" t="s">
        <v>1085</v>
      </c>
      <c r="I268" t="s">
        <v>1050</v>
      </c>
      <c r="J268" t="s">
        <v>45</v>
      </c>
      <c r="K268">
        <v>79</v>
      </c>
      <c r="L268" t="s">
        <v>82</v>
      </c>
      <c r="M268">
        <v>129</v>
      </c>
      <c r="N268">
        <v>4</v>
      </c>
      <c r="O268">
        <v>5238.71</v>
      </c>
      <c r="P268" s="1">
        <v>45600.340729166666</v>
      </c>
      <c r="Q268">
        <v>16</v>
      </c>
      <c r="R268" t="s">
        <v>47</v>
      </c>
      <c r="S268">
        <v>-0.79019265736553601</v>
      </c>
      <c r="T268" t="b">
        <v>0</v>
      </c>
      <c r="U268" t="b">
        <v>1</v>
      </c>
      <c r="V268" t="b">
        <f t="shared" si="8"/>
        <v>1</v>
      </c>
      <c r="W268">
        <v>1</v>
      </c>
      <c r="Y268">
        <f t="shared" si="9"/>
        <v>0</v>
      </c>
    </row>
    <row r="269" spans="1:25" x14ac:dyDescent="0.3">
      <c r="A269" t="s">
        <v>1086</v>
      </c>
      <c r="B269" t="s">
        <v>1087</v>
      </c>
      <c r="C269">
        <v>535.91</v>
      </c>
      <c r="D269" s="1">
        <v>45114.693194444444</v>
      </c>
      <c r="E269" t="s">
        <v>25</v>
      </c>
      <c r="F269" t="s">
        <v>159</v>
      </c>
      <c r="G269" t="s">
        <v>1088</v>
      </c>
      <c r="H269" t="s">
        <v>1089</v>
      </c>
      <c r="I269" t="s">
        <v>361</v>
      </c>
      <c r="J269" t="s">
        <v>45</v>
      </c>
      <c r="K269">
        <v>43</v>
      </c>
      <c r="L269" t="s">
        <v>89</v>
      </c>
      <c r="M269">
        <v>22</v>
      </c>
      <c r="N269">
        <v>1</v>
      </c>
      <c r="O269">
        <v>9642.1200000000008</v>
      </c>
      <c r="P269" s="1">
        <v>45600.340844907405</v>
      </c>
      <c r="Q269">
        <v>16</v>
      </c>
      <c r="R269" t="s">
        <v>54</v>
      </c>
      <c r="S269">
        <v>0.81630172518296595</v>
      </c>
      <c r="T269" t="b">
        <v>0</v>
      </c>
      <c r="U269" t="b">
        <v>0</v>
      </c>
      <c r="V269" t="b">
        <f t="shared" si="8"/>
        <v>1</v>
      </c>
      <c r="W269">
        <v>0</v>
      </c>
      <c r="Y269">
        <f t="shared" si="9"/>
        <v>0</v>
      </c>
    </row>
    <row r="270" spans="1:25" x14ac:dyDescent="0.3">
      <c r="A270" t="s">
        <v>1090</v>
      </c>
      <c r="B270" t="s">
        <v>1091</v>
      </c>
      <c r="C270">
        <v>270.72000000000003</v>
      </c>
      <c r="D270" s="1">
        <v>45110.750694444447</v>
      </c>
      <c r="E270" t="s">
        <v>57</v>
      </c>
      <c r="F270" t="s">
        <v>466</v>
      </c>
      <c r="G270" t="s">
        <v>1092</v>
      </c>
      <c r="H270" t="s">
        <v>610</v>
      </c>
      <c r="I270" t="s">
        <v>222</v>
      </c>
      <c r="J270" t="s">
        <v>45</v>
      </c>
      <c r="K270">
        <v>26</v>
      </c>
      <c r="L270" t="s">
        <v>89</v>
      </c>
      <c r="M270">
        <v>53</v>
      </c>
      <c r="N270">
        <v>1</v>
      </c>
      <c r="O270">
        <v>6263.96</v>
      </c>
      <c r="P270" s="1">
        <v>45600.34103009259</v>
      </c>
      <c r="Q270">
        <v>18</v>
      </c>
      <c r="R270" t="s">
        <v>47</v>
      </c>
      <c r="S270">
        <v>-9.2050432144248795E-2</v>
      </c>
      <c r="T270" t="b">
        <v>0</v>
      </c>
      <c r="U270" t="b">
        <v>0</v>
      </c>
      <c r="V270" t="b">
        <f t="shared" si="8"/>
        <v>1</v>
      </c>
      <c r="W270">
        <v>0</v>
      </c>
      <c r="Y270">
        <f t="shared" si="9"/>
        <v>0</v>
      </c>
    </row>
    <row r="271" spans="1:25" x14ac:dyDescent="0.3">
      <c r="A271" t="s">
        <v>1093</v>
      </c>
      <c r="B271" t="s">
        <v>1094</v>
      </c>
      <c r="C271">
        <v>97.98</v>
      </c>
      <c r="D271" s="1">
        <v>44963.673472222225</v>
      </c>
      <c r="E271" t="s">
        <v>25</v>
      </c>
      <c r="F271" t="s">
        <v>126</v>
      </c>
      <c r="G271" t="s">
        <v>1095</v>
      </c>
      <c r="H271" t="s">
        <v>1096</v>
      </c>
      <c r="I271" t="s">
        <v>463</v>
      </c>
      <c r="J271" t="s">
        <v>81</v>
      </c>
      <c r="K271">
        <v>72</v>
      </c>
      <c r="L271" t="s">
        <v>82</v>
      </c>
      <c r="M271">
        <v>18</v>
      </c>
      <c r="N271">
        <v>1</v>
      </c>
      <c r="O271">
        <v>7460.33</v>
      </c>
      <c r="P271" s="1">
        <v>45600.339386574073</v>
      </c>
      <c r="Q271">
        <v>16</v>
      </c>
      <c r="R271" t="s">
        <v>47</v>
      </c>
      <c r="S271">
        <v>-0.68373470250400303</v>
      </c>
      <c r="T271" t="b">
        <v>0</v>
      </c>
      <c r="U271" t="b">
        <v>0</v>
      </c>
      <c r="V271" t="b">
        <f t="shared" si="8"/>
        <v>1</v>
      </c>
      <c r="W271">
        <v>0</v>
      </c>
      <c r="Y271">
        <f t="shared" si="9"/>
        <v>0</v>
      </c>
    </row>
    <row r="272" spans="1:25" x14ac:dyDescent="0.3">
      <c r="A272" t="s">
        <v>1097</v>
      </c>
      <c r="B272" t="s">
        <v>1098</v>
      </c>
      <c r="C272">
        <v>196.08</v>
      </c>
      <c r="D272" s="1">
        <v>45163.703101851854</v>
      </c>
      <c r="E272" t="s">
        <v>25</v>
      </c>
      <c r="F272" t="s">
        <v>225</v>
      </c>
      <c r="G272" t="s">
        <v>1099</v>
      </c>
      <c r="H272" t="s">
        <v>338</v>
      </c>
      <c r="I272" t="s">
        <v>782</v>
      </c>
      <c r="J272" t="s">
        <v>45</v>
      </c>
      <c r="K272">
        <v>61</v>
      </c>
      <c r="L272" t="s">
        <v>82</v>
      </c>
      <c r="M272">
        <v>98</v>
      </c>
      <c r="N272">
        <v>1</v>
      </c>
      <c r="O272">
        <v>4233.82</v>
      </c>
      <c r="P272" s="1">
        <v>45600.337858796294</v>
      </c>
      <c r="Q272">
        <v>16</v>
      </c>
      <c r="R272" t="s">
        <v>54</v>
      </c>
      <c r="S272">
        <v>-0.34771393764182901</v>
      </c>
      <c r="T272" t="b">
        <v>0</v>
      </c>
      <c r="U272" t="b">
        <v>0</v>
      </c>
      <c r="V272" t="b">
        <f t="shared" si="8"/>
        <v>1</v>
      </c>
      <c r="W272">
        <v>0</v>
      </c>
      <c r="Y272">
        <f t="shared" si="9"/>
        <v>0</v>
      </c>
    </row>
    <row r="273" spans="1:25" x14ac:dyDescent="0.3">
      <c r="A273" t="s">
        <v>1100</v>
      </c>
      <c r="B273" t="s">
        <v>1101</v>
      </c>
      <c r="C273">
        <v>251.18</v>
      </c>
      <c r="D273" s="1">
        <v>45078.702210648145</v>
      </c>
      <c r="E273" t="s">
        <v>25</v>
      </c>
      <c r="F273" t="s">
        <v>236</v>
      </c>
      <c r="G273" t="s">
        <v>1102</v>
      </c>
      <c r="H273" t="s">
        <v>513</v>
      </c>
      <c r="I273" t="s">
        <v>720</v>
      </c>
      <c r="J273" t="s">
        <v>30</v>
      </c>
      <c r="K273">
        <v>42</v>
      </c>
      <c r="L273" t="s">
        <v>89</v>
      </c>
      <c r="M273">
        <v>246</v>
      </c>
      <c r="N273">
        <v>1</v>
      </c>
      <c r="O273">
        <v>8303.9</v>
      </c>
      <c r="P273" s="1">
        <v>45600.338831018518</v>
      </c>
      <c r="Q273">
        <v>16</v>
      </c>
      <c r="R273" t="s">
        <v>141</v>
      </c>
      <c r="S273">
        <v>-0.15898056206684699</v>
      </c>
      <c r="T273" t="b">
        <v>0</v>
      </c>
      <c r="U273" t="b">
        <v>0</v>
      </c>
      <c r="V273" t="b">
        <f t="shared" si="8"/>
        <v>1</v>
      </c>
      <c r="W273">
        <v>0</v>
      </c>
      <c r="Y273">
        <f t="shared" si="9"/>
        <v>0</v>
      </c>
    </row>
    <row r="274" spans="1:25" x14ac:dyDescent="0.3">
      <c r="A274" t="s">
        <v>1103</v>
      </c>
      <c r="B274" t="s">
        <v>546</v>
      </c>
      <c r="C274">
        <v>44.52</v>
      </c>
      <c r="D274" s="1">
        <v>45013.771122685182</v>
      </c>
      <c r="E274" t="s">
        <v>25</v>
      </c>
      <c r="F274" t="s">
        <v>519</v>
      </c>
      <c r="G274" t="s">
        <v>1104</v>
      </c>
      <c r="H274" t="s">
        <v>1105</v>
      </c>
      <c r="I274" t="s">
        <v>440</v>
      </c>
      <c r="J274" t="s">
        <v>45</v>
      </c>
      <c r="K274">
        <v>28</v>
      </c>
      <c r="L274" t="s">
        <v>46</v>
      </c>
      <c r="M274">
        <v>205</v>
      </c>
      <c r="N274">
        <v>1</v>
      </c>
      <c r="O274">
        <v>314.27999999999997</v>
      </c>
      <c r="P274" s="1">
        <v>45600.340601851851</v>
      </c>
      <c r="Q274">
        <v>18</v>
      </c>
      <c r="R274" t="s">
        <v>32</v>
      </c>
      <c r="S274">
        <v>-0.86685060555733395</v>
      </c>
      <c r="T274" t="b">
        <v>0</v>
      </c>
      <c r="U274" t="b">
        <v>0</v>
      </c>
      <c r="V274" t="b">
        <f t="shared" si="8"/>
        <v>1</v>
      </c>
      <c r="W274">
        <v>0</v>
      </c>
      <c r="Y274">
        <f t="shared" si="9"/>
        <v>0</v>
      </c>
    </row>
    <row r="275" spans="1:25" x14ac:dyDescent="0.3">
      <c r="A275" t="s">
        <v>1106</v>
      </c>
      <c r="B275" t="s">
        <v>34</v>
      </c>
      <c r="C275">
        <v>178.87</v>
      </c>
      <c r="D275" s="1">
        <v>45069.669374999998</v>
      </c>
      <c r="E275" t="s">
        <v>25</v>
      </c>
      <c r="F275" t="s">
        <v>210</v>
      </c>
      <c r="G275" t="s">
        <v>592</v>
      </c>
      <c r="H275" t="s">
        <v>1107</v>
      </c>
      <c r="I275" t="s">
        <v>366</v>
      </c>
      <c r="J275" t="s">
        <v>45</v>
      </c>
      <c r="K275">
        <v>35</v>
      </c>
      <c r="L275" t="s">
        <v>31</v>
      </c>
      <c r="M275">
        <v>180</v>
      </c>
      <c r="N275">
        <v>1</v>
      </c>
      <c r="O275">
        <v>5241.2299999999996</v>
      </c>
      <c r="P275" s="1">
        <v>45600.340462962966</v>
      </c>
      <c r="Q275">
        <v>16</v>
      </c>
      <c r="R275" t="s">
        <v>32</v>
      </c>
      <c r="S275">
        <v>-0.40666314623793498</v>
      </c>
      <c r="T275" t="b">
        <v>0</v>
      </c>
      <c r="U275" t="b">
        <v>0</v>
      </c>
      <c r="V275" t="b">
        <f t="shared" si="8"/>
        <v>1</v>
      </c>
      <c r="W275">
        <v>0</v>
      </c>
      <c r="Y275">
        <f t="shared" si="9"/>
        <v>0</v>
      </c>
    </row>
    <row r="276" spans="1:25" x14ac:dyDescent="0.3">
      <c r="A276" t="s">
        <v>1108</v>
      </c>
      <c r="B276" t="s">
        <v>1109</v>
      </c>
      <c r="C276">
        <v>1176.28</v>
      </c>
      <c r="D276" s="1">
        <v>45280.67224537037</v>
      </c>
      <c r="E276" t="s">
        <v>57</v>
      </c>
      <c r="F276" t="s">
        <v>304</v>
      </c>
      <c r="G276" t="s">
        <v>1110</v>
      </c>
      <c r="H276" t="s">
        <v>1111</v>
      </c>
      <c r="I276" t="s">
        <v>239</v>
      </c>
      <c r="J276" t="s">
        <v>30</v>
      </c>
      <c r="K276">
        <v>54</v>
      </c>
      <c r="L276" t="s">
        <v>89</v>
      </c>
      <c r="M276">
        <v>174</v>
      </c>
      <c r="N276">
        <v>5</v>
      </c>
      <c r="O276">
        <v>323.69</v>
      </c>
      <c r="P276" s="1">
        <v>45600.341481481482</v>
      </c>
      <c r="Q276">
        <v>16</v>
      </c>
      <c r="R276" t="s">
        <v>74</v>
      </c>
      <c r="S276">
        <v>3.0097534804815398</v>
      </c>
      <c r="T276" t="b">
        <v>1</v>
      </c>
      <c r="U276" t="b">
        <v>1</v>
      </c>
      <c r="V276" t="b">
        <f t="shared" si="8"/>
        <v>1</v>
      </c>
      <c r="W276">
        <v>2</v>
      </c>
      <c r="Y276">
        <f t="shared" si="9"/>
        <v>1</v>
      </c>
    </row>
    <row r="277" spans="1:25" x14ac:dyDescent="0.3">
      <c r="A277" t="s">
        <v>1112</v>
      </c>
      <c r="B277" t="s">
        <v>318</v>
      </c>
      <c r="C277">
        <v>386.68</v>
      </c>
      <c r="D277" s="1">
        <v>45230.700011574074</v>
      </c>
      <c r="E277" t="s">
        <v>25</v>
      </c>
      <c r="F277" t="s">
        <v>216</v>
      </c>
      <c r="G277" t="s">
        <v>470</v>
      </c>
      <c r="H277" t="s">
        <v>1113</v>
      </c>
      <c r="I277" t="s">
        <v>73</v>
      </c>
      <c r="J277" t="s">
        <v>81</v>
      </c>
      <c r="K277">
        <v>46</v>
      </c>
      <c r="L277" t="s">
        <v>31</v>
      </c>
      <c r="M277">
        <v>128</v>
      </c>
      <c r="N277">
        <v>1</v>
      </c>
      <c r="O277">
        <v>6863.06</v>
      </c>
      <c r="P277" s="1">
        <v>45600.337824074071</v>
      </c>
      <c r="Q277">
        <v>16</v>
      </c>
      <c r="R277" t="s">
        <v>32</v>
      </c>
      <c r="S277">
        <v>0.30514597859395298</v>
      </c>
      <c r="T277" t="b">
        <v>0</v>
      </c>
      <c r="U277" t="b">
        <v>0</v>
      </c>
      <c r="V277" t="b">
        <f t="shared" si="8"/>
        <v>1</v>
      </c>
      <c r="W277">
        <v>0</v>
      </c>
      <c r="Y277">
        <f t="shared" si="9"/>
        <v>0</v>
      </c>
    </row>
    <row r="278" spans="1:25" x14ac:dyDescent="0.3">
      <c r="A278" t="s">
        <v>1114</v>
      </c>
      <c r="B278" t="s">
        <v>670</v>
      </c>
      <c r="C278">
        <v>167.14</v>
      </c>
      <c r="D278" s="1">
        <v>45040.773252314815</v>
      </c>
      <c r="E278" t="s">
        <v>25</v>
      </c>
      <c r="F278" t="s">
        <v>126</v>
      </c>
      <c r="G278" t="s">
        <v>410</v>
      </c>
      <c r="H278" t="s">
        <v>391</v>
      </c>
      <c r="I278" t="s">
        <v>487</v>
      </c>
      <c r="J278" t="s">
        <v>45</v>
      </c>
      <c r="K278">
        <v>76</v>
      </c>
      <c r="L278" t="s">
        <v>82</v>
      </c>
      <c r="M278">
        <v>20</v>
      </c>
      <c r="N278">
        <v>1</v>
      </c>
      <c r="O278">
        <v>3877.73</v>
      </c>
      <c r="P278" s="1">
        <v>45600.337800925925</v>
      </c>
      <c r="Q278">
        <v>18</v>
      </c>
      <c r="R278" t="s">
        <v>47</v>
      </c>
      <c r="S278">
        <v>-0.446841775920232</v>
      </c>
      <c r="T278" t="b">
        <v>0</v>
      </c>
      <c r="U278" t="b">
        <v>0</v>
      </c>
      <c r="V278" t="b">
        <f t="shared" si="8"/>
        <v>1</v>
      </c>
      <c r="W278">
        <v>0</v>
      </c>
      <c r="Y278">
        <f t="shared" si="9"/>
        <v>0</v>
      </c>
    </row>
    <row r="279" spans="1:25" x14ac:dyDescent="0.3">
      <c r="A279" t="s">
        <v>1115</v>
      </c>
      <c r="B279" t="s">
        <v>447</v>
      </c>
      <c r="C279">
        <v>345.22</v>
      </c>
      <c r="D279" s="1">
        <v>45174.705405092594</v>
      </c>
      <c r="E279" t="s">
        <v>25</v>
      </c>
      <c r="F279" t="s">
        <v>571</v>
      </c>
      <c r="G279" t="s">
        <v>1116</v>
      </c>
      <c r="H279" t="s">
        <v>1117</v>
      </c>
      <c r="I279" t="s">
        <v>117</v>
      </c>
      <c r="J279" t="s">
        <v>81</v>
      </c>
      <c r="K279">
        <v>69</v>
      </c>
      <c r="L279" t="s">
        <v>82</v>
      </c>
      <c r="M279">
        <v>253</v>
      </c>
      <c r="N279">
        <v>1</v>
      </c>
      <c r="O279">
        <v>4046.58</v>
      </c>
      <c r="P279" s="1">
        <v>45600.33861111111</v>
      </c>
      <c r="Q279">
        <v>16</v>
      </c>
      <c r="R279" t="s">
        <v>32</v>
      </c>
      <c r="S279">
        <v>0.16313353301611699</v>
      </c>
      <c r="T279" t="b">
        <v>0</v>
      </c>
      <c r="U279" t="b">
        <v>0</v>
      </c>
      <c r="V279" t="b">
        <f t="shared" si="8"/>
        <v>1</v>
      </c>
      <c r="W279">
        <v>0</v>
      </c>
      <c r="Y279">
        <f t="shared" si="9"/>
        <v>0</v>
      </c>
    </row>
    <row r="280" spans="1:25" x14ac:dyDescent="0.3">
      <c r="A280" t="s">
        <v>1118</v>
      </c>
      <c r="B280" t="s">
        <v>1119</v>
      </c>
      <c r="C280">
        <v>74.849999999999994</v>
      </c>
      <c r="D280" s="1">
        <v>45285.721620370372</v>
      </c>
      <c r="E280" t="s">
        <v>25</v>
      </c>
      <c r="F280" t="s">
        <v>50</v>
      </c>
      <c r="G280" t="s">
        <v>485</v>
      </c>
      <c r="H280" t="s">
        <v>172</v>
      </c>
      <c r="I280" t="s">
        <v>61</v>
      </c>
      <c r="J280" t="s">
        <v>30</v>
      </c>
      <c r="K280">
        <v>72</v>
      </c>
      <c r="L280" t="s">
        <v>82</v>
      </c>
      <c r="M280">
        <v>117</v>
      </c>
      <c r="N280">
        <v>1</v>
      </c>
      <c r="O280">
        <v>2409.73</v>
      </c>
      <c r="P280" s="1">
        <v>45600.341539351852</v>
      </c>
      <c r="Q280">
        <v>17</v>
      </c>
      <c r="R280" t="s">
        <v>47</v>
      </c>
      <c r="S280">
        <v>-0.76296161678801999</v>
      </c>
      <c r="T280" t="b">
        <v>0</v>
      </c>
      <c r="U280" t="b">
        <v>0</v>
      </c>
      <c r="V280" t="b">
        <f t="shared" si="8"/>
        <v>1</v>
      </c>
      <c r="W280">
        <v>0</v>
      </c>
      <c r="Y280">
        <f t="shared" si="9"/>
        <v>0</v>
      </c>
    </row>
    <row r="281" spans="1:25" x14ac:dyDescent="0.3">
      <c r="A281" t="s">
        <v>1120</v>
      </c>
      <c r="B281" t="s">
        <v>437</v>
      </c>
      <c r="C281">
        <v>671.73</v>
      </c>
      <c r="D281" s="1">
        <v>45215.677708333336</v>
      </c>
      <c r="E281" t="s">
        <v>25</v>
      </c>
      <c r="F281" t="s">
        <v>466</v>
      </c>
      <c r="G281" t="s">
        <v>1121</v>
      </c>
      <c r="H281" t="s">
        <v>1122</v>
      </c>
      <c r="I281" t="s">
        <v>371</v>
      </c>
      <c r="J281" t="s">
        <v>81</v>
      </c>
      <c r="K281">
        <v>58</v>
      </c>
      <c r="L281" t="s">
        <v>89</v>
      </c>
      <c r="M281">
        <v>54</v>
      </c>
      <c r="N281">
        <v>1</v>
      </c>
      <c r="O281">
        <v>5211.88</v>
      </c>
      <c r="P281" s="1">
        <v>45600.34171296296</v>
      </c>
      <c r="Q281">
        <v>16</v>
      </c>
      <c r="R281" t="s">
        <v>47</v>
      </c>
      <c r="S281">
        <v>1.2815243580431099</v>
      </c>
      <c r="T281" t="b">
        <v>0</v>
      </c>
      <c r="U281" t="b">
        <v>0</v>
      </c>
      <c r="V281" t="b">
        <f t="shared" si="8"/>
        <v>1</v>
      </c>
      <c r="W281">
        <v>0</v>
      </c>
      <c r="Y281">
        <f t="shared" si="9"/>
        <v>0</v>
      </c>
    </row>
    <row r="282" spans="1:25" x14ac:dyDescent="0.3">
      <c r="A282" t="s">
        <v>1123</v>
      </c>
      <c r="B282" t="s">
        <v>1124</v>
      </c>
      <c r="C282">
        <v>255.04</v>
      </c>
      <c r="D282" s="1">
        <v>45253.677766203706</v>
      </c>
      <c r="E282" t="s">
        <v>25</v>
      </c>
      <c r="F282" t="s">
        <v>70</v>
      </c>
      <c r="G282" t="s">
        <v>443</v>
      </c>
      <c r="H282" t="s">
        <v>1125</v>
      </c>
      <c r="I282" t="s">
        <v>833</v>
      </c>
      <c r="J282" t="s">
        <v>30</v>
      </c>
      <c r="K282">
        <v>45</v>
      </c>
      <c r="L282" t="s">
        <v>89</v>
      </c>
      <c r="M282">
        <v>152</v>
      </c>
      <c r="N282">
        <v>1</v>
      </c>
      <c r="O282">
        <v>6217.86</v>
      </c>
      <c r="P282" s="1">
        <v>45600.341412037036</v>
      </c>
      <c r="Q282">
        <v>16</v>
      </c>
      <c r="R282" t="s">
        <v>141</v>
      </c>
      <c r="S282">
        <v>-0.14575894991222901</v>
      </c>
      <c r="T282" t="b">
        <v>0</v>
      </c>
      <c r="U282" t="b">
        <v>0</v>
      </c>
      <c r="V282" t="b">
        <f t="shared" si="8"/>
        <v>1</v>
      </c>
      <c r="W282">
        <v>0</v>
      </c>
      <c r="Y282">
        <f t="shared" si="9"/>
        <v>0</v>
      </c>
    </row>
    <row r="283" spans="1:25" x14ac:dyDescent="0.3">
      <c r="A283" t="s">
        <v>1126</v>
      </c>
      <c r="B283" t="s">
        <v>1127</v>
      </c>
      <c r="C283">
        <v>45.77</v>
      </c>
      <c r="D283" s="1">
        <v>44966.743321759262</v>
      </c>
      <c r="E283" t="s">
        <v>25</v>
      </c>
      <c r="F283" t="s">
        <v>256</v>
      </c>
      <c r="G283" t="s">
        <v>1128</v>
      </c>
      <c r="H283" t="s">
        <v>1129</v>
      </c>
      <c r="I283" t="s">
        <v>399</v>
      </c>
      <c r="J283" t="s">
        <v>45</v>
      </c>
      <c r="K283">
        <v>25</v>
      </c>
      <c r="L283" t="s">
        <v>46</v>
      </c>
      <c r="M283">
        <v>109</v>
      </c>
      <c r="N283">
        <v>1</v>
      </c>
      <c r="O283">
        <v>5978.12</v>
      </c>
      <c r="P283" s="1">
        <v>45600.338900462964</v>
      </c>
      <c r="Q283">
        <v>17</v>
      </c>
      <c r="R283" t="s">
        <v>141</v>
      </c>
      <c r="S283">
        <v>-0.86256899540363696</v>
      </c>
      <c r="T283" t="b">
        <v>0</v>
      </c>
      <c r="U283" t="b">
        <v>0</v>
      </c>
      <c r="V283" t="b">
        <f t="shared" si="8"/>
        <v>1</v>
      </c>
      <c r="W283">
        <v>0</v>
      </c>
      <c r="Y283">
        <f t="shared" si="9"/>
        <v>0</v>
      </c>
    </row>
    <row r="284" spans="1:25" x14ac:dyDescent="0.3">
      <c r="A284" t="s">
        <v>1130</v>
      </c>
      <c r="B284" t="s">
        <v>1002</v>
      </c>
      <c r="C284">
        <v>329.69</v>
      </c>
      <c r="D284" s="1">
        <v>44935.704513888886</v>
      </c>
      <c r="E284" t="s">
        <v>57</v>
      </c>
      <c r="F284" t="s">
        <v>250</v>
      </c>
      <c r="G284" t="s">
        <v>1131</v>
      </c>
      <c r="H284" t="s">
        <v>1132</v>
      </c>
      <c r="I284" t="s">
        <v>782</v>
      </c>
      <c r="J284" t="s">
        <v>45</v>
      </c>
      <c r="K284">
        <v>26</v>
      </c>
      <c r="L284" t="s">
        <v>46</v>
      </c>
      <c r="M284">
        <v>66</v>
      </c>
      <c r="N284">
        <v>1</v>
      </c>
      <c r="O284">
        <v>1671.66</v>
      </c>
      <c r="P284" s="1">
        <v>45600.340150462966</v>
      </c>
      <c r="Q284">
        <v>16</v>
      </c>
      <c r="R284" t="s">
        <v>47</v>
      </c>
      <c r="S284">
        <v>0.10993880846658</v>
      </c>
      <c r="T284" t="b">
        <v>0</v>
      </c>
      <c r="U284" t="b">
        <v>0</v>
      </c>
      <c r="V284" t="b">
        <f t="shared" si="8"/>
        <v>1</v>
      </c>
      <c r="W284">
        <v>0</v>
      </c>
      <c r="Y284">
        <f t="shared" si="9"/>
        <v>0</v>
      </c>
    </row>
    <row r="285" spans="1:25" x14ac:dyDescent="0.3">
      <c r="A285" t="s">
        <v>1133</v>
      </c>
      <c r="B285" t="s">
        <v>1134</v>
      </c>
      <c r="C285">
        <v>362.04</v>
      </c>
      <c r="D285" s="1">
        <v>45117.692488425928</v>
      </c>
      <c r="E285" t="s">
        <v>57</v>
      </c>
      <c r="F285" t="s">
        <v>256</v>
      </c>
      <c r="G285" t="s">
        <v>342</v>
      </c>
      <c r="H285" t="s">
        <v>1059</v>
      </c>
      <c r="I285" t="s">
        <v>140</v>
      </c>
      <c r="J285" t="s">
        <v>81</v>
      </c>
      <c r="K285">
        <v>58</v>
      </c>
      <c r="L285" t="s">
        <v>31</v>
      </c>
      <c r="M285">
        <v>198</v>
      </c>
      <c r="N285">
        <v>2</v>
      </c>
      <c r="O285">
        <v>8421.8799999999992</v>
      </c>
      <c r="P285" s="1">
        <v>45600.339432870373</v>
      </c>
      <c r="Q285">
        <v>16</v>
      </c>
      <c r="R285" t="s">
        <v>47</v>
      </c>
      <c r="S285">
        <v>0.22074687924427</v>
      </c>
      <c r="T285" t="b">
        <v>0</v>
      </c>
      <c r="U285" t="b">
        <v>1</v>
      </c>
      <c r="V285" t="b">
        <f t="shared" si="8"/>
        <v>1</v>
      </c>
      <c r="W285">
        <v>1</v>
      </c>
      <c r="Y285">
        <f t="shared" si="9"/>
        <v>0</v>
      </c>
    </row>
    <row r="286" spans="1:25" x14ac:dyDescent="0.3">
      <c r="A286" t="s">
        <v>1135</v>
      </c>
      <c r="B286" t="s">
        <v>1136</v>
      </c>
      <c r="C286">
        <v>11.92</v>
      </c>
      <c r="D286" s="1">
        <v>45208.742303240739</v>
      </c>
      <c r="E286" t="s">
        <v>25</v>
      </c>
      <c r="F286" t="s">
        <v>26</v>
      </c>
      <c r="G286" t="s">
        <v>730</v>
      </c>
      <c r="H286" t="s">
        <v>887</v>
      </c>
      <c r="I286" t="s">
        <v>383</v>
      </c>
      <c r="J286" t="s">
        <v>81</v>
      </c>
      <c r="K286">
        <v>53</v>
      </c>
      <c r="L286" t="s">
        <v>31</v>
      </c>
      <c r="M286">
        <v>52</v>
      </c>
      <c r="N286">
        <v>1</v>
      </c>
      <c r="O286">
        <v>14611.9</v>
      </c>
      <c r="P286" s="1">
        <v>45600.341226851851</v>
      </c>
      <c r="Q286">
        <v>17</v>
      </c>
      <c r="R286" t="s">
        <v>47</v>
      </c>
      <c r="S286">
        <v>-0.97851499836576294</v>
      </c>
      <c r="T286" t="b">
        <v>0</v>
      </c>
      <c r="U286" t="b">
        <v>0</v>
      </c>
      <c r="V286" t="b">
        <f t="shared" si="8"/>
        <v>1</v>
      </c>
      <c r="W286">
        <v>0</v>
      </c>
      <c r="Y286">
        <f t="shared" si="9"/>
        <v>0</v>
      </c>
    </row>
    <row r="287" spans="1:25" x14ac:dyDescent="0.3">
      <c r="A287" t="s">
        <v>1137</v>
      </c>
      <c r="B287" t="s">
        <v>1138</v>
      </c>
      <c r="C287">
        <v>47.42</v>
      </c>
      <c r="D287" s="1">
        <v>45279.698703703703</v>
      </c>
      <c r="E287" t="s">
        <v>25</v>
      </c>
      <c r="F287" t="s">
        <v>26</v>
      </c>
      <c r="G287" t="s">
        <v>1139</v>
      </c>
      <c r="H287" t="s">
        <v>1140</v>
      </c>
      <c r="I287" t="s">
        <v>458</v>
      </c>
      <c r="J287" t="s">
        <v>30</v>
      </c>
      <c r="K287">
        <v>64</v>
      </c>
      <c r="L287" t="s">
        <v>31</v>
      </c>
      <c r="M287">
        <v>28</v>
      </c>
      <c r="N287">
        <v>1</v>
      </c>
      <c r="O287">
        <v>8253.52</v>
      </c>
      <c r="P287" s="1">
        <v>45600.339537037034</v>
      </c>
      <c r="Q287">
        <v>16</v>
      </c>
      <c r="R287" t="s">
        <v>32</v>
      </c>
      <c r="S287">
        <v>-0.85691727000075602</v>
      </c>
      <c r="T287" t="b">
        <v>0</v>
      </c>
      <c r="U287" t="b">
        <v>0</v>
      </c>
      <c r="V287" t="b">
        <f t="shared" si="8"/>
        <v>1</v>
      </c>
      <c r="W287">
        <v>0</v>
      </c>
      <c r="Y287">
        <f t="shared" si="9"/>
        <v>0</v>
      </c>
    </row>
    <row r="288" spans="1:25" x14ac:dyDescent="0.3">
      <c r="A288" t="s">
        <v>1141</v>
      </c>
      <c r="B288" t="s">
        <v>714</v>
      </c>
      <c r="C288">
        <v>35.99</v>
      </c>
      <c r="D288" s="1">
        <v>44945.676527777781</v>
      </c>
      <c r="E288" t="s">
        <v>25</v>
      </c>
      <c r="F288" t="s">
        <v>185</v>
      </c>
      <c r="G288" t="s">
        <v>1142</v>
      </c>
      <c r="H288" t="s">
        <v>1143</v>
      </c>
      <c r="I288" t="s">
        <v>295</v>
      </c>
      <c r="J288" t="s">
        <v>81</v>
      </c>
      <c r="K288">
        <v>63</v>
      </c>
      <c r="L288" t="s">
        <v>82</v>
      </c>
      <c r="M288">
        <v>129</v>
      </c>
      <c r="N288">
        <v>1</v>
      </c>
      <c r="O288">
        <v>4489.79</v>
      </c>
      <c r="P288" s="1">
        <v>45600.339780092596</v>
      </c>
      <c r="Q288">
        <v>16</v>
      </c>
      <c r="R288" t="s">
        <v>141</v>
      </c>
      <c r="S288">
        <v>-0.89606831324616598</v>
      </c>
      <c r="T288" t="b">
        <v>0</v>
      </c>
      <c r="U288" t="b">
        <v>0</v>
      </c>
      <c r="V288" t="b">
        <f t="shared" si="8"/>
        <v>1</v>
      </c>
      <c r="W288">
        <v>0</v>
      </c>
      <c r="Y288">
        <f t="shared" si="9"/>
        <v>0</v>
      </c>
    </row>
    <row r="289" spans="1:25" x14ac:dyDescent="0.3">
      <c r="A289" t="s">
        <v>1144</v>
      </c>
      <c r="B289" t="s">
        <v>303</v>
      </c>
      <c r="C289">
        <v>151.19</v>
      </c>
      <c r="D289" s="1">
        <v>45051.669861111113</v>
      </c>
      <c r="E289" t="s">
        <v>57</v>
      </c>
      <c r="F289" t="s">
        <v>216</v>
      </c>
      <c r="G289" t="s">
        <v>1145</v>
      </c>
      <c r="H289" t="s">
        <v>1146</v>
      </c>
      <c r="I289" t="s">
        <v>898</v>
      </c>
      <c r="J289" t="s">
        <v>81</v>
      </c>
      <c r="K289">
        <v>37</v>
      </c>
      <c r="L289" t="s">
        <v>31</v>
      </c>
      <c r="M289">
        <v>96</v>
      </c>
      <c r="N289">
        <v>1</v>
      </c>
      <c r="O289">
        <v>11903.82</v>
      </c>
      <c r="P289" s="1">
        <v>45600.341157407405</v>
      </c>
      <c r="Q289">
        <v>16</v>
      </c>
      <c r="R289" t="s">
        <v>54</v>
      </c>
      <c r="S289">
        <v>-0.50147512148141105</v>
      </c>
      <c r="T289" t="b">
        <v>0</v>
      </c>
      <c r="U289" t="b">
        <v>0</v>
      </c>
      <c r="V289" t="b">
        <f t="shared" si="8"/>
        <v>1</v>
      </c>
      <c r="W289">
        <v>0</v>
      </c>
      <c r="Y289">
        <f t="shared" si="9"/>
        <v>0</v>
      </c>
    </row>
    <row r="290" spans="1:25" x14ac:dyDescent="0.3">
      <c r="A290" t="s">
        <v>1147</v>
      </c>
      <c r="B290" t="s">
        <v>654</v>
      </c>
      <c r="C290">
        <v>242.62</v>
      </c>
      <c r="D290" s="1">
        <v>45117.694618055553</v>
      </c>
      <c r="E290" t="s">
        <v>57</v>
      </c>
      <c r="F290" t="s">
        <v>225</v>
      </c>
      <c r="G290" t="s">
        <v>1148</v>
      </c>
      <c r="H290" t="s">
        <v>659</v>
      </c>
      <c r="I290" t="s">
        <v>222</v>
      </c>
      <c r="J290" t="s">
        <v>45</v>
      </c>
      <c r="K290">
        <v>22</v>
      </c>
      <c r="L290" t="s">
        <v>46</v>
      </c>
      <c r="M290">
        <v>234</v>
      </c>
      <c r="N290">
        <v>1</v>
      </c>
      <c r="O290">
        <v>483.02</v>
      </c>
      <c r="P290" s="1">
        <v>45600.33829861111</v>
      </c>
      <c r="Q290">
        <v>16</v>
      </c>
      <c r="R290" t="s">
        <v>47</v>
      </c>
      <c r="S290">
        <v>-0.18830102839936699</v>
      </c>
      <c r="T290" t="b">
        <v>0</v>
      </c>
      <c r="U290" t="b">
        <v>0</v>
      </c>
      <c r="V290" t="b">
        <f t="shared" si="8"/>
        <v>1</v>
      </c>
      <c r="W290">
        <v>0</v>
      </c>
      <c r="Y290">
        <f t="shared" si="9"/>
        <v>0</v>
      </c>
    </row>
    <row r="291" spans="1:25" x14ac:dyDescent="0.3">
      <c r="A291" t="s">
        <v>1149</v>
      </c>
      <c r="B291" t="s">
        <v>1150</v>
      </c>
      <c r="C291">
        <v>48.72</v>
      </c>
      <c r="D291" s="1">
        <v>45198.787824074076</v>
      </c>
      <c r="E291" t="s">
        <v>25</v>
      </c>
      <c r="F291" t="s">
        <v>314</v>
      </c>
      <c r="G291" t="s">
        <v>1151</v>
      </c>
      <c r="H291" t="s">
        <v>1152</v>
      </c>
      <c r="I291" t="s">
        <v>383</v>
      </c>
      <c r="J291" t="s">
        <v>81</v>
      </c>
      <c r="K291">
        <v>21</v>
      </c>
      <c r="L291" t="s">
        <v>46</v>
      </c>
      <c r="M291">
        <v>17</v>
      </c>
      <c r="N291">
        <v>1</v>
      </c>
      <c r="O291">
        <v>816.08</v>
      </c>
      <c r="P291" s="1">
        <v>45600.338506944441</v>
      </c>
      <c r="Q291">
        <v>18</v>
      </c>
      <c r="R291" t="s">
        <v>54</v>
      </c>
      <c r="S291">
        <v>-0.85246439544091102</v>
      </c>
      <c r="T291" t="b">
        <v>0</v>
      </c>
      <c r="U291" t="b">
        <v>0</v>
      </c>
      <c r="V291" t="b">
        <f t="shared" si="8"/>
        <v>1</v>
      </c>
      <c r="W291">
        <v>0</v>
      </c>
      <c r="Y291">
        <f t="shared" si="9"/>
        <v>0</v>
      </c>
    </row>
    <row r="292" spans="1:25" x14ac:dyDescent="0.3">
      <c r="A292" t="s">
        <v>1153</v>
      </c>
      <c r="B292" t="s">
        <v>346</v>
      </c>
      <c r="C292">
        <v>43.46</v>
      </c>
      <c r="D292" s="1">
        <v>45128.71020833333</v>
      </c>
      <c r="E292" t="s">
        <v>25</v>
      </c>
      <c r="F292" t="s">
        <v>401</v>
      </c>
      <c r="G292" t="s">
        <v>1154</v>
      </c>
      <c r="H292" t="s">
        <v>907</v>
      </c>
      <c r="I292" t="s">
        <v>80</v>
      </c>
      <c r="J292" t="s">
        <v>30</v>
      </c>
      <c r="K292">
        <v>25</v>
      </c>
      <c r="L292" t="s">
        <v>46</v>
      </c>
      <c r="M292">
        <v>80</v>
      </c>
      <c r="N292">
        <v>1</v>
      </c>
      <c r="O292">
        <v>578.05999999999995</v>
      </c>
      <c r="P292" s="1">
        <v>45600.340798611112</v>
      </c>
      <c r="Q292">
        <v>17</v>
      </c>
      <c r="R292" t="s">
        <v>54</v>
      </c>
      <c r="S292">
        <v>-0.87048141096766996</v>
      </c>
      <c r="T292" t="b">
        <v>0</v>
      </c>
      <c r="U292" t="b">
        <v>0</v>
      </c>
      <c r="V292" t="b">
        <f t="shared" si="8"/>
        <v>1</v>
      </c>
      <c r="W292">
        <v>0</v>
      </c>
      <c r="Y292">
        <f t="shared" si="9"/>
        <v>0</v>
      </c>
    </row>
    <row r="293" spans="1:25" x14ac:dyDescent="0.3">
      <c r="A293" t="s">
        <v>1155</v>
      </c>
      <c r="B293" t="s">
        <v>617</v>
      </c>
      <c r="C293">
        <v>1036.21</v>
      </c>
      <c r="D293" s="1">
        <v>45128.787662037037</v>
      </c>
      <c r="E293" t="s">
        <v>25</v>
      </c>
      <c r="F293" t="s">
        <v>309</v>
      </c>
      <c r="G293" t="s">
        <v>878</v>
      </c>
      <c r="H293" t="s">
        <v>145</v>
      </c>
      <c r="I293" t="s">
        <v>665</v>
      </c>
      <c r="J293" t="s">
        <v>45</v>
      </c>
      <c r="K293">
        <v>25</v>
      </c>
      <c r="L293" t="s">
        <v>46</v>
      </c>
      <c r="M293">
        <v>126</v>
      </c>
      <c r="N293">
        <v>1</v>
      </c>
      <c r="O293">
        <v>477.3</v>
      </c>
      <c r="P293" s="1">
        <v>45600.341921296298</v>
      </c>
      <c r="Q293">
        <v>18</v>
      </c>
      <c r="R293" t="s">
        <v>54</v>
      </c>
      <c r="S293">
        <v>2.5299733730988199</v>
      </c>
      <c r="T293" t="b">
        <v>1</v>
      </c>
      <c r="U293" t="b">
        <v>0</v>
      </c>
      <c r="V293" t="b">
        <f t="shared" si="8"/>
        <v>1</v>
      </c>
      <c r="W293">
        <v>1</v>
      </c>
      <c r="Y293">
        <f t="shared" si="9"/>
        <v>1</v>
      </c>
    </row>
    <row r="294" spans="1:25" x14ac:dyDescent="0.3">
      <c r="A294" t="s">
        <v>1156</v>
      </c>
      <c r="B294" t="s">
        <v>1157</v>
      </c>
      <c r="C294">
        <v>443.79</v>
      </c>
      <c r="D294" s="1">
        <v>45208.769490740742</v>
      </c>
      <c r="E294" t="s">
        <v>25</v>
      </c>
      <c r="F294" t="s">
        <v>159</v>
      </c>
      <c r="G294" t="s">
        <v>1158</v>
      </c>
      <c r="H294" t="s">
        <v>752</v>
      </c>
      <c r="I294" t="s">
        <v>527</v>
      </c>
      <c r="J294" t="s">
        <v>30</v>
      </c>
      <c r="K294">
        <v>53</v>
      </c>
      <c r="L294" t="s">
        <v>82</v>
      </c>
      <c r="M294">
        <v>87</v>
      </c>
      <c r="N294">
        <v>1</v>
      </c>
      <c r="O294">
        <v>3133.85</v>
      </c>
      <c r="P294" s="1">
        <v>45600.341157407405</v>
      </c>
      <c r="Q294">
        <v>18</v>
      </c>
      <c r="R294" t="s">
        <v>47</v>
      </c>
      <c r="S294">
        <v>0.50076418329608097</v>
      </c>
      <c r="T294" t="b">
        <v>0</v>
      </c>
      <c r="U294" t="b">
        <v>0</v>
      </c>
      <c r="V294" t="b">
        <f t="shared" si="8"/>
        <v>1</v>
      </c>
      <c r="W294">
        <v>0</v>
      </c>
      <c r="Y294">
        <f t="shared" si="9"/>
        <v>0</v>
      </c>
    </row>
    <row r="295" spans="1:25" x14ac:dyDescent="0.3">
      <c r="A295" t="s">
        <v>1159</v>
      </c>
      <c r="B295" t="s">
        <v>1160</v>
      </c>
      <c r="C295">
        <v>365.14</v>
      </c>
      <c r="D295" s="1">
        <v>45261.782268518517</v>
      </c>
      <c r="E295" t="s">
        <v>25</v>
      </c>
      <c r="F295" t="s">
        <v>336</v>
      </c>
      <c r="G295" t="s">
        <v>1161</v>
      </c>
      <c r="H295" t="s">
        <v>1162</v>
      </c>
      <c r="I295" t="s">
        <v>53</v>
      </c>
      <c r="J295" t="s">
        <v>45</v>
      </c>
      <c r="K295">
        <v>68</v>
      </c>
      <c r="L295" t="s">
        <v>82</v>
      </c>
      <c r="M295">
        <v>57</v>
      </c>
      <c r="N295">
        <v>1</v>
      </c>
      <c r="O295">
        <v>5894.09</v>
      </c>
      <c r="P295" s="1">
        <v>45600.338483796295</v>
      </c>
      <c r="Q295">
        <v>18</v>
      </c>
      <c r="R295" t="s">
        <v>54</v>
      </c>
      <c r="S295">
        <v>0.231365272425439</v>
      </c>
      <c r="T295" t="b">
        <v>0</v>
      </c>
      <c r="U295" t="b">
        <v>0</v>
      </c>
      <c r="V295" t="b">
        <f t="shared" si="8"/>
        <v>1</v>
      </c>
      <c r="W295">
        <v>0</v>
      </c>
      <c r="Y295">
        <f t="shared" si="9"/>
        <v>0</v>
      </c>
    </row>
    <row r="296" spans="1:25" x14ac:dyDescent="0.3">
      <c r="A296" t="s">
        <v>1163</v>
      </c>
      <c r="B296" t="s">
        <v>1164</v>
      </c>
      <c r="C296">
        <v>757.41</v>
      </c>
      <c r="D296" s="1">
        <v>45051.688807870371</v>
      </c>
      <c r="E296" t="s">
        <v>25</v>
      </c>
      <c r="F296" t="s">
        <v>153</v>
      </c>
      <c r="G296" t="s">
        <v>1165</v>
      </c>
      <c r="H296" t="s">
        <v>391</v>
      </c>
      <c r="I296" t="s">
        <v>134</v>
      </c>
      <c r="J296" t="s">
        <v>30</v>
      </c>
      <c r="K296">
        <v>22</v>
      </c>
      <c r="L296" t="s">
        <v>46</v>
      </c>
      <c r="M296">
        <v>37</v>
      </c>
      <c r="N296">
        <v>1</v>
      </c>
      <c r="O296">
        <v>9532.42</v>
      </c>
      <c r="P296" s="1">
        <v>45600.339618055557</v>
      </c>
      <c r="Q296">
        <v>16</v>
      </c>
      <c r="R296" t="s">
        <v>54</v>
      </c>
      <c r="S296">
        <v>1.57500304441815</v>
      </c>
      <c r="T296" t="b">
        <v>0</v>
      </c>
      <c r="U296" t="b">
        <v>0</v>
      </c>
      <c r="V296" t="b">
        <f t="shared" si="8"/>
        <v>1</v>
      </c>
      <c r="W296">
        <v>0</v>
      </c>
      <c r="Y296">
        <f t="shared" si="9"/>
        <v>0</v>
      </c>
    </row>
    <row r="297" spans="1:25" x14ac:dyDescent="0.3">
      <c r="A297" t="s">
        <v>1166</v>
      </c>
      <c r="B297" t="s">
        <v>661</v>
      </c>
      <c r="C297">
        <v>20.54</v>
      </c>
      <c r="D297" s="1">
        <v>45159.756527777776</v>
      </c>
      <c r="E297" t="s">
        <v>25</v>
      </c>
      <c r="F297" t="s">
        <v>170</v>
      </c>
      <c r="G297" t="s">
        <v>1167</v>
      </c>
      <c r="H297" t="s">
        <v>1168</v>
      </c>
      <c r="I297" t="s">
        <v>301</v>
      </c>
      <c r="J297" t="s">
        <v>81</v>
      </c>
      <c r="K297">
        <v>51</v>
      </c>
      <c r="L297" t="s">
        <v>89</v>
      </c>
      <c r="M297">
        <v>72</v>
      </c>
      <c r="N297">
        <v>1</v>
      </c>
      <c r="O297">
        <v>5327.03</v>
      </c>
      <c r="P297" s="1">
        <v>45600.338518518518</v>
      </c>
      <c r="Q297">
        <v>18</v>
      </c>
      <c r="R297" t="s">
        <v>47</v>
      </c>
      <c r="S297">
        <v>-0.94898901474586606</v>
      </c>
      <c r="T297" t="b">
        <v>0</v>
      </c>
      <c r="U297" t="b">
        <v>0</v>
      </c>
      <c r="V297" t="b">
        <f t="shared" si="8"/>
        <v>1</v>
      </c>
      <c r="W297">
        <v>0</v>
      </c>
      <c r="Y297">
        <f t="shared" si="9"/>
        <v>0</v>
      </c>
    </row>
    <row r="298" spans="1:25" x14ac:dyDescent="0.3">
      <c r="A298" t="s">
        <v>1169</v>
      </c>
      <c r="B298" t="s">
        <v>1170</v>
      </c>
      <c r="C298">
        <v>475.36</v>
      </c>
      <c r="D298" s="1">
        <v>45201.668854166666</v>
      </c>
      <c r="E298" t="s">
        <v>25</v>
      </c>
      <c r="F298" t="s">
        <v>438</v>
      </c>
      <c r="G298" t="s">
        <v>1171</v>
      </c>
      <c r="H298" t="s">
        <v>471</v>
      </c>
      <c r="I298" t="s">
        <v>775</v>
      </c>
      <c r="J298" t="s">
        <v>30</v>
      </c>
      <c r="K298">
        <v>34</v>
      </c>
      <c r="L298" t="s">
        <v>89</v>
      </c>
      <c r="M298">
        <v>105</v>
      </c>
      <c r="N298">
        <v>1</v>
      </c>
      <c r="O298">
        <v>2000.6</v>
      </c>
      <c r="P298" s="1">
        <v>45600.338182870371</v>
      </c>
      <c r="Q298">
        <v>16</v>
      </c>
      <c r="R298" t="s">
        <v>47</v>
      </c>
      <c r="S298">
        <v>0.60890052933786298</v>
      </c>
      <c r="T298" t="b">
        <v>0</v>
      </c>
      <c r="U298" t="b">
        <v>0</v>
      </c>
      <c r="V298" t="b">
        <f t="shared" si="8"/>
        <v>1</v>
      </c>
      <c r="W298">
        <v>0</v>
      </c>
      <c r="Y298">
        <f t="shared" si="9"/>
        <v>0</v>
      </c>
    </row>
    <row r="299" spans="1:25" x14ac:dyDescent="0.3">
      <c r="A299" t="s">
        <v>1172</v>
      </c>
      <c r="B299" t="s">
        <v>404</v>
      </c>
      <c r="C299">
        <v>34.74</v>
      </c>
      <c r="D299" s="1">
        <v>45103.694687499999</v>
      </c>
      <c r="E299" t="s">
        <v>25</v>
      </c>
      <c r="F299" t="s">
        <v>225</v>
      </c>
      <c r="G299" t="s">
        <v>1173</v>
      </c>
      <c r="H299" t="s">
        <v>715</v>
      </c>
      <c r="I299" t="s">
        <v>844</v>
      </c>
      <c r="J299" t="s">
        <v>30</v>
      </c>
      <c r="K299">
        <v>56</v>
      </c>
      <c r="L299" t="s">
        <v>82</v>
      </c>
      <c r="M299">
        <v>24</v>
      </c>
      <c r="N299">
        <v>1</v>
      </c>
      <c r="O299">
        <v>6827.57</v>
      </c>
      <c r="P299" s="1">
        <v>45600.341006944444</v>
      </c>
      <c r="Q299">
        <v>16</v>
      </c>
      <c r="R299" t="s">
        <v>47</v>
      </c>
      <c r="S299">
        <v>-0.90034992339986297</v>
      </c>
      <c r="T299" t="b">
        <v>0</v>
      </c>
      <c r="U299" t="b">
        <v>0</v>
      </c>
      <c r="V299" t="b">
        <f t="shared" si="8"/>
        <v>1</v>
      </c>
      <c r="W299">
        <v>0</v>
      </c>
      <c r="Y299">
        <f t="shared" si="9"/>
        <v>0</v>
      </c>
    </row>
    <row r="300" spans="1:25" x14ac:dyDescent="0.3">
      <c r="A300" t="s">
        <v>1174</v>
      </c>
      <c r="B300" t="s">
        <v>1160</v>
      </c>
      <c r="C300">
        <v>689.54</v>
      </c>
      <c r="D300" s="1">
        <v>44991.699270833335</v>
      </c>
      <c r="E300" t="s">
        <v>25</v>
      </c>
      <c r="F300" t="s">
        <v>64</v>
      </c>
      <c r="G300" t="s">
        <v>1175</v>
      </c>
      <c r="H300" t="s">
        <v>1176</v>
      </c>
      <c r="I300" t="s">
        <v>871</v>
      </c>
      <c r="J300" t="s">
        <v>81</v>
      </c>
      <c r="K300">
        <v>27</v>
      </c>
      <c r="L300" t="s">
        <v>46</v>
      </c>
      <c r="M300">
        <v>93</v>
      </c>
      <c r="N300">
        <v>1</v>
      </c>
      <c r="O300">
        <v>1633.76</v>
      </c>
      <c r="P300" s="1">
        <v>45600.339502314811</v>
      </c>
      <c r="Q300">
        <v>16</v>
      </c>
      <c r="R300" t="s">
        <v>47</v>
      </c>
      <c r="S300">
        <v>1.3425287395129899</v>
      </c>
      <c r="T300" t="b">
        <v>0</v>
      </c>
      <c r="U300" t="b">
        <v>0</v>
      </c>
      <c r="V300" t="b">
        <f t="shared" si="8"/>
        <v>1</v>
      </c>
      <c r="W300">
        <v>0</v>
      </c>
      <c r="Y300">
        <f t="shared" si="9"/>
        <v>0</v>
      </c>
    </row>
    <row r="301" spans="1:25" x14ac:dyDescent="0.3">
      <c r="A301" t="s">
        <v>1177</v>
      </c>
      <c r="B301" t="s">
        <v>790</v>
      </c>
      <c r="C301">
        <v>211.18</v>
      </c>
      <c r="D301" s="1">
        <v>45215.673460648148</v>
      </c>
      <c r="E301" t="s">
        <v>25</v>
      </c>
      <c r="F301" t="s">
        <v>466</v>
      </c>
      <c r="G301" t="s">
        <v>461</v>
      </c>
      <c r="H301" t="s">
        <v>1178</v>
      </c>
      <c r="I301" t="s">
        <v>140</v>
      </c>
      <c r="J301" t="s">
        <v>30</v>
      </c>
      <c r="K301">
        <v>73</v>
      </c>
      <c r="L301" t="s">
        <v>82</v>
      </c>
      <c r="M301">
        <v>90</v>
      </c>
      <c r="N301">
        <v>1</v>
      </c>
      <c r="O301">
        <v>4069.17</v>
      </c>
      <c r="P301" s="1">
        <v>45600.341550925928</v>
      </c>
      <c r="Q301">
        <v>16</v>
      </c>
      <c r="R301" t="s">
        <v>47</v>
      </c>
      <c r="S301">
        <v>-0.29599208698516399</v>
      </c>
      <c r="T301" t="b">
        <v>0</v>
      </c>
      <c r="U301" t="b">
        <v>0</v>
      </c>
      <c r="V301" t="b">
        <f t="shared" si="8"/>
        <v>1</v>
      </c>
      <c r="W301">
        <v>0</v>
      </c>
      <c r="Y301">
        <f t="shared" si="9"/>
        <v>0</v>
      </c>
    </row>
    <row r="302" spans="1:25" x14ac:dyDescent="0.3">
      <c r="A302" t="s">
        <v>1179</v>
      </c>
      <c r="B302" t="s">
        <v>1180</v>
      </c>
      <c r="C302">
        <v>211.36</v>
      </c>
      <c r="D302" s="1">
        <v>45251.683113425926</v>
      </c>
      <c r="E302" t="s">
        <v>57</v>
      </c>
      <c r="F302" t="s">
        <v>170</v>
      </c>
      <c r="G302" t="s">
        <v>906</v>
      </c>
      <c r="H302" t="s">
        <v>615</v>
      </c>
      <c r="I302" t="s">
        <v>589</v>
      </c>
      <c r="J302" t="s">
        <v>81</v>
      </c>
      <c r="K302">
        <v>51</v>
      </c>
      <c r="L302" t="s">
        <v>89</v>
      </c>
      <c r="M302">
        <v>286</v>
      </c>
      <c r="N302">
        <v>1</v>
      </c>
      <c r="O302">
        <v>7943.47</v>
      </c>
      <c r="P302" s="1">
        <v>45600.341087962966</v>
      </c>
      <c r="Q302">
        <v>16</v>
      </c>
      <c r="R302" t="s">
        <v>32</v>
      </c>
      <c r="S302">
        <v>-0.295375535123032</v>
      </c>
      <c r="T302" t="b">
        <v>0</v>
      </c>
      <c r="U302" t="b">
        <v>0</v>
      </c>
      <c r="V302" t="b">
        <f t="shared" si="8"/>
        <v>1</v>
      </c>
      <c r="W302">
        <v>0</v>
      </c>
      <c r="Y302">
        <f t="shared" si="9"/>
        <v>0</v>
      </c>
    </row>
    <row r="303" spans="1:25" x14ac:dyDescent="0.3">
      <c r="A303" t="s">
        <v>1181</v>
      </c>
      <c r="B303" t="s">
        <v>1182</v>
      </c>
      <c r="C303">
        <v>744.41</v>
      </c>
      <c r="D303" s="1">
        <v>45138.691655092596</v>
      </c>
      <c r="E303" t="s">
        <v>57</v>
      </c>
      <c r="F303" t="s">
        <v>35</v>
      </c>
      <c r="G303" t="s">
        <v>747</v>
      </c>
      <c r="H303" t="s">
        <v>1183</v>
      </c>
      <c r="I303" t="s">
        <v>325</v>
      </c>
      <c r="J303" t="s">
        <v>45</v>
      </c>
      <c r="K303">
        <v>39</v>
      </c>
      <c r="L303" t="s">
        <v>89</v>
      </c>
      <c r="M303">
        <v>107</v>
      </c>
      <c r="N303">
        <v>1</v>
      </c>
      <c r="O303">
        <v>8842.4699999999993</v>
      </c>
      <c r="P303" s="1">
        <v>45600.341284722221</v>
      </c>
      <c r="Q303">
        <v>16</v>
      </c>
      <c r="R303" t="s">
        <v>47</v>
      </c>
      <c r="S303">
        <v>1.53047429881969</v>
      </c>
      <c r="T303" t="b">
        <v>0</v>
      </c>
      <c r="U303" t="b">
        <v>0</v>
      </c>
      <c r="V303" t="b">
        <f t="shared" si="8"/>
        <v>1</v>
      </c>
      <c r="W303">
        <v>0</v>
      </c>
      <c r="Y303">
        <f t="shared" si="9"/>
        <v>0</v>
      </c>
    </row>
    <row r="304" spans="1:25" x14ac:dyDescent="0.3">
      <c r="A304" t="s">
        <v>1184</v>
      </c>
      <c r="B304" t="s">
        <v>1185</v>
      </c>
      <c r="C304">
        <v>61.43</v>
      </c>
      <c r="D304" s="1">
        <v>45106.678206018521</v>
      </c>
      <c r="E304" t="s">
        <v>25</v>
      </c>
      <c r="F304" t="s">
        <v>438</v>
      </c>
      <c r="G304" t="s">
        <v>1186</v>
      </c>
      <c r="H304" t="s">
        <v>1187</v>
      </c>
      <c r="I304" t="s">
        <v>88</v>
      </c>
      <c r="J304" t="s">
        <v>45</v>
      </c>
      <c r="K304">
        <v>24</v>
      </c>
      <c r="L304" t="s">
        <v>46</v>
      </c>
      <c r="M304">
        <v>170</v>
      </c>
      <c r="N304">
        <v>1</v>
      </c>
      <c r="O304">
        <v>1882.77</v>
      </c>
      <c r="P304" s="1">
        <v>45600.339097222219</v>
      </c>
      <c r="Q304">
        <v>16</v>
      </c>
      <c r="R304" t="s">
        <v>141</v>
      </c>
      <c r="S304">
        <v>-0.80892898339811603</v>
      </c>
      <c r="T304" t="b">
        <v>0</v>
      </c>
      <c r="U304" t="b">
        <v>0</v>
      </c>
      <c r="V304" t="b">
        <f t="shared" si="8"/>
        <v>1</v>
      </c>
      <c r="W304">
        <v>0</v>
      </c>
      <c r="Y304">
        <f t="shared" si="9"/>
        <v>0</v>
      </c>
    </row>
    <row r="305" spans="1:25" x14ac:dyDescent="0.3">
      <c r="A305" t="s">
        <v>1188</v>
      </c>
      <c r="B305" t="s">
        <v>1189</v>
      </c>
      <c r="C305">
        <v>167.44</v>
      </c>
      <c r="D305" s="1">
        <v>45194.674513888887</v>
      </c>
      <c r="E305" t="s">
        <v>25</v>
      </c>
      <c r="F305" t="s">
        <v>41</v>
      </c>
      <c r="G305" t="s">
        <v>1190</v>
      </c>
      <c r="H305" t="s">
        <v>900</v>
      </c>
      <c r="I305" t="s">
        <v>356</v>
      </c>
      <c r="J305" t="s">
        <v>81</v>
      </c>
      <c r="K305">
        <v>37</v>
      </c>
      <c r="L305" t="s">
        <v>31</v>
      </c>
      <c r="M305">
        <v>82</v>
      </c>
      <c r="N305">
        <v>1</v>
      </c>
      <c r="O305">
        <v>12526.71</v>
      </c>
      <c r="P305" s="1">
        <v>45600.340844907405</v>
      </c>
      <c r="Q305">
        <v>16</v>
      </c>
      <c r="R305" t="s">
        <v>47</v>
      </c>
      <c r="S305">
        <v>-0.445814189483344</v>
      </c>
      <c r="T305" t="b">
        <v>0</v>
      </c>
      <c r="U305" t="b">
        <v>0</v>
      </c>
      <c r="V305" t="b">
        <f t="shared" si="8"/>
        <v>1</v>
      </c>
      <c r="W305">
        <v>0</v>
      </c>
      <c r="Y305">
        <f t="shared" si="9"/>
        <v>0</v>
      </c>
    </row>
    <row r="306" spans="1:25" x14ac:dyDescent="0.3">
      <c r="A306" t="s">
        <v>1191</v>
      </c>
      <c r="B306" t="s">
        <v>1192</v>
      </c>
      <c r="C306">
        <v>361.46</v>
      </c>
      <c r="D306" s="1">
        <v>45023.724363425928</v>
      </c>
      <c r="E306" t="s">
        <v>25</v>
      </c>
      <c r="F306" t="s">
        <v>92</v>
      </c>
      <c r="G306" t="s">
        <v>1193</v>
      </c>
      <c r="H306" t="s">
        <v>1194</v>
      </c>
      <c r="I306" t="s">
        <v>495</v>
      </c>
      <c r="J306" t="s">
        <v>45</v>
      </c>
      <c r="K306">
        <v>21</v>
      </c>
      <c r="L306" t="s">
        <v>46</v>
      </c>
      <c r="M306">
        <v>83</v>
      </c>
      <c r="N306">
        <v>1</v>
      </c>
      <c r="O306">
        <v>4737.84</v>
      </c>
      <c r="P306" s="1">
        <v>45600.340763888889</v>
      </c>
      <c r="Q306">
        <v>17</v>
      </c>
      <c r="R306" t="s">
        <v>54</v>
      </c>
      <c r="S306">
        <v>0.21876021213295399</v>
      </c>
      <c r="T306" t="b">
        <v>0</v>
      </c>
      <c r="U306" t="b">
        <v>0</v>
      </c>
      <c r="V306" t="b">
        <f t="shared" si="8"/>
        <v>1</v>
      </c>
      <c r="W306">
        <v>0</v>
      </c>
      <c r="Y306">
        <f t="shared" si="9"/>
        <v>0</v>
      </c>
    </row>
    <row r="307" spans="1:25" x14ac:dyDescent="0.3">
      <c r="A307" t="s">
        <v>1195</v>
      </c>
      <c r="B307" t="s">
        <v>1196</v>
      </c>
      <c r="C307">
        <v>378.85</v>
      </c>
      <c r="D307" s="1">
        <v>45093.723090277781</v>
      </c>
      <c r="E307" t="s">
        <v>25</v>
      </c>
      <c r="F307" t="s">
        <v>314</v>
      </c>
      <c r="G307" t="s">
        <v>1197</v>
      </c>
      <c r="H307" t="s">
        <v>887</v>
      </c>
      <c r="I307" t="s">
        <v>561</v>
      </c>
      <c r="J307" t="s">
        <v>81</v>
      </c>
      <c r="K307">
        <v>78</v>
      </c>
      <c r="L307" t="s">
        <v>82</v>
      </c>
      <c r="M307">
        <v>126</v>
      </c>
      <c r="N307">
        <v>1</v>
      </c>
      <c r="O307">
        <v>2300.5300000000002</v>
      </c>
      <c r="P307" s="1">
        <v>45600.33966435185</v>
      </c>
      <c r="Q307">
        <v>17</v>
      </c>
      <c r="R307" t="s">
        <v>54</v>
      </c>
      <c r="S307">
        <v>0.27832597259119302</v>
      </c>
      <c r="T307" t="b">
        <v>0</v>
      </c>
      <c r="U307" t="b">
        <v>0</v>
      </c>
      <c r="V307" t="b">
        <f t="shared" si="8"/>
        <v>1</v>
      </c>
      <c r="W307">
        <v>0</v>
      </c>
      <c r="Y307">
        <f t="shared" si="9"/>
        <v>0</v>
      </c>
    </row>
    <row r="308" spans="1:25" x14ac:dyDescent="0.3">
      <c r="A308" t="s">
        <v>1198</v>
      </c>
      <c r="B308" t="s">
        <v>1199</v>
      </c>
      <c r="C308">
        <v>241.11</v>
      </c>
      <c r="D308" s="1">
        <v>45093.695405092592</v>
      </c>
      <c r="E308" t="s">
        <v>25</v>
      </c>
      <c r="F308" t="s">
        <v>137</v>
      </c>
      <c r="G308" t="s">
        <v>1200</v>
      </c>
      <c r="H308" t="s">
        <v>1201</v>
      </c>
      <c r="I308" t="s">
        <v>383</v>
      </c>
      <c r="J308" t="s">
        <v>81</v>
      </c>
      <c r="K308">
        <v>30</v>
      </c>
      <c r="L308" t="s">
        <v>31</v>
      </c>
      <c r="M308">
        <v>55</v>
      </c>
      <c r="N308">
        <v>1</v>
      </c>
      <c r="O308">
        <v>12385.05</v>
      </c>
      <c r="P308" s="1">
        <v>45600.340844907405</v>
      </c>
      <c r="Q308">
        <v>16</v>
      </c>
      <c r="R308" t="s">
        <v>54</v>
      </c>
      <c r="S308">
        <v>-0.19347321346503299</v>
      </c>
      <c r="T308" t="b">
        <v>0</v>
      </c>
      <c r="U308" t="b">
        <v>0</v>
      </c>
      <c r="V308" t="b">
        <f t="shared" si="8"/>
        <v>1</v>
      </c>
      <c r="W308">
        <v>0</v>
      </c>
      <c r="Y308">
        <f t="shared" si="9"/>
        <v>0</v>
      </c>
    </row>
    <row r="309" spans="1:25" x14ac:dyDescent="0.3">
      <c r="A309" t="s">
        <v>1202</v>
      </c>
      <c r="B309" t="s">
        <v>1203</v>
      </c>
      <c r="C309">
        <v>131.93</v>
      </c>
      <c r="D309" s="1">
        <v>45180.72997685185</v>
      </c>
      <c r="E309" t="s">
        <v>57</v>
      </c>
      <c r="F309" t="s">
        <v>170</v>
      </c>
      <c r="G309" t="s">
        <v>1204</v>
      </c>
      <c r="H309" t="s">
        <v>709</v>
      </c>
      <c r="I309" t="s">
        <v>487</v>
      </c>
      <c r="J309" t="s">
        <v>81</v>
      </c>
      <c r="K309">
        <v>31</v>
      </c>
      <c r="L309" t="s">
        <v>89</v>
      </c>
      <c r="M309">
        <v>13</v>
      </c>
      <c r="N309">
        <v>1</v>
      </c>
      <c r="O309">
        <v>4547.0600000000004</v>
      </c>
      <c r="P309" s="1">
        <v>45600.338078703702</v>
      </c>
      <c r="Q309">
        <v>17</v>
      </c>
      <c r="R309" t="s">
        <v>47</v>
      </c>
      <c r="S309">
        <v>-0.56744617072958103</v>
      </c>
      <c r="T309" t="b">
        <v>0</v>
      </c>
      <c r="U309" t="b">
        <v>0</v>
      </c>
      <c r="V309" t="b">
        <f t="shared" si="8"/>
        <v>1</v>
      </c>
      <c r="W309">
        <v>0</v>
      </c>
      <c r="Y309">
        <f t="shared" si="9"/>
        <v>0</v>
      </c>
    </row>
    <row r="310" spans="1:25" x14ac:dyDescent="0.3">
      <c r="A310" t="s">
        <v>1205</v>
      </c>
      <c r="B310" t="s">
        <v>1206</v>
      </c>
      <c r="C310">
        <v>20.28</v>
      </c>
      <c r="D310" s="1">
        <v>45126.737939814811</v>
      </c>
      <c r="E310" t="s">
        <v>25</v>
      </c>
      <c r="F310" t="s">
        <v>64</v>
      </c>
      <c r="G310" t="s">
        <v>1207</v>
      </c>
      <c r="H310" t="s">
        <v>1208</v>
      </c>
      <c r="I310" t="s">
        <v>491</v>
      </c>
      <c r="J310" t="s">
        <v>45</v>
      </c>
      <c r="K310">
        <v>36</v>
      </c>
      <c r="L310" t="s">
        <v>89</v>
      </c>
      <c r="M310">
        <v>213</v>
      </c>
      <c r="N310">
        <v>1</v>
      </c>
      <c r="O310">
        <v>2047.83</v>
      </c>
      <c r="P310" s="1">
        <v>45600.340300925927</v>
      </c>
      <c r="Q310">
        <v>17</v>
      </c>
      <c r="R310" t="s">
        <v>74</v>
      </c>
      <c r="S310">
        <v>-0.94987958965783503</v>
      </c>
      <c r="T310" t="b">
        <v>0</v>
      </c>
      <c r="U310" t="b">
        <v>0</v>
      </c>
      <c r="V310" t="b">
        <f t="shared" si="8"/>
        <v>1</v>
      </c>
      <c r="W310">
        <v>0</v>
      </c>
      <c r="Y310">
        <f t="shared" si="9"/>
        <v>0</v>
      </c>
    </row>
    <row r="311" spans="1:25" x14ac:dyDescent="0.3">
      <c r="A311" t="s">
        <v>1209</v>
      </c>
      <c r="B311" t="s">
        <v>1210</v>
      </c>
      <c r="C311">
        <v>415.88</v>
      </c>
      <c r="D311" s="1">
        <v>45043.729351851849</v>
      </c>
      <c r="E311" t="s">
        <v>25</v>
      </c>
      <c r="F311" t="s">
        <v>26</v>
      </c>
      <c r="G311" t="s">
        <v>1211</v>
      </c>
      <c r="H311" t="s">
        <v>407</v>
      </c>
      <c r="I311" t="s">
        <v>275</v>
      </c>
      <c r="J311" t="s">
        <v>81</v>
      </c>
      <c r="K311">
        <v>70</v>
      </c>
      <c r="L311" t="s">
        <v>31</v>
      </c>
      <c r="M311">
        <v>170</v>
      </c>
      <c r="N311">
        <v>1</v>
      </c>
      <c r="O311">
        <v>10008.33</v>
      </c>
      <c r="P311" s="1">
        <v>45600.338900462964</v>
      </c>
      <c r="Q311">
        <v>17</v>
      </c>
      <c r="R311" t="s">
        <v>141</v>
      </c>
      <c r="S311">
        <v>0.40516439178432501</v>
      </c>
      <c r="T311" t="b">
        <v>0</v>
      </c>
      <c r="U311" t="b">
        <v>0</v>
      </c>
      <c r="V311" t="b">
        <f t="shared" si="8"/>
        <v>1</v>
      </c>
      <c r="W311">
        <v>0</v>
      </c>
      <c r="Y311">
        <f t="shared" si="9"/>
        <v>0</v>
      </c>
    </row>
    <row r="312" spans="1:25" x14ac:dyDescent="0.3">
      <c r="A312" t="s">
        <v>1212</v>
      </c>
      <c r="B312" t="s">
        <v>1213</v>
      </c>
      <c r="C312">
        <v>49.99</v>
      </c>
      <c r="D312" s="1">
        <v>44966.745821759258</v>
      </c>
      <c r="E312" t="s">
        <v>25</v>
      </c>
      <c r="F312" t="s">
        <v>309</v>
      </c>
      <c r="G312" t="s">
        <v>1214</v>
      </c>
      <c r="H312" t="s">
        <v>1215</v>
      </c>
      <c r="I312" t="s">
        <v>632</v>
      </c>
      <c r="J312" t="s">
        <v>30</v>
      </c>
      <c r="K312">
        <v>62</v>
      </c>
      <c r="L312" t="s">
        <v>82</v>
      </c>
      <c r="M312">
        <v>139</v>
      </c>
      <c r="N312">
        <v>1</v>
      </c>
      <c r="O312">
        <v>2299.64</v>
      </c>
      <c r="P312" s="1">
        <v>45600.339062500003</v>
      </c>
      <c r="Q312">
        <v>17</v>
      </c>
      <c r="R312" t="s">
        <v>141</v>
      </c>
      <c r="S312">
        <v>-0.84811427952475404</v>
      </c>
      <c r="T312" t="b">
        <v>0</v>
      </c>
      <c r="U312" t="b">
        <v>0</v>
      </c>
      <c r="V312" t="b">
        <f t="shared" si="8"/>
        <v>1</v>
      </c>
      <c r="W312">
        <v>0</v>
      </c>
      <c r="Y312">
        <f t="shared" si="9"/>
        <v>0</v>
      </c>
    </row>
    <row r="313" spans="1:25" x14ac:dyDescent="0.3">
      <c r="A313" t="s">
        <v>1216</v>
      </c>
      <c r="B313" t="s">
        <v>147</v>
      </c>
      <c r="C313">
        <v>1221.6500000000001</v>
      </c>
      <c r="D313" s="1">
        <v>45196.705266203702</v>
      </c>
      <c r="E313" t="s">
        <v>25</v>
      </c>
      <c r="F313" t="s">
        <v>126</v>
      </c>
      <c r="G313" t="s">
        <v>373</v>
      </c>
      <c r="H313" t="s">
        <v>1217</v>
      </c>
      <c r="I313" t="s">
        <v>61</v>
      </c>
      <c r="J313" t="s">
        <v>45</v>
      </c>
      <c r="K313">
        <v>27</v>
      </c>
      <c r="L313" t="s">
        <v>46</v>
      </c>
      <c r="M313">
        <v>153</v>
      </c>
      <c r="N313">
        <v>1</v>
      </c>
      <c r="O313">
        <v>243.92</v>
      </c>
      <c r="P313" s="1">
        <v>45600.340752314813</v>
      </c>
      <c r="Q313">
        <v>16</v>
      </c>
      <c r="R313" t="s">
        <v>74</v>
      </c>
      <c r="S313">
        <v>3.16515880262014</v>
      </c>
      <c r="T313" t="b">
        <v>1</v>
      </c>
      <c r="U313" t="b">
        <v>0</v>
      </c>
      <c r="V313" t="b">
        <f t="shared" si="8"/>
        <v>1</v>
      </c>
      <c r="W313">
        <v>1</v>
      </c>
      <c r="Y313">
        <f t="shared" si="9"/>
        <v>1</v>
      </c>
    </row>
    <row r="314" spans="1:25" x14ac:dyDescent="0.3">
      <c r="A314" t="s">
        <v>1218</v>
      </c>
      <c r="B314" t="s">
        <v>1219</v>
      </c>
      <c r="C314">
        <v>100.66</v>
      </c>
      <c r="D314" s="1">
        <v>45093.790856481479</v>
      </c>
      <c r="E314" t="s">
        <v>25</v>
      </c>
      <c r="F314" t="s">
        <v>336</v>
      </c>
      <c r="G314" t="s">
        <v>1220</v>
      </c>
      <c r="H314" t="s">
        <v>1221</v>
      </c>
      <c r="I314" t="s">
        <v>1222</v>
      </c>
      <c r="J314" t="s">
        <v>81</v>
      </c>
      <c r="K314">
        <v>50</v>
      </c>
      <c r="L314" t="s">
        <v>31</v>
      </c>
      <c r="M314">
        <v>144</v>
      </c>
      <c r="N314">
        <v>1</v>
      </c>
      <c r="O314">
        <v>14473.33</v>
      </c>
      <c r="P314" s="1">
        <v>45600.341597222221</v>
      </c>
      <c r="Q314">
        <v>18</v>
      </c>
      <c r="R314" t="s">
        <v>54</v>
      </c>
      <c r="S314">
        <v>-0.674554930334476</v>
      </c>
      <c r="T314" t="b">
        <v>0</v>
      </c>
      <c r="U314" t="b">
        <v>0</v>
      </c>
      <c r="V314" t="b">
        <f t="shared" si="8"/>
        <v>1</v>
      </c>
      <c r="W314">
        <v>0</v>
      </c>
      <c r="Y314">
        <f t="shared" si="9"/>
        <v>0</v>
      </c>
    </row>
    <row r="315" spans="1:25" x14ac:dyDescent="0.3">
      <c r="A315" t="s">
        <v>1223</v>
      </c>
      <c r="B315" t="s">
        <v>437</v>
      </c>
      <c r="C315">
        <v>485.54</v>
      </c>
      <c r="D315" s="1">
        <v>45268.699861111112</v>
      </c>
      <c r="E315" t="s">
        <v>25</v>
      </c>
      <c r="F315" t="s">
        <v>120</v>
      </c>
      <c r="G315" t="s">
        <v>1224</v>
      </c>
      <c r="H315" t="s">
        <v>675</v>
      </c>
      <c r="I315" t="s">
        <v>1027</v>
      </c>
      <c r="J315" t="s">
        <v>45</v>
      </c>
      <c r="K315">
        <v>19</v>
      </c>
      <c r="L315" t="s">
        <v>46</v>
      </c>
      <c r="M315">
        <v>148</v>
      </c>
      <c r="N315">
        <v>1</v>
      </c>
      <c r="O315">
        <v>1533.32</v>
      </c>
      <c r="P315" s="1">
        <v>45600.34107638889</v>
      </c>
      <c r="Q315">
        <v>16</v>
      </c>
      <c r="R315" t="s">
        <v>54</v>
      </c>
      <c r="S315">
        <v>0.64376996242957496</v>
      </c>
      <c r="T315" t="b">
        <v>0</v>
      </c>
      <c r="U315" t="b">
        <v>0</v>
      </c>
      <c r="V315" t="b">
        <f t="shared" si="8"/>
        <v>1</v>
      </c>
      <c r="W315">
        <v>0</v>
      </c>
      <c r="Y315">
        <f t="shared" si="9"/>
        <v>0</v>
      </c>
    </row>
    <row r="316" spans="1:25" x14ac:dyDescent="0.3">
      <c r="A316" t="s">
        <v>1225</v>
      </c>
      <c r="B316" t="s">
        <v>1226</v>
      </c>
      <c r="C316">
        <v>321.14999999999998</v>
      </c>
      <c r="D316" s="1">
        <v>44967.712962962964</v>
      </c>
      <c r="E316" t="s">
        <v>25</v>
      </c>
      <c r="F316" t="s">
        <v>153</v>
      </c>
      <c r="G316" t="s">
        <v>1227</v>
      </c>
      <c r="H316" t="s">
        <v>1228</v>
      </c>
      <c r="I316" t="s">
        <v>993</v>
      </c>
      <c r="J316" t="s">
        <v>81</v>
      </c>
      <c r="K316">
        <v>46</v>
      </c>
      <c r="L316" t="s">
        <v>31</v>
      </c>
      <c r="M316">
        <v>179</v>
      </c>
      <c r="N316">
        <v>1</v>
      </c>
      <c r="O316">
        <v>7005.05</v>
      </c>
      <c r="P316" s="1">
        <v>45600.337881944448</v>
      </c>
      <c r="Q316">
        <v>17</v>
      </c>
      <c r="R316" t="s">
        <v>54</v>
      </c>
      <c r="S316">
        <v>8.0686847896519795E-2</v>
      </c>
      <c r="T316" t="b">
        <v>0</v>
      </c>
      <c r="U316" t="b">
        <v>0</v>
      </c>
      <c r="V316" t="b">
        <f t="shared" si="8"/>
        <v>1</v>
      </c>
      <c r="W316">
        <v>0</v>
      </c>
      <c r="Y316">
        <f t="shared" si="9"/>
        <v>0</v>
      </c>
    </row>
    <row r="317" spans="1:25" x14ac:dyDescent="0.3">
      <c r="A317" t="s">
        <v>1229</v>
      </c>
      <c r="B317" t="s">
        <v>1230</v>
      </c>
      <c r="C317">
        <v>711.3</v>
      </c>
      <c r="D317" s="1">
        <v>45103.790011574078</v>
      </c>
      <c r="E317" t="s">
        <v>25</v>
      </c>
      <c r="F317" t="s">
        <v>236</v>
      </c>
      <c r="G317" t="s">
        <v>1231</v>
      </c>
      <c r="H317" t="s">
        <v>1232</v>
      </c>
      <c r="I317" t="s">
        <v>605</v>
      </c>
      <c r="J317" t="s">
        <v>81</v>
      </c>
      <c r="K317">
        <v>21</v>
      </c>
      <c r="L317" t="s">
        <v>46</v>
      </c>
      <c r="M317">
        <v>51</v>
      </c>
      <c r="N317">
        <v>1</v>
      </c>
      <c r="O317">
        <v>955.4</v>
      </c>
      <c r="P317" s="1">
        <v>45600.339953703704</v>
      </c>
      <c r="Q317">
        <v>18</v>
      </c>
      <c r="R317" t="s">
        <v>47</v>
      </c>
      <c r="S317">
        <v>1.4170630090685501</v>
      </c>
      <c r="T317" t="b">
        <v>0</v>
      </c>
      <c r="U317" t="b">
        <v>0</v>
      </c>
      <c r="V317" t="b">
        <f t="shared" si="8"/>
        <v>1</v>
      </c>
      <c r="W317">
        <v>0</v>
      </c>
      <c r="Y317">
        <f t="shared" si="9"/>
        <v>0</v>
      </c>
    </row>
    <row r="318" spans="1:25" x14ac:dyDescent="0.3">
      <c r="A318" t="s">
        <v>1233</v>
      </c>
      <c r="B318" t="s">
        <v>1234</v>
      </c>
      <c r="C318">
        <v>12.23</v>
      </c>
      <c r="D318" s="1">
        <v>45211.668206018519</v>
      </c>
      <c r="E318" t="s">
        <v>25</v>
      </c>
      <c r="F318" t="s">
        <v>35</v>
      </c>
      <c r="G318" t="s">
        <v>1235</v>
      </c>
      <c r="H318" t="s">
        <v>694</v>
      </c>
      <c r="I318" t="s">
        <v>162</v>
      </c>
      <c r="J318" t="s">
        <v>30</v>
      </c>
      <c r="K318">
        <v>42</v>
      </c>
      <c r="L318" t="s">
        <v>89</v>
      </c>
      <c r="M318">
        <v>139</v>
      </c>
      <c r="N318">
        <v>1</v>
      </c>
      <c r="O318">
        <v>7844.88</v>
      </c>
      <c r="P318" s="1">
        <v>45600.338530092595</v>
      </c>
      <c r="Q318">
        <v>16</v>
      </c>
      <c r="R318" t="s">
        <v>141</v>
      </c>
      <c r="S318">
        <v>-0.97745315904764596</v>
      </c>
      <c r="T318" t="b">
        <v>0</v>
      </c>
      <c r="U318" t="b">
        <v>0</v>
      </c>
      <c r="V318" t="b">
        <f t="shared" si="8"/>
        <v>1</v>
      </c>
      <c r="W318">
        <v>0</v>
      </c>
      <c r="Y318">
        <f t="shared" si="9"/>
        <v>0</v>
      </c>
    </row>
    <row r="319" spans="1:25" x14ac:dyDescent="0.3">
      <c r="A319" t="s">
        <v>1236</v>
      </c>
      <c r="B319" t="s">
        <v>480</v>
      </c>
      <c r="C319">
        <v>350.94</v>
      </c>
      <c r="D319" s="1">
        <v>45229.720729166664</v>
      </c>
      <c r="E319" t="s">
        <v>25</v>
      </c>
      <c r="F319" t="s">
        <v>534</v>
      </c>
      <c r="G319" t="s">
        <v>1237</v>
      </c>
      <c r="H319" t="s">
        <v>1238</v>
      </c>
      <c r="I319" t="s">
        <v>772</v>
      </c>
      <c r="J319" t="s">
        <v>30</v>
      </c>
      <c r="K319">
        <v>20</v>
      </c>
      <c r="L319" t="s">
        <v>46</v>
      </c>
      <c r="M319">
        <v>64</v>
      </c>
      <c r="N319">
        <v>1</v>
      </c>
      <c r="O319">
        <v>221.56</v>
      </c>
      <c r="P319" s="1">
        <v>45600.340682870374</v>
      </c>
      <c r="Q319">
        <v>17</v>
      </c>
      <c r="R319" t="s">
        <v>47</v>
      </c>
      <c r="S319">
        <v>0.182726181079436</v>
      </c>
      <c r="T319" t="b">
        <v>0</v>
      </c>
      <c r="U319" t="b">
        <v>0</v>
      </c>
      <c r="V319" t="b">
        <f t="shared" si="8"/>
        <v>1</v>
      </c>
      <c r="W319">
        <v>0</v>
      </c>
      <c r="Y319">
        <f t="shared" si="9"/>
        <v>0</v>
      </c>
    </row>
    <row r="320" spans="1:25" x14ac:dyDescent="0.3">
      <c r="A320" t="s">
        <v>1239</v>
      </c>
      <c r="B320" t="s">
        <v>476</v>
      </c>
      <c r="C320">
        <v>301.85000000000002</v>
      </c>
      <c r="D320" s="1">
        <v>45034.73877314815</v>
      </c>
      <c r="E320" t="s">
        <v>25</v>
      </c>
      <c r="F320" t="s">
        <v>137</v>
      </c>
      <c r="G320" t="s">
        <v>1240</v>
      </c>
      <c r="H320" t="s">
        <v>187</v>
      </c>
      <c r="I320" t="s">
        <v>632</v>
      </c>
      <c r="J320" t="s">
        <v>45</v>
      </c>
      <c r="K320">
        <v>54</v>
      </c>
      <c r="L320" t="s">
        <v>89</v>
      </c>
      <c r="M320">
        <v>25</v>
      </c>
      <c r="N320">
        <v>1</v>
      </c>
      <c r="O320">
        <v>6586.19</v>
      </c>
      <c r="P320" s="1">
        <v>45600.34033564815</v>
      </c>
      <c r="Q320">
        <v>17</v>
      </c>
      <c r="R320" t="s">
        <v>32</v>
      </c>
      <c r="S320">
        <v>1.45787871234317E-2</v>
      </c>
      <c r="T320" t="b">
        <v>0</v>
      </c>
      <c r="U320" t="b">
        <v>0</v>
      </c>
      <c r="V320" t="b">
        <f t="shared" si="8"/>
        <v>1</v>
      </c>
      <c r="W320">
        <v>0</v>
      </c>
      <c r="Y320">
        <f t="shared" si="9"/>
        <v>0</v>
      </c>
    </row>
    <row r="321" spans="1:25" x14ac:dyDescent="0.3">
      <c r="A321" t="s">
        <v>1241</v>
      </c>
      <c r="B321" t="s">
        <v>1242</v>
      </c>
      <c r="C321">
        <v>29.34</v>
      </c>
      <c r="D321" s="1">
        <v>44994.734120370369</v>
      </c>
      <c r="E321" t="s">
        <v>25</v>
      </c>
      <c r="F321" t="s">
        <v>120</v>
      </c>
      <c r="G321" t="s">
        <v>960</v>
      </c>
      <c r="H321" t="s">
        <v>1243</v>
      </c>
      <c r="I321" t="s">
        <v>356</v>
      </c>
      <c r="J321" t="s">
        <v>45</v>
      </c>
      <c r="K321">
        <v>65</v>
      </c>
      <c r="L321" t="s">
        <v>82</v>
      </c>
      <c r="M321">
        <v>30</v>
      </c>
      <c r="N321">
        <v>1</v>
      </c>
      <c r="O321">
        <v>3944.82</v>
      </c>
      <c r="P321" s="1">
        <v>45600.341458333336</v>
      </c>
      <c r="Q321">
        <v>17</v>
      </c>
      <c r="R321" t="s">
        <v>141</v>
      </c>
      <c r="S321">
        <v>-0.918846479263836</v>
      </c>
      <c r="T321" t="b">
        <v>0</v>
      </c>
      <c r="U321" t="b">
        <v>0</v>
      </c>
      <c r="V321" t="b">
        <f t="shared" si="8"/>
        <v>1</v>
      </c>
      <c r="W321">
        <v>0</v>
      </c>
      <c r="Y321">
        <f t="shared" si="9"/>
        <v>0</v>
      </c>
    </row>
    <row r="322" spans="1:25" x14ac:dyDescent="0.3">
      <c r="A322" t="s">
        <v>1244</v>
      </c>
      <c r="B322" t="s">
        <v>184</v>
      </c>
      <c r="C322">
        <v>231.71</v>
      </c>
      <c r="D322" s="1">
        <v>45040.709120370368</v>
      </c>
      <c r="E322" t="s">
        <v>25</v>
      </c>
      <c r="F322" t="s">
        <v>50</v>
      </c>
      <c r="G322" t="s">
        <v>956</v>
      </c>
      <c r="H322" t="s">
        <v>1245</v>
      </c>
      <c r="I322" t="s">
        <v>419</v>
      </c>
      <c r="J322" t="s">
        <v>81</v>
      </c>
      <c r="K322">
        <v>27</v>
      </c>
      <c r="L322" t="s">
        <v>46</v>
      </c>
      <c r="M322">
        <v>148</v>
      </c>
      <c r="N322">
        <v>1</v>
      </c>
      <c r="O322">
        <v>1127.98</v>
      </c>
      <c r="P322" s="1">
        <v>45600.338217592594</v>
      </c>
      <c r="Q322">
        <v>17</v>
      </c>
      <c r="R322" t="s">
        <v>47</v>
      </c>
      <c r="S322">
        <v>-0.22567092182083801</v>
      </c>
      <c r="T322" t="b">
        <v>0</v>
      </c>
      <c r="U322" t="b">
        <v>0</v>
      </c>
      <c r="V322" t="b">
        <f t="shared" si="8"/>
        <v>1</v>
      </c>
      <c r="W322">
        <v>0</v>
      </c>
      <c r="Y322">
        <f t="shared" si="9"/>
        <v>0</v>
      </c>
    </row>
    <row r="323" spans="1:25" x14ac:dyDescent="0.3">
      <c r="A323" t="s">
        <v>1246</v>
      </c>
      <c r="B323" t="s">
        <v>1210</v>
      </c>
      <c r="C323">
        <v>179.43</v>
      </c>
      <c r="D323" s="1">
        <v>45149.764444444445</v>
      </c>
      <c r="E323" t="s">
        <v>25</v>
      </c>
      <c r="F323" t="s">
        <v>64</v>
      </c>
      <c r="G323" t="s">
        <v>1247</v>
      </c>
      <c r="H323" t="s">
        <v>1248</v>
      </c>
      <c r="I323" t="s">
        <v>445</v>
      </c>
      <c r="J323" t="s">
        <v>30</v>
      </c>
      <c r="K323">
        <v>58</v>
      </c>
      <c r="L323" t="s">
        <v>82</v>
      </c>
      <c r="M323">
        <v>244</v>
      </c>
      <c r="N323">
        <v>1</v>
      </c>
      <c r="O323">
        <v>2626.63</v>
      </c>
      <c r="P323" s="1">
        <v>45600.340277777781</v>
      </c>
      <c r="Q323">
        <v>18</v>
      </c>
      <c r="R323" t="s">
        <v>54</v>
      </c>
      <c r="S323">
        <v>-0.40474498488907901</v>
      </c>
      <c r="T323" t="b">
        <v>0</v>
      </c>
      <c r="U323" t="b">
        <v>0</v>
      </c>
      <c r="V323" t="b">
        <f t="shared" ref="V323:V386" si="10">ISLOGICAL(T323)</f>
        <v>1</v>
      </c>
      <c r="W323">
        <v>0</v>
      </c>
      <c r="Y323">
        <f t="shared" ref="Y323:Y386" si="11">--T323</f>
        <v>0</v>
      </c>
    </row>
    <row r="324" spans="1:25" x14ac:dyDescent="0.3">
      <c r="A324" t="s">
        <v>1249</v>
      </c>
      <c r="B324" t="s">
        <v>1073</v>
      </c>
      <c r="C324">
        <v>36.71</v>
      </c>
      <c r="D324" s="1">
        <v>44956.716585648152</v>
      </c>
      <c r="E324" t="s">
        <v>25</v>
      </c>
      <c r="F324" t="s">
        <v>405</v>
      </c>
      <c r="G324" t="s">
        <v>132</v>
      </c>
      <c r="H324" t="s">
        <v>900</v>
      </c>
      <c r="I324" t="s">
        <v>325</v>
      </c>
      <c r="J324" t="s">
        <v>81</v>
      </c>
      <c r="K324">
        <v>48</v>
      </c>
      <c r="L324" t="s">
        <v>31</v>
      </c>
      <c r="M324">
        <v>55</v>
      </c>
      <c r="N324">
        <v>1</v>
      </c>
      <c r="O324">
        <v>6459.38</v>
      </c>
      <c r="P324" s="1">
        <v>45600.341481481482</v>
      </c>
      <c r="Q324">
        <v>17</v>
      </c>
      <c r="R324" t="s">
        <v>47</v>
      </c>
      <c r="S324">
        <v>-0.89360210579763599</v>
      </c>
      <c r="T324" t="b">
        <v>0</v>
      </c>
      <c r="U324" t="b">
        <v>0</v>
      </c>
      <c r="V324" t="b">
        <f t="shared" si="10"/>
        <v>1</v>
      </c>
      <c r="W324">
        <v>0</v>
      </c>
      <c r="Y324">
        <f t="shared" si="11"/>
        <v>0</v>
      </c>
    </row>
    <row r="325" spans="1:25" x14ac:dyDescent="0.3">
      <c r="A325" t="s">
        <v>1250</v>
      </c>
      <c r="B325" t="s">
        <v>1251</v>
      </c>
      <c r="C325">
        <v>138.12</v>
      </c>
      <c r="D325" s="1">
        <v>45027.721412037034</v>
      </c>
      <c r="E325" t="s">
        <v>57</v>
      </c>
      <c r="F325" t="s">
        <v>153</v>
      </c>
      <c r="G325" t="s">
        <v>539</v>
      </c>
      <c r="H325" t="s">
        <v>668</v>
      </c>
      <c r="I325" t="s">
        <v>665</v>
      </c>
      <c r="J325" t="s">
        <v>81</v>
      </c>
      <c r="K325">
        <v>53</v>
      </c>
      <c r="L325" t="s">
        <v>31</v>
      </c>
      <c r="M325">
        <v>281</v>
      </c>
      <c r="N325">
        <v>1</v>
      </c>
      <c r="O325">
        <v>1649.69</v>
      </c>
      <c r="P325" s="1">
        <v>45600.341238425928</v>
      </c>
      <c r="Q325">
        <v>17</v>
      </c>
      <c r="R325" t="s">
        <v>32</v>
      </c>
      <c r="S325">
        <v>-0.54624363724847103</v>
      </c>
      <c r="T325" t="b">
        <v>0</v>
      </c>
      <c r="U325" t="b">
        <v>0</v>
      </c>
      <c r="V325" t="b">
        <f t="shared" si="10"/>
        <v>1</v>
      </c>
      <c r="W325">
        <v>0</v>
      </c>
      <c r="Y325">
        <f t="shared" si="11"/>
        <v>0</v>
      </c>
    </row>
    <row r="326" spans="1:25" x14ac:dyDescent="0.3">
      <c r="A326" t="s">
        <v>1252</v>
      </c>
      <c r="B326" t="s">
        <v>1253</v>
      </c>
      <c r="C326">
        <v>233.24</v>
      </c>
      <c r="D326" s="1">
        <v>45033.705625000002</v>
      </c>
      <c r="E326" t="s">
        <v>25</v>
      </c>
      <c r="F326" t="s">
        <v>120</v>
      </c>
      <c r="G326" t="s">
        <v>1254</v>
      </c>
      <c r="H326" t="s">
        <v>1255</v>
      </c>
      <c r="I326" t="s">
        <v>285</v>
      </c>
      <c r="J326" t="s">
        <v>30</v>
      </c>
      <c r="K326">
        <v>33</v>
      </c>
      <c r="L326" t="s">
        <v>89</v>
      </c>
      <c r="M326">
        <v>72</v>
      </c>
      <c r="N326">
        <v>1</v>
      </c>
      <c r="O326">
        <v>6939.23</v>
      </c>
      <c r="P326" s="1">
        <v>45600.338645833333</v>
      </c>
      <c r="Q326">
        <v>16</v>
      </c>
      <c r="R326" t="s">
        <v>47</v>
      </c>
      <c r="S326">
        <v>-0.220430230992712</v>
      </c>
      <c r="T326" t="b">
        <v>0</v>
      </c>
      <c r="U326" t="b">
        <v>0</v>
      </c>
      <c r="V326" t="b">
        <f t="shared" si="10"/>
        <v>1</v>
      </c>
      <c r="W326">
        <v>0</v>
      </c>
      <c r="Y326">
        <f t="shared" si="11"/>
        <v>0</v>
      </c>
    </row>
    <row r="327" spans="1:25" x14ac:dyDescent="0.3">
      <c r="A327" t="s">
        <v>1256</v>
      </c>
      <c r="B327" t="s">
        <v>1257</v>
      </c>
      <c r="C327">
        <v>609.14</v>
      </c>
      <c r="D327" s="1">
        <v>45253.673368055555</v>
      </c>
      <c r="E327" t="s">
        <v>25</v>
      </c>
      <c r="F327" t="s">
        <v>268</v>
      </c>
      <c r="G327" t="s">
        <v>1258</v>
      </c>
      <c r="H327" t="s">
        <v>1259</v>
      </c>
      <c r="I327" t="s">
        <v>585</v>
      </c>
      <c r="J327" t="s">
        <v>30</v>
      </c>
      <c r="K327">
        <v>39</v>
      </c>
      <c r="L327" t="s">
        <v>89</v>
      </c>
      <c r="M327">
        <v>177</v>
      </c>
      <c r="N327">
        <v>1</v>
      </c>
      <c r="O327">
        <v>9033.8700000000008</v>
      </c>
      <c r="P327" s="1">
        <v>45600.341354166667</v>
      </c>
      <c r="Q327">
        <v>16</v>
      </c>
      <c r="R327" t="s">
        <v>141</v>
      </c>
      <c r="S327">
        <v>1.06713557442717</v>
      </c>
      <c r="T327" t="b">
        <v>0</v>
      </c>
      <c r="U327" t="b">
        <v>0</v>
      </c>
      <c r="V327" t="b">
        <f t="shared" si="10"/>
        <v>1</v>
      </c>
      <c r="W327">
        <v>0</v>
      </c>
      <c r="Y327">
        <f t="shared" si="11"/>
        <v>0</v>
      </c>
    </row>
    <row r="328" spans="1:25" x14ac:dyDescent="0.3">
      <c r="A328" t="s">
        <v>1260</v>
      </c>
      <c r="B328" t="s">
        <v>297</v>
      </c>
      <c r="C328">
        <v>436.64</v>
      </c>
      <c r="D328" s="1">
        <v>45285.740555555552</v>
      </c>
      <c r="E328" t="s">
        <v>25</v>
      </c>
      <c r="F328" t="s">
        <v>153</v>
      </c>
      <c r="G328" t="s">
        <v>1261</v>
      </c>
      <c r="H328" t="s">
        <v>1262</v>
      </c>
      <c r="I328" t="s">
        <v>463</v>
      </c>
      <c r="J328" t="s">
        <v>81</v>
      </c>
      <c r="K328">
        <v>31</v>
      </c>
      <c r="L328" t="s">
        <v>31</v>
      </c>
      <c r="M328">
        <v>111</v>
      </c>
      <c r="N328">
        <v>1</v>
      </c>
      <c r="O328">
        <v>14365.18</v>
      </c>
      <c r="P328" s="1">
        <v>45600.339155092595</v>
      </c>
      <c r="Q328">
        <v>17</v>
      </c>
      <c r="R328" t="s">
        <v>47</v>
      </c>
      <c r="S328">
        <v>0.47627337321693197</v>
      </c>
      <c r="T328" t="b">
        <v>0</v>
      </c>
      <c r="U328" t="b">
        <v>0</v>
      </c>
      <c r="V328" t="b">
        <f t="shared" si="10"/>
        <v>1</v>
      </c>
      <c r="W328">
        <v>0</v>
      </c>
      <c r="Y328">
        <f t="shared" si="11"/>
        <v>0</v>
      </c>
    </row>
    <row r="329" spans="1:25" x14ac:dyDescent="0.3">
      <c r="A329" t="s">
        <v>1263</v>
      </c>
      <c r="B329" t="s">
        <v>368</v>
      </c>
      <c r="C329">
        <v>870.43</v>
      </c>
      <c r="D329" s="1">
        <v>45077.704398148147</v>
      </c>
      <c r="E329" t="s">
        <v>25</v>
      </c>
      <c r="F329" t="s">
        <v>153</v>
      </c>
      <c r="G329" t="s">
        <v>1264</v>
      </c>
      <c r="H329" t="s">
        <v>969</v>
      </c>
      <c r="I329" t="s">
        <v>993</v>
      </c>
      <c r="J329" t="s">
        <v>81</v>
      </c>
      <c r="K329">
        <v>29</v>
      </c>
      <c r="L329" t="s">
        <v>31</v>
      </c>
      <c r="M329">
        <v>55</v>
      </c>
      <c r="N329">
        <v>1</v>
      </c>
      <c r="O329">
        <v>10115.18</v>
      </c>
      <c r="P329" s="1">
        <v>45600.338796296295</v>
      </c>
      <c r="Q329">
        <v>16</v>
      </c>
      <c r="R329" t="s">
        <v>74</v>
      </c>
      <c r="S329">
        <v>1.96212910807485</v>
      </c>
      <c r="T329" t="b">
        <v>0</v>
      </c>
      <c r="U329" t="b">
        <v>0</v>
      </c>
      <c r="V329" t="b">
        <f t="shared" si="10"/>
        <v>1</v>
      </c>
      <c r="W329">
        <v>0</v>
      </c>
      <c r="Y329">
        <f t="shared" si="11"/>
        <v>0</v>
      </c>
    </row>
    <row r="330" spans="1:25" x14ac:dyDescent="0.3">
      <c r="A330" t="s">
        <v>1265</v>
      </c>
      <c r="B330" t="s">
        <v>114</v>
      </c>
      <c r="C330">
        <v>354.4</v>
      </c>
      <c r="D330" s="1">
        <v>45236.724398148152</v>
      </c>
      <c r="E330" t="s">
        <v>25</v>
      </c>
      <c r="F330" t="s">
        <v>278</v>
      </c>
      <c r="G330" t="s">
        <v>1266</v>
      </c>
      <c r="H330" t="s">
        <v>1267</v>
      </c>
      <c r="I330" t="s">
        <v>259</v>
      </c>
      <c r="J330" t="s">
        <v>30</v>
      </c>
      <c r="K330">
        <v>74</v>
      </c>
      <c r="L330" t="s">
        <v>82</v>
      </c>
      <c r="M330">
        <v>128</v>
      </c>
      <c r="N330">
        <v>1</v>
      </c>
      <c r="O330">
        <v>7358.65</v>
      </c>
      <c r="P330" s="1">
        <v>45600.340277777781</v>
      </c>
      <c r="Q330">
        <v>17</v>
      </c>
      <c r="R330" t="s">
        <v>47</v>
      </c>
      <c r="S330">
        <v>0.19457767798487099</v>
      </c>
      <c r="T330" t="b">
        <v>0</v>
      </c>
      <c r="U330" t="b">
        <v>0</v>
      </c>
      <c r="V330" t="b">
        <f t="shared" si="10"/>
        <v>1</v>
      </c>
      <c r="W330">
        <v>0</v>
      </c>
      <c r="Y330">
        <f t="shared" si="11"/>
        <v>0</v>
      </c>
    </row>
    <row r="331" spans="1:25" x14ac:dyDescent="0.3">
      <c r="A331" t="s">
        <v>1268</v>
      </c>
      <c r="B331" t="s">
        <v>1269</v>
      </c>
      <c r="C331">
        <v>22.63</v>
      </c>
      <c r="D331" s="1">
        <v>44977.727951388886</v>
      </c>
      <c r="E331" t="s">
        <v>25</v>
      </c>
      <c r="F331" t="s">
        <v>304</v>
      </c>
      <c r="G331" t="s">
        <v>434</v>
      </c>
      <c r="H331" t="s">
        <v>457</v>
      </c>
      <c r="I331" t="s">
        <v>38</v>
      </c>
      <c r="J331" t="s">
        <v>45</v>
      </c>
      <c r="K331">
        <v>53</v>
      </c>
      <c r="L331" t="s">
        <v>89</v>
      </c>
      <c r="M331">
        <v>112</v>
      </c>
      <c r="N331">
        <v>1</v>
      </c>
      <c r="O331">
        <v>4438.03</v>
      </c>
      <c r="P331" s="1">
        <v>45600.340925925928</v>
      </c>
      <c r="Q331">
        <v>17</v>
      </c>
      <c r="R331" t="s">
        <v>47</v>
      </c>
      <c r="S331">
        <v>-0.94183016256888397</v>
      </c>
      <c r="T331" t="b">
        <v>0</v>
      </c>
      <c r="U331" t="b">
        <v>0</v>
      </c>
      <c r="V331" t="b">
        <f t="shared" si="10"/>
        <v>1</v>
      </c>
      <c r="W331">
        <v>0</v>
      </c>
      <c r="Y331">
        <f t="shared" si="11"/>
        <v>0</v>
      </c>
    </row>
    <row r="332" spans="1:25" x14ac:dyDescent="0.3">
      <c r="A332" t="s">
        <v>1270</v>
      </c>
      <c r="B332" t="s">
        <v>714</v>
      </c>
      <c r="C332">
        <v>182.19</v>
      </c>
      <c r="D332" s="1">
        <v>45096.69195601852</v>
      </c>
      <c r="E332" t="s">
        <v>25</v>
      </c>
      <c r="F332" t="s">
        <v>41</v>
      </c>
      <c r="G332" t="s">
        <v>1271</v>
      </c>
      <c r="H332" t="s">
        <v>1272</v>
      </c>
      <c r="I332" t="s">
        <v>95</v>
      </c>
      <c r="J332" t="s">
        <v>81</v>
      </c>
      <c r="K332">
        <v>26</v>
      </c>
      <c r="L332" t="s">
        <v>46</v>
      </c>
      <c r="M332">
        <v>53</v>
      </c>
      <c r="N332">
        <v>1</v>
      </c>
      <c r="O332">
        <v>1176.0999999999999</v>
      </c>
      <c r="P332" s="1">
        <v>45600.337812500002</v>
      </c>
      <c r="Q332">
        <v>16</v>
      </c>
      <c r="R332" t="s">
        <v>47</v>
      </c>
      <c r="S332">
        <v>-0.39529118966971499</v>
      </c>
      <c r="T332" t="b">
        <v>0</v>
      </c>
      <c r="U332" t="b">
        <v>0</v>
      </c>
      <c r="V332" t="b">
        <f t="shared" si="10"/>
        <v>1</v>
      </c>
      <c r="W332">
        <v>0</v>
      </c>
      <c r="Y332">
        <f t="shared" si="11"/>
        <v>0</v>
      </c>
    </row>
    <row r="333" spans="1:25" x14ac:dyDescent="0.3">
      <c r="A333" t="s">
        <v>1273</v>
      </c>
      <c r="B333" t="s">
        <v>451</v>
      </c>
      <c r="C333">
        <v>126.81</v>
      </c>
      <c r="D333" s="1">
        <v>45229.706956018519</v>
      </c>
      <c r="E333" t="s">
        <v>25</v>
      </c>
      <c r="F333" t="s">
        <v>256</v>
      </c>
      <c r="G333" t="s">
        <v>1274</v>
      </c>
      <c r="H333" t="s">
        <v>1275</v>
      </c>
      <c r="I333" t="s">
        <v>321</v>
      </c>
      <c r="J333" t="s">
        <v>81</v>
      </c>
      <c r="K333">
        <v>26</v>
      </c>
      <c r="L333" t="s">
        <v>89</v>
      </c>
      <c r="M333">
        <v>290</v>
      </c>
      <c r="N333">
        <v>1</v>
      </c>
      <c r="O333">
        <v>5427.98</v>
      </c>
      <c r="P333" s="1">
        <v>45600.341921296298</v>
      </c>
      <c r="Q333">
        <v>16</v>
      </c>
      <c r="R333" t="s">
        <v>47</v>
      </c>
      <c r="S333">
        <v>-0.58498364591912599</v>
      </c>
      <c r="T333" t="b">
        <v>0</v>
      </c>
      <c r="U333" t="b">
        <v>0</v>
      </c>
      <c r="V333" t="b">
        <f t="shared" si="10"/>
        <v>1</v>
      </c>
      <c r="W333">
        <v>0</v>
      </c>
      <c r="Y333">
        <f t="shared" si="11"/>
        <v>0</v>
      </c>
    </row>
    <row r="334" spans="1:25" x14ac:dyDescent="0.3">
      <c r="A334" t="s">
        <v>1276</v>
      </c>
      <c r="B334" t="s">
        <v>1277</v>
      </c>
      <c r="C334">
        <v>288.17</v>
      </c>
      <c r="D334" s="1">
        <v>45177.700590277775</v>
      </c>
      <c r="E334" t="s">
        <v>25</v>
      </c>
      <c r="F334" t="s">
        <v>314</v>
      </c>
      <c r="G334" t="s">
        <v>1278</v>
      </c>
      <c r="H334" t="s">
        <v>565</v>
      </c>
      <c r="I334" t="s">
        <v>458</v>
      </c>
      <c r="J334" t="s">
        <v>45</v>
      </c>
      <c r="K334">
        <v>37</v>
      </c>
      <c r="L334" t="s">
        <v>89</v>
      </c>
      <c r="M334">
        <v>50</v>
      </c>
      <c r="N334">
        <v>1</v>
      </c>
      <c r="O334">
        <v>3653.11</v>
      </c>
      <c r="P334" s="1">
        <v>45600.340462962966</v>
      </c>
      <c r="Q334">
        <v>16</v>
      </c>
      <c r="R334" t="s">
        <v>54</v>
      </c>
      <c r="S334">
        <v>-3.2279154398632798E-2</v>
      </c>
      <c r="T334" t="b">
        <v>0</v>
      </c>
      <c r="U334" t="b">
        <v>0</v>
      </c>
      <c r="V334" t="b">
        <f t="shared" si="10"/>
        <v>1</v>
      </c>
      <c r="W334">
        <v>0</v>
      </c>
      <c r="Y334">
        <f t="shared" si="11"/>
        <v>0</v>
      </c>
    </row>
    <row r="335" spans="1:25" x14ac:dyDescent="0.3">
      <c r="A335" t="s">
        <v>1279</v>
      </c>
      <c r="B335" t="s">
        <v>1280</v>
      </c>
      <c r="C335">
        <v>118.77</v>
      </c>
      <c r="D335" s="1">
        <v>45201.738946759258</v>
      </c>
      <c r="E335" t="s">
        <v>25</v>
      </c>
      <c r="F335" t="s">
        <v>58</v>
      </c>
      <c r="G335" t="s">
        <v>192</v>
      </c>
      <c r="H335" t="s">
        <v>1089</v>
      </c>
      <c r="I335" t="s">
        <v>399</v>
      </c>
      <c r="J335" t="s">
        <v>81</v>
      </c>
      <c r="K335">
        <v>55</v>
      </c>
      <c r="L335" t="s">
        <v>89</v>
      </c>
      <c r="M335">
        <v>123</v>
      </c>
      <c r="N335">
        <v>1</v>
      </c>
      <c r="O335">
        <v>2104.8200000000002</v>
      </c>
      <c r="P335" s="1">
        <v>45600.340613425928</v>
      </c>
      <c r="Q335">
        <v>17</v>
      </c>
      <c r="R335" t="s">
        <v>47</v>
      </c>
      <c r="S335">
        <v>-0.61252296242770699</v>
      </c>
      <c r="T335" t="b">
        <v>0</v>
      </c>
      <c r="U335" t="b">
        <v>0</v>
      </c>
      <c r="V335" t="b">
        <f t="shared" si="10"/>
        <v>1</v>
      </c>
      <c r="W335">
        <v>0</v>
      </c>
      <c r="Y335">
        <f t="shared" si="11"/>
        <v>0</v>
      </c>
    </row>
    <row r="336" spans="1:25" x14ac:dyDescent="0.3">
      <c r="A336" t="s">
        <v>1281</v>
      </c>
      <c r="B336" t="s">
        <v>817</v>
      </c>
      <c r="C336">
        <v>651.82000000000005</v>
      </c>
      <c r="D336" s="1">
        <v>45030.749803240738</v>
      </c>
      <c r="E336" t="s">
        <v>25</v>
      </c>
      <c r="F336" t="s">
        <v>77</v>
      </c>
      <c r="G336" t="s">
        <v>1282</v>
      </c>
      <c r="H336" t="s">
        <v>1283</v>
      </c>
      <c r="I336" t="s">
        <v>222</v>
      </c>
      <c r="J336" t="s">
        <v>30</v>
      </c>
      <c r="K336">
        <v>21</v>
      </c>
      <c r="L336" t="s">
        <v>46</v>
      </c>
      <c r="M336">
        <v>166</v>
      </c>
      <c r="N336">
        <v>1</v>
      </c>
      <c r="O336">
        <v>1802.77</v>
      </c>
      <c r="P336" s="1">
        <v>45600.338217592594</v>
      </c>
      <c r="Q336">
        <v>17</v>
      </c>
      <c r="R336" t="s">
        <v>54</v>
      </c>
      <c r="S336">
        <v>1.2133268715150201</v>
      </c>
      <c r="T336" t="b">
        <v>0</v>
      </c>
      <c r="U336" t="b">
        <v>0</v>
      </c>
      <c r="V336" t="b">
        <f t="shared" si="10"/>
        <v>1</v>
      </c>
      <c r="W336">
        <v>0</v>
      </c>
      <c r="Y336">
        <f t="shared" si="11"/>
        <v>0</v>
      </c>
    </row>
    <row r="337" spans="1:25" x14ac:dyDescent="0.3">
      <c r="A337" t="s">
        <v>1284</v>
      </c>
      <c r="B337" t="s">
        <v>1285</v>
      </c>
      <c r="C337">
        <v>66.650000000000006</v>
      </c>
      <c r="D337" s="1">
        <v>45216.707627314812</v>
      </c>
      <c r="E337" t="s">
        <v>25</v>
      </c>
      <c r="F337" t="s">
        <v>85</v>
      </c>
      <c r="G337" t="s">
        <v>1286</v>
      </c>
      <c r="H337" t="s">
        <v>149</v>
      </c>
      <c r="I337" t="s">
        <v>753</v>
      </c>
      <c r="J337" t="s">
        <v>30</v>
      </c>
      <c r="K337">
        <v>37</v>
      </c>
      <c r="L337" t="s">
        <v>89</v>
      </c>
      <c r="M337">
        <v>33</v>
      </c>
      <c r="N337">
        <v>1</v>
      </c>
      <c r="O337">
        <v>3559.96</v>
      </c>
      <c r="P337" s="1">
        <v>45600.34097222222</v>
      </c>
      <c r="Q337">
        <v>16</v>
      </c>
      <c r="R337" t="s">
        <v>32</v>
      </c>
      <c r="S337">
        <v>-0.79104897939627505</v>
      </c>
      <c r="T337" t="b">
        <v>0</v>
      </c>
      <c r="U337" t="b">
        <v>0</v>
      </c>
      <c r="V337" t="b">
        <f t="shared" si="10"/>
        <v>1</v>
      </c>
      <c r="W337">
        <v>0</v>
      </c>
      <c r="Y337">
        <f t="shared" si="11"/>
        <v>0</v>
      </c>
    </row>
    <row r="338" spans="1:25" x14ac:dyDescent="0.3">
      <c r="A338" t="s">
        <v>1287</v>
      </c>
      <c r="B338" t="s">
        <v>762</v>
      </c>
      <c r="C338">
        <v>98.53</v>
      </c>
      <c r="D338" s="1">
        <v>44942.688750000001</v>
      </c>
      <c r="E338" t="s">
        <v>25</v>
      </c>
      <c r="F338" t="s">
        <v>126</v>
      </c>
      <c r="G338" t="s">
        <v>390</v>
      </c>
      <c r="H338" t="s">
        <v>928</v>
      </c>
      <c r="I338" t="s">
        <v>687</v>
      </c>
      <c r="J338" t="s">
        <v>81</v>
      </c>
      <c r="K338">
        <v>69</v>
      </c>
      <c r="L338" t="s">
        <v>82</v>
      </c>
      <c r="M338">
        <v>166</v>
      </c>
      <c r="N338">
        <v>1</v>
      </c>
      <c r="O338">
        <v>3564.8</v>
      </c>
      <c r="P338" s="1">
        <v>45600.341192129628</v>
      </c>
      <c r="Q338">
        <v>16</v>
      </c>
      <c r="R338" t="s">
        <v>47</v>
      </c>
      <c r="S338">
        <v>-0.68185079403637605</v>
      </c>
      <c r="T338" t="b">
        <v>0</v>
      </c>
      <c r="U338" t="b">
        <v>0</v>
      </c>
      <c r="V338" t="b">
        <f t="shared" si="10"/>
        <v>1</v>
      </c>
      <c r="W338">
        <v>0</v>
      </c>
      <c r="Y338">
        <f t="shared" si="11"/>
        <v>0</v>
      </c>
    </row>
    <row r="339" spans="1:25" x14ac:dyDescent="0.3">
      <c r="A339" t="s">
        <v>1288</v>
      </c>
      <c r="B339" t="s">
        <v>287</v>
      </c>
      <c r="C339">
        <v>138.94999999999999</v>
      </c>
      <c r="D339" s="1">
        <v>45079.700497685182</v>
      </c>
      <c r="E339" t="s">
        <v>25</v>
      </c>
      <c r="F339" t="s">
        <v>466</v>
      </c>
      <c r="G339" t="s">
        <v>1289</v>
      </c>
      <c r="H339" t="s">
        <v>1290</v>
      </c>
      <c r="I339" t="s">
        <v>290</v>
      </c>
      <c r="J339" t="s">
        <v>45</v>
      </c>
      <c r="K339">
        <v>71</v>
      </c>
      <c r="L339" t="s">
        <v>82</v>
      </c>
      <c r="M339">
        <v>30</v>
      </c>
      <c r="N339">
        <v>1</v>
      </c>
      <c r="O339">
        <v>6752.92</v>
      </c>
      <c r="P339" s="1">
        <v>45600.339317129627</v>
      </c>
      <c r="Q339">
        <v>16</v>
      </c>
      <c r="R339" t="s">
        <v>54</v>
      </c>
      <c r="S339">
        <v>-0.54340064810641597</v>
      </c>
      <c r="T339" t="b">
        <v>0</v>
      </c>
      <c r="U339" t="b">
        <v>0</v>
      </c>
      <c r="V339" t="b">
        <f t="shared" si="10"/>
        <v>1</v>
      </c>
      <c r="W339">
        <v>0</v>
      </c>
      <c r="Y339">
        <f t="shared" si="11"/>
        <v>0</v>
      </c>
    </row>
    <row r="340" spans="1:25" x14ac:dyDescent="0.3">
      <c r="A340" t="s">
        <v>1291</v>
      </c>
      <c r="B340" t="s">
        <v>318</v>
      </c>
      <c r="C340">
        <v>33.89</v>
      </c>
      <c r="D340" s="1">
        <v>45240.674004629633</v>
      </c>
      <c r="E340" t="s">
        <v>25</v>
      </c>
      <c r="F340" t="s">
        <v>92</v>
      </c>
      <c r="G340" t="s">
        <v>1292</v>
      </c>
      <c r="H340" t="s">
        <v>1293</v>
      </c>
      <c r="I340" t="s">
        <v>1294</v>
      </c>
      <c r="J340" t="s">
        <v>81</v>
      </c>
      <c r="K340">
        <v>26</v>
      </c>
      <c r="L340" t="s">
        <v>46</v>
      </c>
      <c r="M340">
        <v>177</v>
      </c>
      <c r="N340">
        <v>1</v>
      </c>
      <c r="O340">
        <v>1444.75</v>
      </c>
      <c r="P340" s="1">
        <v>45600.34138888889</v>
      </c>
      <c r="Q340">
        <v>16</v>
      </c>
      <c r="R340" t="s">
        <v>54</v>
      </c>
      <c r="S340">
        <v>-0.90326141830437701</v>
      </c>
      <c r="T340" t="b">
        <v>0</v>
      </c>
      <c r="U340" t="b">
        <v>0</v>
      </c>
      <c r="V340" t="b">
        <f t="shared" si="10"/>
        <v>1</v>
      </c>
      <c r="W340">
        <v>0</v>
      </c>
      <c r="Y340">
        <f t="shared" si="11"/>
        <v>0</v>
      </c>
    </row>
    <row r="341" spans="1:25" x14ac:dyDescent="0.3">
      <c r="A341" t="s">
        <v>1295</v>
      </c>
      <c r="B341" t="s">
        <v>978</v>
      </c>
      <c r="C341">
        <v>23.71</v>
      </c>
      <c r="D341" s="1">
        <v>45187.670046296298</v>
      </c>
      <c r="E341" t="s">
        <v>25</v>
      </c>
      <c r="F341" t="s">
        <v>58</v>
      </c>
      <c r="G341" t="s">
        <v>293</v>
      </c>
      <c r="H341" t="s">
        <v>1296</v>
      </c>
      <c r="I341" t="s">
        <v>275</v>
      </c>
      <c r="J341" t="s">
        <v>81</v>
      </c>
      <c r="K341">
        <v>58</v>
      </c>
      <c r="L341" t="s">
        <v>31</v>
      </c>
      <c r="M341">
        <v>164</v>
      </c>
      <c r="N341">
        <v>1</v>
      </c>
      <c r="O341">
        <v>10788.89</v>
      </c>
      <c r="P341" s="1">
        <v>45600.339768518519</v>
      </c>
      <c r="Q341">
        <v>16</v>
      </c>
      <c r="R341" t="s">
        <v>47</v>
      </c>
      <c r="S341">
        <v>-0.93813085139608898</v>
      </c>
      <c r="T341" t="b">
        <v>0</v>
      </c>
      <c r="U341" t="b">
        <v>0</v>
      </c>
      <c r="V341" t="b">
        <f t="shared" si="10"/>
        <v>1</v>
      </c>
      <c r="W341">
        <v>0</v>
      </c>
      <c r="Y341">
        <f t="shared" si="11"/>
        <v>0</v>
      </c>
    </row>
    <row r="342" spans="1:25" x14ac:dyDescent="0.3">
      <c r="A342" t="s">
        <v>1297</v>
      </c>
      <c r="B342" t="s">
        <v>864</v>
      </c>
      <c r="C342">
        <v>1830</v>
      </c>
      <c r="D342" s="1">
        <v>44986.68886574074</v>
      </c>
      <c r="E342" t="s">
        <v>25</v>
      </c>
      <c r="F342" t="s">
        <v>250</v>
      </c>
      <c r="G342" t="s">
        <v>722</v>
      </c>
      <c r="H342" t="s">
        <v>953</v>
      </c>
      <c r="I342" t="s">
        <v>997</v>
      </c>
      <c r="J342" t="s">
        <v>45</v>
      </c>
      <c r="K342">
        <v>55</v>
      </c>
      <c r="L342" t="s">
        <v>89</v>
      </c>
      <c r="M342">
        <v>238</v>
      </c>
      <c r="N342">
        <v>1</v>
      </c>
      <c r="O342">
        <v>2235.6999999999998</v>
      </c>
      <c r="P342" s="1">
        <v>45600.34165509259</v>
      </c>
      <c r="Q342">
        <v>16</v>
      </c>
      <c r="R342" t="s">
        <v>74</v>
      </c>
      <c r="S342">
        <v>5.2489328322216</v>
      </c>
      <c r="T342" t="b">
        <v>1</v>
      </c>
      <c r="U342" t="b">
        <v>0</v>
      </c>
      <c r="V342" t="b">
        <f t="shared" si="10"/>
        <v>1</v>
      </c>
      <c r="W342">
        <v>1</v>
      </c>
      <c r="Y342">
        <f t="shared" si="11"/>
        <v>1</v>
      </c>
    </row>
    <row r="343" spans="1:25" x14ac:dyDescent="0.3">
      <c r="A343" t="s">
        <v>1298</v>
      </c>
      <c r="B343" t="s">
        <v>1094</v>
      </c>
      <c r="C343">
        <v>26.06</v>
      </c>
      <c r="D343" s="1">
        <v>45281.709305555552</v>
      </c>
      <c r="E343" t="s">
        <v>25</v>
      </c>
      <c r="F343" t="s">
        <v>26</v>
      </c>
      <c r="G343" t="s">
        <v>1299</v>
      </c>
      <c r="H343" t="s">
        <v>72</v>
      </c>
      <c r="I343" t="s">
        <v>1300</v>
      </c>
      <c r="J343" t="s">
        <v>30</v>
      </c>
      <c r="K343">
        <v>65</v>
      </c>
      <c r="L343" t="s">
        <v>31</v>
      </c>
      <c r="M343">
        <v>283</v>
      </c>
      <c r="N343">
        <v>1</v>
      </c>
      <c r="O343">
        <v>12893.63</v>
      </c>
      <c r="P343" s="1">
        <v>45600.341666666667</v>
      </c>
      <c r="Q343">
        <v>17</v>
      </c>
      <c r="R343" t="s">
        <v>141</v>
      </c>
      <c r="S343">
        <v>-0.93008142430713803</v>
      </c>
      <c r="T343" t="b">
        <v>0</v>
      </c>
      <c r="U343" t="b">
        <v>0</v>
      </c>
      <c r="V343" t="b">
        <f t="shared" si="10"/>
        <v>1</v>
      </c>
      <c r="W343">
        <v>0</v>
      </c>
      <c r="Y343">
        <f t="shared" si="11"/>
        <v>0</v>
      </c>
    </row>
    <row r="344" spans="1:25" x14ac:dyDescent="0.3">
      <c r="A344" t="s">
        <v>1301</v>
      </c>
      <c r="B344" t="s">
        <v>1302</v>
      </c>
      <c r="C344">
        <v>17.07</v>
      </c>
      <c r="D344" s="1">
        <v>45047.720277777778</v>
      </c>
      <c r="E344" t="s">
        <v>25</v>
      </c>
      <c r="F344" t="s">
        <v>153</v>
      </c>
      <c r="G344" t="s">
        <v>1303</v>
      </c>
      <c r="H344" t="s">
        <v>1304</v>
      </c>
      <c r="I344" t="s">
        <v>295</v>
      </c>
      <c r="J344" t="s">
        <v>81</v>
      </c>
      <c r="K344">
        <v>27</v>
      </c>
      <c r="L344" t="s">
        <v>89</v>
      </c>
      <c r="M344">
        <v>44</v>
      </c>
      <c r="N344">
        <v>1</v>
      </c>
      <c r="O344">
        <v>2798.15</v>
      </c>
      <c r="P344" s="1">
        <v>45600.341261574074</v>
      </c>
      <c r="Q344">
        <v>17</v>
      </c>
      <c r="R344" t="s">
        <v>47</v>
      </c>
      <c r="S344">
        <v>-0.96087476453252996</v>
      </c>
      <c r="T344" t="b">
        <v>0</v>
      </c>
      <c r="U344" t="b">
        <v>0</v>
      </c>
      <c r="V344" t="b">
        <f t="shared" si="10"/>
        <v>1</v>
      </c>
      <c r="W344">
        <v>0</v>
      </c>
      <c r="Y344">
        <f t="shared" si="11"/>
        <v>0</v>
      </c>
    </row>
    <row r="345" spans="1:25" x14ac:dyDescent="0.3">
      <c r="A345" t="s">
        <v>1305</v>
      </c>
      <c r="B345" t="s">
        <v>1306</v>
      </c>
      <c r="C345">
        <v>703.89</v>
      </c>
      <c r="D345" s="1">
        <v>45191.696006944447</v>
      </c>
      <c r="E345" t="s">
        <v>25</v>
      </c>
      <c r="F345" t="s">
        <v>250</v>
      </c>
      <c r="G345" t="s">
        <v>1307</v>
      </c>
      <c r="H345" t="s">
        <v>1308</v>
      </c>
      <c r="I345" t="s">
        <v>239</v>
      </c>
      <c r="J345" t="s">
        <v>45</v>
      </c>
      <c r="K345">
        <v>46</v>
      </c>
      <c r="L345" t="s">
        <v>89</v>
      </c>
      <c r="M345">
        <v>62</v>
      </c>
      <c r="N345">
        <v>1</v>
      </c>
      <c r="O345">
        <v>3583.67</v>
      </c>
      <c r="P345" s="1">
        <v>45600.338009259256</v>
      </c>
      <c r="Q345">
        <v>16</v>
      </c>
      <c r="R345" t="s">
        <v>54</v>
      </c>
      <c r="S345">
        <v>1.3916816240774399</v>
      </c>
      <c r="T345" t="b">
        <v>0</v>
      </c>
      <c r="U345" t="b">
        <v>0</v>
      </c>
      <c r="V345" t="b">
        <f t="shared" si="10"/>
        <v>1</v>
      </c>
      <c r="W345">
        <v>0</v>
      </c>
      <c r="Y345">
        <f t="shared" si="11"/>
        <v>0</v>
      </c>
    </row>
    <row r="346" spans="1:25" x14ac:dyDescent="0.3">
      <c r="A346" t="s">
        <v>1309</v>
      </c>
      <c r="B346" t="s">
        <v>802</v>
      </c>
      <c r="C346">
        <v>1271.9000000000001</v>
      </c>
      <c r="D346" s="1">
        <v>45166.696701388886</v>
      </c>
      <c r="E346" t="s">
        <v>25</v>
      </c>
      <c r="F346" t="s">
        <v>35</v>
      </c>
      <c r="G346" t="s">
        <v>1310</v>
      </c>
      <c r="H346" t="s">
        <v>1311</v>
      </c>
      <c r="I346" t="s">
        <v>101</v>
      </c>
      <c r="J346" t="s">
        <v>30</v>
      </c>
      <c r="K346">
        <v>47</v>
      </c>
      <c r="L346" t="s">
        <v>89</v>
      </c>
      <c r="M346">
        <v>155</v>
      </c>
      <c r="N346">
        <v>1</v>
      </c>
      <c r="O346">
        <v>2120.8000000000002</v>
      </c>
      <c r="P346" s="1">
        <v>45600.339895833335</v>
      </c>
      <c r="Q346">
        <v>16</v>
      </c>
      <c r="R346" t="s">
        <v>47</v>
      </c>
      <c r="S346">
        <v>3.3372795307987801</v>
      </c>
      <c r="T346" t="b">
        <v>1</v>
      </c>
      <c r="U346" t="b">
        <v>0</v>
      </c>
      <c r="V346" t="b">
        <f t="shared" si="10"/>
        <v>1</v>
      </c>
      <c r="W346">
        <v>1</v>
      </c>
      <c r="Y346">
        <f t="shared" si="11"/>
        <v>1</v>
      </c>
    </row>
    <row r="347" spans="1:25" x14ac:dyDescent="0.3">
      <c r="A347" t="s">
        <v>1312</v>
      </c>
      <c r="B347" t="s">
        <v>711</v>
      </c>
      <c r="C347">
        <v>26.55</v>
      </c>
      <c r="D347" s="1">
        <v>45189.725995370369</v>
      </c>
      <c r="E347" t="s">
        <v>25</v>
      </c>
      <c r="F347" t="s">
        <v>35</v>
      </c>
      <c r="G347" t="s">
        <v>618</v>
      </c>
      <c r="H347" t="s">
        <v>946</v>
      </c>
      <c r="I347" t="s">
        <v>527</v>
      </c>
      <c r="J347" t="s">
        <v>30</v>
      </c>
      <c r="K347">
        <v>77</v>
      </c>
      <c r="L347" t="s">
        <v>82</v>
      </c>
      <c r="M347">
        <v>228</v>
      </c>
      <c r="N347">
        <v>1</v>
      </c>
      <c r="O347">
        <v>3085.38</v>
      </c>
      <c r="P347" s="1">
        <v>45600.338460648149</v>
      </c>
      <c r="Q347">
        <v>17</v>
      </c>
      <c r="R347" t="s">
        <v>74</v>
      </c>
      <c r="S347">
        <v>-0.92840303312688799</v>
      </c>
      <c r="T347" t="b">
        <v>0</v>
      </c>
      <c r="U347" t="b">
        <v>0</v>
      </c>
      <c r="V347" t="b">
        <f t="shared" si="10"/>
        <v>1</v>
      </c>
      <c r="W347">
        <v>0</v>
      </c>
      <c r="Y347">
        <f t="shared" si="11"/>
        <v>0</v>
      </c>
    </row>
    <row r="348" spans="1:25" x14ac:dyDescent="0.3">
      <c r="A348" t="s">
        <v>1313</v>
      </c>
      <c r="B348" t="s">
        <v>1314</v>
      </c>
      <c r="C348">
        <v>147.4</v>
      </c>
      <c r="D348" s="1">
        <v>45086.674201388887</v>
      </c>
      <c r="E348" t="s">
        <v>25</v>
      </c>
      <c r="F348" t="s">
        <v>236</v>
      </c>
      <c r="G348" t="s">
        <v>1315</v>
      </c>
      <c r="H348" t="s">
        <v>79</v>
      </c>
      <c r="I348" t="s">
        <v>665</v>
      </c>
      <c r="J348" t="s">
        <v>81</v>
      </c>
      <c r="K348">
        <v>42</v>
      </c>
      <c r="L348" t="s">
        <v>89</v>
      </c>
      <c r="M348">
        <v>259</v>
      </c>
      <c r="N348">
        <v>1</v>
      </c>
      <c r="O348">
        <v>6797.71</v>
      </c>
      <c r="P348" s="1">
        <v>45600.338402777779</v>
      </c>
      <c r="Q348">
        <v>16</v>
      </c>
      <c r="R348" t="s">
        <v>54</v>
      </c>
      <c r="S348">
        <v>-0.51445696346742198</v>
      </c>
      <c r="T348" t="b">
        <v>0</v>
      </c>
      <c r="U348" t="b">
        <v>0</v>
      </c>
      <c r="V348" t="b">
        <f t="shared" si="10"/>
        <v>1</v>
      </c>
      <c r="W348">
        <v>0</v>
      </c>
      <c r="Y348">
        <f t="shared" si="11"/>
        <v>0</v>
      </c>
    </row>
    <row r="349" spans="1:25" x14ac:dyDescent="0.3">
      <c r="A349" t="s">
        <v>1316</v>
      </c>
      <c r="B349" t="s">
        <v>1317</v>
      </c>
      <c r="C349">
        <v>202.11</v>
      </c>
      <c r="D349" s="1">
        <v>45015.673217592594</v>
      </c>
      <c r="E349" t="s">
        <v>25</v>
      </c>
      <c r="F349" t="s">
        <v>104</v>
      </c>
      <c r="G349" t="s">
        <v>1318</v>
      </c>
      <c r="H349" t="s">
        <v>1319</v>
      </c>
      <c r="I349" t="s">
        <v>275</v>
      </c>
      <c r="J349" t="s">
        <v>30</v>
      </c>
      <c r="K349">
        <v>27</v>
      </c>
      <c r="L349" t="s">
        <v>46</v>
      </c>
      <c r="M349">
        <v>18</v>
      </c>
      <c r="N349">
        <v>1</v>
      </c>
      <c r="O349">
        <v>746.47</v>
      </c>
      <c r="P349" s="1">
        <v>45600.340289351851</v>
      </c>
      <c r="Q349">
        <v>16</v>
      </c>
      <c r="R349" t="s">
        <v>141</v>
      </c>
      <c r="S349">
        <v>-0.32705945026039301</v>
      </c>
      <c r="T349" t="b">
        <v>0</v>
      </c>
      <c r="U349" t="b">
        <v>0</v>
      </c>
      <c r="V349" t="b">
        <f t="shared" si="10"/>
        <v>1</v>
      </c>
      <c r="W349">
        <v>0</v>
      </c>
      <c r="Y349">
        <f t="shared" si="11"/>
        <v>0</v>
      </c>
    </row>
    <row r="350" spans="1:25" x14ac:dyDescent="0.3">
      <c r="A350" t="s">
        <v>1320</v>
      </c>
      <c r="B350" t="s">
        <v>1321</v>
      </c>
      <c r="C350">
        <v>308.42</v>
      </c>
      <c r="D350" s="1">
        <v>45048.67664351852</v>
      </c>
      <c r="E350" t="s">
        <v>25</v>
      </c>
      <c r="F350" t="s">
        <v>92</v>
      </c>
      <c r="G350" t="s">
        <v>625</v>
      </c>
      <c r="H350" t="s">
        <v>1322</v>
      </c>
      <c r="I350" t="s">
        <v>556</v>
      </c>
      <c r="J350" t="s">
        <v>81</v>
      </c>
      <c r="K350">
        <v>75</v>
      </c>
      <c r="L350" t="s">
        <v>82</v>
      </c>
      <c r="M350">
        <v>39</v>
      </c>
      <c r="N350">
        <v>1</v>
      </c>
      <c r="O350">
        <v>5427.81</v>
      </c>
      <c r="P350" s="1">
        <v>45600.337893518517</v>
      </c>
      <c r="Q350">
        <v>16</v>
      </c>
      <c r="R350" t="s">
        <v>32</v>
      </c>
      <c r="S350">
        <v>3.7082930091265398E-2</v>
      </c>
      <c r="T350" t="b">
        <v>0</v>
      </c>
      <c r="U350" t="b">
        <v>0</v>
      </c>
      <c r="V350" t="b">
        <f t="shared" si="10"/>
        <v>1</v>
      </c>
      <c r="W350">
        <v>0</v>
      </c>
      <c r="Y350">
        <f t="shared" si="11"/>
        <v>0</v>
      </c>
    </row>
    <row r="351" spans="1:25" x14ac:dyDescent="0.3">
      <c r="A351" t="s">
        <v>1323</v>
      </c>
      <c r="B351" t="s">
        <v>1324</v>
      </c>
      <c r="C351">
        <v>11.18</v>
      </c>
      <c r="D351" s="1">
        <v>44984.694074074076</v>
      </c>
      <c r="E351" t="s">
        <v>25</v>
      </c>
      <c r="F351" t="s">
        <v>185</v>
      </c>
      <c r="G351" t="s">
        <v>1011</v>
      </c>
      <c r="H351" t="s">
        <v>1008</v>
      </c>
      <c r="I351" t="s">
        <v>88</v>
      </c>
      <c r="J351" t="s">
        <v>30</v>
      </c>
      <c r="K351">
        <v>53</v>
      </c>
      <c r="L351" t="s">
        <v>89</v>
      </c>
      <c r="M351">
        <v>144</v>
      </c>
      <c r="N351">
        <v>1</v>
      </c>
      <c r="O351">
        <v>7467.3</v>
      </c>
      <c r="P351" s="1">
        <v>45600.340937499997</v>
      </c>
      <c r="Q351">
        <v>16</v>
      </c>
      <c r="R351" t="s">
        <v>47</v>
      </c>
      <c r="S351">
        <v>-0.98104971157675203</v>
      </c>
      <c r="T351" t="b">
        <v>0</v>
      </c>
      <c r="U351" t="b">
        <v>0</v>
      </c>
      <c r="V351" t="b">
        <f t="shared" si="10"/>
        <v>1</v>
      </c>
      <c r="W351">
        <v>0</v>
      </c>
      <c r="Y351">
        <f t="shared" si="11"/>
        <v>0</v>
      </c>
    </row>
    <row r="352" spans="1:25" x14ac:dyDescent="0.3">
      <c r="A352" t="s">
        <v>1325</v>
      </c>
      <c r="B352" t="s">
        <v>1326</v>
      </c>
      <c r="C352">
        <v>294.14999999999998</v>
      </c>
      <c r="D352" s="1">
        <v>44959.680219907408</v>
      </c>
      <c r="E352" t="s">
        <v>25</v>
      </c>
      <c r="F352" t="s">
        <v>571</v>
      </c>
      <c r="G352" t="s">
        <v>1327</v>
      </c>
      <c r="H352" t="s">
        <v>1328</v>
      </c>
      <c r="I352" t="s">
        <v>80</v>
      </c>
      <c r="J352" t="s">
        <v>45</v>
      </c>
      <c r="K352">
        <v>38</v>
      </c>
      <c r="L352" t="s">
        <v>89</v>
      </c>
      <c r="M352">
        <v>136</v>
      </c>
      <c r="N352">
        <v>1</v>
      </c>
      <c r="O352">
        <v>6362.16</v>
      </c>
      <c r="P352" s="1">
        <v>45600.338425925926</v>
      </c>
      <c r="Q352">
        <v>16</v>
      </c>
      <c r="R352" t="s">
        <v>141</v>
      </c>
      <c r="S352">
        <v>-1.1795931423344499E-2</v>
      </c>
      <c r="T352" t="b">
        <v>0</v>
      </c>
      <c r="U352" t="b">
        <v>0</v>
      </c>
      <c r="V352" t="b">
        <f t="shared" si="10"/>
        <v>1</v>
      </c>
      <c r="W352">
        <v>0</v>
      </c>
      <c r="Y352">
        <f t="shared" si="11"/>
        <v>0</v>
      </c>
    </row>
    <row r="353" spans="1:25" x14ac:dyDescent="0.3">
      <c r="A353" t="s">
        <v>1329</v>
      </c>
      <c r="B353" t="s">
        <v>308</v>
      </c>
      <c r="C353">
        <v>29.58</v>
      </c>
      <c r="D353" s="1">
        <v>45229.746053240742</v>
      </c>
      <c r="E353" t="s">
        <v>25</v>
      </c>
      <c r="F353" t="s">
        <v>534</v>
      </c>
      <c r="G353" t="s">
        <v>1330</v>
      </c>
      <c r="H353" t="s">
        <v>1331</v>
      </c>
      <c r="I353" t="s">
        <v>399</v>
      </c>
      <c r="J353" t="s">
        <v>81</v>
      </c>
      <c r="K353">
        <v>54</v>
      </c>
      <c r="L353" t="s">
        <v>89</v>
      </c>
      <c r="M353">
        <v>121</v>
      </c>
      <c r="N353">
        <v>1</v>
      </c>
      <c r="O353">
        <v>8345.26</v>
      </c>
      <c r="P353" s="1">
        <v>45600.340983796297</v>
      </c>
      <c r="Q353">
        <v>17</v>
      </c>
      <c r="R353" t="s">
        <v>47</v>
      </c>
      <c r="S353">
        <v>-0.91802441011432601</v>
      </c>
      <c r="T353" t="b">
        <v>0</v>
      </c>
      <c r="U353" t="b">
        <v>0</v>
      </c>
      <c r="V353" t="b">
        <f t="shared" si="10"/>
        <v>1</v>
      </c>
      <c r="W353">
        <v>0</v>
      </c>
      <c r="Y353">
        <f t="shared" si="11"/>
        <v>0</v>
      </c>
    </row>
    <row r="354" spans="1:25" x14ac:dyDescent="0.3">
      <c r="A354" t="s">
        <v>1332</v>
      </c>
      <c r="B354" t="s">
        <v>224</v>
      </c>
      <c r="C354">
        <v>139.44999999999999</v>
      </c>
      <c r="D354" s="1">
        <v>45117.696585648147</v>
      </c>
      <c r="E354" t="s">
        <v>25</v>
      </c>
      <c r="F354" t="s">
        <v>401</v>
      </c>
      <c r="G354" t="s">
        <v>923</v>
      </c>
      <c r="H354" t="s">
        <v>555</v>
      </c>
      <c r="I354" t="s">
        <v>445</v>
      </c>
      <c r="J354" t="s">
        <v>45</v>
      </c>
      <c r="K354">
        <v>27</v>
      </c>
      <c r="L354" t="s">
        <v>46</v>
      </c>
      <c r="M354">
        <v>31</v>
      </c>
      <c r="N354">
        <v>1</v>
      </c>
      <c r="O354">
        <v>1305.76</v>
      </c>
      <c r="P354" s="1">
        <v>45600.340370370373</v>
      </c>
      <c r="Q354">
        <v>16</v>
      </c>
      <c r="R354" t="s">
        <v>47</v>
      </c>
      <c r="S354">
        <v>-0.541688004044937</v>
      </c>
      <c r="T354" t="b">
        <v>0</v>
      </c>
      <c r="U354" t="b">
        <v>0</v>
      </c>
      <c r="V354" t="b">
        <f t="shared" si="10"/>
        <v>1</v>
      </c>
      <c r="W354">
        <v>0</v>
      </c>
      <c r="Y354">
        <f t="shared" si="11"/>
        <v>0</v>
      </c>
    </row>
    <row r="355" spans="1:25" x14ac:dyDescent="0.3">
      <c r="A355" t="s">
        <v>1333</v>
      </c>
      <c r="B355" t="s">
        <v>613</v>
      </c>
      <c r="C355">
        <v>432.63</v>
      </c>
      <c r="D355" s="1">
        <v>45107.715717592589</v>
      </c>
      <c r="E355" t="s">
        <v>25</v>
      </c>
      <c r="F355" t="s">
        <v>534</v>
      </c>
      <c r="G355" t="s">
        <v>551</v>
      </c>
      <c r="H355" t="s">
        <v>1334</v>
      </c>
      <c r="I355" t="s">
        <v>1222</v>
      </c>
      <c r="J355" t="s">
        <v>30</v>
      </c>
      <c r="K355">
        <v>29</v>
      </c>
      <c r="L355" t="s">
        <v>31</v>
      </c>
      <c r="M355">
        <v>137</v>
      </c>
      <c r="N355">
        <v>1</v>
      </c>
      <c r="O355">
        <v>13648.36</v>
      </c>
      <c r="P355" s="1">
        <v>45600.340555555558</v>
      </c>
      <c r="Q355">
        <v>17</v>
      </c>
      <c r="R355" t="s">
        <v>54</v>
      </c>
      <c r="S355">
        <v>0.46253796784387002</v>
      </c>
      <c r="T355" t="b">
        <v>0</v>
      </c>
      <c r="U355" t="b">
        <v>0</v>
      </c>
      <c r="V355" t="b">
        <f t="shared" si="10"/>
        <v>1</v>
      </c>
      <c r="W355">
        <v>0</v>
      </c>
      <c r="Y355">
        <f t="shared" si="11"/>
        <v>0</v>
      </c>
    </row>
    <row r="356" spans="1:25" x14ac:dyDescent="0.3">
      <c r="A356" t="s">
        <v>1335</v>
      </c>
      <c r="B356" t="s">
        <v>649</v>
      </c>
      <c r="C356">
        <v>131.43</v>
      </c>
      <c r="D356" s="1">
        <v>44958.782870370371</v>
      </c>
      <c r="E356" t="s">
        <v>25</v>
      </c>
      <c r="F356" t="s">
        <v>262</v>
      </c>
      <c r="G356" t="s">
        <v>1336</v>
      </c>
      <c r="H356" t="s">
        <v>555</v>
      </c>
      <c r="I356" t="s">
        <v>213</v>
      </c>
      <c r="J356" t="s">
        <v>45</v>
      </c>
      <c r="K356">
        <v>43</v>
      </c>
      <c r="L356" t="s">
        <v>31</v>
      </c>
      <c r="M356">
        <v>65</v>
      </c>
      <c r="N356">
        <v>1</v>
      </c>
      <c r="O356">
        <v>1337.5</v>
      </c>
      <c r="P356" s="1">
        <v>45600.341805555552</v>
      </c>
      <c r="Q356">
        <v>18</v>
      </c>
      <c r="R356" t="s">
        <v>74</v>
      </c>
      <c r="S356">
        <v>-0.56915881479106001</v>
      </c>
      <c r="T356" t="b">
        <v>0</v>
      </c>
      <c r="U356" t="b">
        <v>0</v>
      </c>
      <c r="V356" t="b">
        <f t="shared" si="10"/>
        <v>1</v>
      </c>
      <c r="W356">
        <v>0</v>
      </c>
      <c r="Y356">
        <f t="shared" si="11"/>
        <v>0</v>
      </c>
    </row>
    <row r="357" spans="1:25" x14ac:dyDescent="0.3">
      <c r="A357" t="s">
        <v>1337</v>
      </c>
      <c r="B357" t="s">
        <v>327</v>
      </c>
      <c r="C357">
        <v>516.72</v>
      </c>
      <c r="D357" s="1">
        <v>45208.779907407406</v>
      </c>
      <c r="E357" t="s">
        <v>25</v>
      </c>
      <c r="F357" t="s">
        <v>41</v>
      </c>
      <c r="G357" t="s">
        <v>595</v>
      </c>
      <c r="H357" t="s">
        <v>1338</v>
      </c>
      <c r="I357" t="s">
        <v>117</v>
      </c>
      <c r="J357" t="s">
        <v>30</v>
      </c>
      <c r="K357">
        <v>42</v>
      </c>
      <c r="L357" t="s">
        <v>89</v>
      </c>
      <c r="M357">
        <v>128</v>
      </c>
      <c r="N357">
        <v>1</v>
      </c>
      <c r="O357">
        <v>2015.69</v>
      </c>
      <c r="P357" s="1">
        <v>45600.341377314813</v>
      </c>
      <c r="Q357">
        <v>18</v>
      </c>
      <c r="R357" t="s">
        <v>47</v>
      </c>
      <c r="S357">
        <v>0.75057044610340395</v>
      </c>
      <c r="T357" t="b">
        <v>0</v>
      </c>
      <c r="U357" t="b">
        <v>0</v>
      </c>
      <c r="V357" t="b">
        <f t="shared" si="10"/>
        <v>1</v>
      </c>
      <c r="W357">
        <v>0</v>
      </c>
      <c r="Y357">
        <f t="shared" si="11"/>
        <v>0</v>
      </c>
    </row>
    <row r="358" spans="1:25" x14ac:dyDescent="0.3">
      <c r="A358" t="s">
        <v>1339</v>
      </c>
      <c r="B358" t="s">
        <v>1340</v>
      </c>
      <c r="C358">
        <v>121.82</v>
      </c>
      <c r="D358" s="1">
        <v>44964.722500000003</v>
      </c>
      <c r="E358" t="s">
        <v>25</v>
      </c>
      <c r="F358" t="s">
        <v>534</v>
      </c>
      <c r="G358" t="s">
        <v>1341</v>
      </c>
      <c r="H358" t="s">
        <v>343</v>
      </c>
      <c r="I358" t="s">
        <v>222</v>
      </c>
      <c r="J358" t="s">
        <v>45</v>
      </c>
      <c r="K358">
        <v>69</v>
      </c>
      <c r="L358" t="s">
        <v>31</v>
      </c>
      <c r="M358">
        <v>123</v>
      </c>
      <c r="N358">
        <v>3</v>
      </c>
      <c r="O358">
        <v>8354.5400000000009</v>
      </c>
      <c r="P358" s="1">
        <v>45600.338969907411</v>
      </c>
      <c r="Q358">
        <v>17</v>
      </c>
      <c r="R358" t="s">
        <v>32</v>
      </c>
      <c r="S358">
        <v>-0.60207583365268602</v>
      </c>
      <c r="T358" t="b">
        <v>0</v>
      </c>
      <c r="U358" t="b">
        <v>1</v>
      </c>
      <c r="V358" t="b">
        <f t="shared" si="10"/>
        <v>1</v>
      </c>
      <c r="W358">
        <v>1</v>
      </c>
      <c r="Y358">
        <f t="shared" si="11"/>
        <v>0</v>
      </c>
    </row>
    <row r="359" spans="1:25" x14ac:dyDescent="0.3">
      <c r="A359" t="s">
        <v>1342</v>
      </c>
      <c r="B359" t="s">
        <v>103</v>
      </c>
      <c r="C359">
        <v>374.5</v>
      </c>
      <c r="D359" s="1">
        <v>45131.698275462964</v>
      </c>
      <c r="E359" t="s">
        <v>57</v>
      </c>
      <c r="F359" t="s">
        <v>225</v>
      </c>
      <c r="G359" t="s">
        <v>1343</v>
      </c>
      <c r="H359" t="s">
        <v>360</v>
      </c>
      <c r="I359" t="s">
        <v>53</v>
      </c>
      <c r="J359" t="s">
        <v>81</v>
      </c>
      <c r="K359">
        <v>26</v>
      </c>
      <c r="L359" t="s">
        <v>46</v>
      </c>
      <c r="M359">
        <v>178</v>
      </c>
      <c r="N359">
        <v>1</v>
      </c>
      <c r="O359">
        <v>1671.51</v>
      </c>
      <c r="P359" s="1">
        <v>45600.339317129627</v>
      </c>
      <c r="Q359">
        <v>16</v>
      </c>
      <c r="R359" t="s">
        <v>47</v>
      </c>
      <c r="S359">
        <v>0.263425969256326</v>
      </c>
      <c r="T359" t="b">
        <v>0</v>
      </c>
      <c r="U359" t="b">
        <v>0</v>
      </c>
      <c r="V359" t="b">
        <f t="shared" si="10"/>
        <v>1</v>
      </c>
      <c r="W359">
        <v>0</v>
      </c>
      <c r="Y359">
        <f t="shared" si="11"/>
        <v>0</v>
      </c>
    </row>
    <row r="360" spans="1:25" x14ac:dyDescent="0.3">
      <c r="A360" t="s">
        <v>1344</v>
      </c>
      <c r="B360" t="s">
        <v>769</v>
      </c>
      <c r="C360">
        <v>166.13</v>
      </c>
      <c r="D360" s="1">
        <v>45175.709606481483</v>
      </c>
      <c r="E360" t="s">
        <v>25</v>
      </c>
      <c r="F360" t="s">
        <v>309</v>
      </c>
      <c r="G360" t="s">
        <v>1307</v>
      </c>
      <c r="H360" t="s">
        <v>1026</v>
      </c>
      <c r="I360" t="s">
        <v>772</v>
      </c>
      <c r="J360" t="s">
        <v>30</v>
      </c>
      <c r="K360">
        <v>68</v>
      </c>
      <c r="L360" t="s">
        <v>31</v>
      </c>
      <c r="M360">
        <v>227</v>
      </c>
      <c r="N360">
        <v>1</v>
      </c>
      <c r="O360">
        <v>11822.53</v>
      </c>
      <c r="P360" s="1">
        <v>45600.34175925926</v>
      </c>
      <c r="Q360">
        <v>17</v>
      </c>
      <c r="R360" t="s">
        <v>74</v>
      </c>
      <c r="S360">
        <v>-0.45030131692441899</v>
      </c>
      <c r="T360" t="b">
        <v>0</v>
      </c>
      <c r="U360" t="b">
        <v>0</v>
      </c>
      <c r="V360" t="b">
        <f t="shared" si="10"/>
        <v>1</v>
      </c>
      <c r="W360">
        <v>0</v>
      </c>
      <c r="Y360">
        <f t="shared" si="11"/>
        <v>0</v>
      </c>
    </row>
    <row r="361" spans="1:25" x14ac:dyDescent="0.3">
      <c r="A361" t="s">
        <v>1345</v>
      </c>
      <c r="B361" t="s">
        <v>1346</v>
      </c>
      <c r="C361">
        <v>626.9</v>
      </c>
      <c r="D361" s="1">
        <v>45209.695937500001</v>
      </c>
      <c r="E361" t="s">
        <v>25</v>
      </c>
      <c r="F361" t="s">
        <v>278</v>
      </c>
      <c r="G361" t="s">
        <v>1347</v>
      </c>
      <c r="H361" t="s">
        <v>1348</v>
      </c>
      <c r="I361" t="s">
        <v>123</v>
      </c>
      <c r="J361" t="s">
        <v>30</v>
      </c>
      <c r="K361">
        <v>23</v>
      </c>
      <c r="L361" t="s">
        <v>46</v>
      </c>
      <c r="M361">
        <v>146</v>
      </c>
      <c r="N361">
        <v>1</v>
      </c>
      <c r="O361">
        <v>587.11</v>
      </c>
      <c r="P361" s="1">
        <v>45600.341319444444</v>
      </c>
      <c r="Q361">
        <v>16</v>
      </c>
      <c r="R361" t="s">
        <v>32</v>
      </c>
      <c r="S361">
        <v>1.1279686914909</v>
      </c>
      <c r="T361" t="b">
        <v>0</v>
      </c>
      <c r="U361" t="b">
        <v>0</v>
      </c>
      <c r="V361" t="b">
        <f t="shared" si="10"/>
        <v>1</v>
      </c>
      <c r="W361">
        <v>0</v>
      </c>
      <c r="Y361">
        <f t="shared" si="11"/>
        <v>0</v>
      </c>
    </row>
    <row r="362" spans="1:25" x14ac:dyDescent="0.3">
      <c r="A362" t="s">
        <v>1349</v>
      </c>
      <c r="B362" t="s">
        <v>542</v>
      </c>
      <c r="C362">
        <v>466.85</v>
      </c>
      <c r="D362" s="1">
        <v>45124.706412037034</v>
      </c>
      <c r="E362" t="s">
        <v>25</v>
      </c>
      <c r="F362" t="s">
        <v>131</v>
      </c>
      <c r="G362" t="s">
        <v>1350</v>
      </c>
      <c r="H362" t="s">
        <v>957</v>
      </c>
      <c r="I362" t="s">
        <v>95</v>
      </c>
      <c r="J362" t="s">
        <v>81</v>
      </c>
      <c r="K362">
        <v>56</v>
      </c>
      <c r="L362" t="s">
        <v>82</v>
      </c>
      <c r="M362">
        <v>165</v>
      </c>
      <c r="N362">
        <v>1</v>
      </c>
      <c r="O362">
        <v>5422.53</v>
      </c>
      <c r="P362" s="1">
        <v>45600.339988425927</v>
      </c>
      <c r="Q362">
        <v>16</v>
      </c>
      <c r="R362" t="s">
        <v>47</v>
      </c>
      <c r="S362">
        <v>0.57975132741149105</v>
      </c>
      <c r="T362" t="b">
        <v>0</v>
      </c>
      <c r="U362" t="b">
        <v>0</v>
      </c>
      <c r="V362" t="b">
        <f t="shared" si="10"/>
        <v>1</v>
      </c>
      <c r="W362">
        <v>0</v>
      </c>
      <c r="Y362">
        <f t="shared" si="11"/>
        <v>0</v>
      </c>
    </row>
    <row r="363" spans="1:25" x14ac:dyDescent="0.3">
      <c r="A363" t="s">
        <v>1351</v>
      </c>
      <c r="B363" t="s">
        <v>1352</v>
      </c>
      <c r="C363">
        <v>788.84</v>
      </c>
      <c r="D363" s="1">
        <v>45063.708726851852</v>
      </c>
      <c r="E363" t="s">
        <v>25</v>
      </c>
      <c r="F363" t="s">
        <v>438</v>
      </c>
      <c r="G363" t="s">
        <v>1353</v>
      </c>
      <c r="H363" t="s">
        <v>1354</v>
      </c>
      <c r="I363" t="s">
        <v>301</v>
      </c>
      <c r="J363" t="s">
        <v>45</v>
      </c>
      <c r="K363">
        <v>58</v>
      </c>
      <c r="L363" t="s">
        <v>82</v>
      </c>
      <c r="M363">
        <v>231</v>
      </c>
      <c r="N363">
        <v>1</v>
      </c>
      <c r="O363">
        <v>1913.73</v>
      </c>
      <c r="P363" s="1">
        <v>45600.340069444443</v>
      </c>
      <c r="Q363">
        <v>17</v>
      </c>
      <c r="R363" t="s">
        <v>74</v>
      </c>
      <c r="S363">
        <v>1.6826598501227099</v>
      </c>
      <c r="T363" t="b">
        <v>0</v>
      </c>
      <c r="U363" t="b">
        <v>0</v>
      </c>
      <c r="V363" t="b">
        <f t="shared" si="10"/>
        <v>1</v>
      </c>
      <c r="W363">
        <v>0</v>
      </c>
      <c r="Y363">
        <f t="shared" si="11"/>
        <v>0</v>
      </c>
    </row>
    <row r="364" spans="1:25" x14ac:dyDescent="0.3">
      <c r="A364" t="s">
        <v>1355</v>
      </c>
      <c r="B364" t="s">
        <v>1356</v>
      </c>
      <c r="C364">
        <v>873.65</v>
      </c>
      <c r="D364" s="1">
        <v>45008.693518518521</v>
      </c>
      <c r="E364" t="s">
        <v>57</v>
      </c>
      <c r="F364" t="s">
        <v>64</v>
      </c>
      <c r="G364" t="s">
        <v>840</v>
      </c>
      <c r="H364" t="s">
        <v>1357</v>
      </c>
      <c r="I364" t="s">
        <v>1358</v>
      </c>
      <c r="J364" t="s">
        <v>45</v>
      </c>
      <c r="K364">
        <v>37</v>
      </c>
      <c r="L364" t="s">
        <v>31</v>
      </c>
      <c r="M364">
        <v>59</v>
      </c>
      <c r="N364">
        <v>1</v>
      </c>
      <c r="O364">
        <v>12139.83</v>
      </c>
      <c r="P364" s="1">
        <v>45600.340243055558</v>
      </c>
      <c r="Q364">
        <v>16</v>
      </c>
      <c r="R364" t="s">
        <v>141</v>
      </c>
      <c r="S364">
        <v>1.9731585358307799</v>
      </c>
      <c r="T364" t="b">
        <v>0</v>
      </c>
      <c r="U364" t="b">
        <v>0</v>
      </c>
      <c r="V364" t="b">
        <f t="shared" si="10"/>
        <v>1</v>
      </c>
      <c r="W364">
        <v>0</v>
      </c>
      <c r="Y364">
        <f t="shared" si="11"/>
        <v>0</v>
      </c>
    </row>
    <row r="365" spans="1:25" x14ac:dyDescent="0.3">
      <c r="A365" t="s">
        <v>1359</v>
      </c>
      <c r="B365" t="s">
        <v>241</v>
      </c>
      <c r="C365">
        <v>525.28</v>
      </c>
      <c r="D365" s="1">
        <v>45019.69263888889</v>
      </c>
      <c r="E365" t="s">
        <v>25</v>
      </c>
      <c r="F365" t="s">
        <v>534</v>
      </c>
      <c r="G365" t="s">
        <v>1360</v>
      </c>
      <c r="H365" t="s">
        <v>1361</v>
      </c>
      <c r="I365" t="s">
        <v>1362</v>
      </c>
      <c r="J365" t="s">
        <v>30</v>
      </c>
      <c r="K365">
        <v>69</v>
      </c>
      <c r="L365" t="s">
        <v>82</v>
      </c>
      <c r="M365">
        <v>134</v>
      </c>
      <c r="N365">
        <v>1</v>
      </c>
      <c r="O365">
        <v>4693.6000000000004</v>
      </c>
      <c r="P365" s="1">
        <v>45600.34003472222</v>
      </c>
      <c r="Q365">
        <v>16</v>
      </c>
      <c r="R365" t="s">
        <v>47</v>
      </c>
      <c r="S365">
        <v>0.77989091243592401</v>
      </c>
      <c r="T365" t="b">
        <v>0</v>
      </c>
      <c r="U365" t="b">
        <v>0</v>
      </c>
      <c r="V365" t="b">
        <f t="shared" si="10"/>
        <v>1</v>
      </c>
      <c r="W365">
        <v>0</v>
      </c>
      <c r="Y365">
        <f t="shared" si="11"/>
        <v>0</v>
      </c>
    </row>
    <row r="366" spans="1:25" x14ac:dyDescent="0.3">
      <c r="A366" t="s">
        <v>1363</v>
      </c>
      <c r="B366" t="s">
        <v>661</v>
      </c>
      <c r="C366">
        <v>110.17</v>
      </c>
      <c r="D366" s="1">
        <v>45176.672361111108</v>
      </c>
      <c r="E366" t="s">
        <v>25</v>
      </c>
      <c r="F366" t="s">
        <v>50</v>
      </c>
      <c r="G366" t="s">
        <v>186</v>
      </c>
      <c r="H366" t="s">
        <v>1364</v>
      </c>
      <c r="I366" t="s">
        <v>67</v>
      </c>
      <c r="J366" t="s">
        <v>30</v>
      </c>
      <c r="K366">
        <v>30</v>
      </c>
      <c r="L366" t="s">
        <v>89</v>
      </c>
      <c r="M366">
        <v>137</v>
      </c>
      <c r="N366">
        <v>1</v>
      </c>
      <c r="O366">
        <v>464.2</v>
      </c>
      <c r="P366" s="1">
        <v>45600.341793981483</v>
      </c>
      <c r="Q366">
        <v>16</v>
      </c>
      <c r="R366" t="s">
        <v>141</v>
      </c>
      <c r="S366">
        <v>-0.641980440285146</v>
      </c>
      <c r="T366" t="b">
        <v>0</v>
      </c>
      <c r="U366" t="b">
        <v>0</v>
      </c>
      <c r="V366" t="b">
        <f t="shared" si="10"/>
        <v>1</v>
      </c>
      <c r="W366">
        <v>0</v>
      </c>
      <c r="Y366">
        <f t="shared" si="11"/>
        <v>0</v>
      </c>
    </row>
    <row r="367" spans="1:25" x14ac:dyDescent="0.3">
      <c r="A367" t="s">
        <v>1365</v>
      </c>
      <c r="B367" t="s">
        <v>591</v>
      </c>
      <c r="C367">
        <v>632.69000000000005</v>
      </c>
      <c r="D367" s="1">
        <v>45181.686550925922</v>
      </c>
      <c r="E367" t="s">
        <v>25</v>
      </c>
      <c r="F367" t="s">
        <v>126</v>
      </c>
      <c r="G367" t="s">
        <v>803</v>
      </c>
      <c r="H367" t="s">
        <v>1012</v>
      </c>
      <c r="I367" t="s">
        <v>491</v>
      </c>
      <c r="J367" t="s">
        <v>30</v>
      </c>
      <c r="K367">
        <v>80</v>
      </c>
      <c r="L367" t="s">
        <v>82</v>
      </c>
      <c r="M367">
        <v>76</v>
      </c>
      <c r="N367">
        <v>1</v>
      </c>
      <c r="O367">
        <v>4363.74</v>
      </c>
      <c r="P367" s="1">
        <v>45600.339884259258</v>
      </c>
      <c r="Q367">
        <v>16</v>
      </c>
      <c r="R367" t="s">
        <v>32</v>
      </c>
      <c r="S367">
        <v>1.14780110972283</v>
      </c>
      <c r="T367" t="b">
        <v>0</v>
      </c>
      <c r="U367" t="b">
        <v>0</v>
      </c>
      <c r="V367" t="b">
        <f t="shared" si="10"/>
        <v>1</v>
      </c>
      <c r="W367">
        <v>0</v>
      </c>
      <c r="Y367">
        <f t="shared" si="11"/>
        <v>0</v>
      </c>
    </row>
    <row r="368" spans="1:25" x14ac:dyDescent="0.3">
      <c r="A368" t="s">
        <v>1366</v>
      </c>
      <c r="B368" t="s">
        <v>762</v>
      </c>
      <c r="C368">
        <v>124.35</v>
      </c>
      <c r="D368" s="1">
        <v>45268.693923611114</v>
      </c>
      <c r="E368" t="s">
        <v>25</v>
      </c>
      <c r="F368" t="s">
        <v>64</v>
      </c>
      <c r="G368" t="s">
        <v>865</v>
      </c>
      <c r="H368" t="s">
        <v>247</v>
      </c>
      <c r="I368" t="s">
        <v>29</v>
      </c>
      <c r="J368" t="s">
        <v>30</v>
      </c>
      <c r="K368">
        <v>72</v>
      </c>
      <c r="L368" t="s">
        <v>82</v>
      </c>
      <c r="M368">
        <v>90</v>
      </c>
      <c r="N368">
        <v>1</v>
      </c>
      <c r="O368">
        <v>3319.76</v>
      </c>
      <c r="P368" s="1">
        <v>45600.341377314813</v>
      </c>
      <c r="Q368">
        <v>16</v>
      </c>
      <c r="R368" t="s">
        <v>54</v>
      </c>
      <c r="S368">
        <v>-0.59340985470160201</v>
      </c>
      <c r="T368" t="b">
        <v>0</v>
      </c>
      <c r="U368" t="b">
        <v>0</v>
      </c>
      <c r="V368" t="b">
        <f t="shared" si="10"/>
        <v>1</v>
      </c>
      <c r="W368">
        <v>0</v>
      </c>
      <c r="Y368">
        <f t="shared" si="11"/>
        <v>0</v>
      </c>
    </row>
    <row r="369" spans="1:25" x14ac:dyDescent="0.3">
      <c r="A369" t="s">
        <v>1367</v>
      </c>
      <c r="B369" t="s">
        <v>714</v>
      </c>
      <c r="C369">
        <v>43.85</v>
      </c>
      <c r="D369" s="1">
        <v>44998.684421296297</v>
      </c>
      <c r="E369" t="s">
        <v>25</v>
      </c>
      <c r="F369" t="s">
        <v>571</v>
      </c>
      <c r="G369" t="s">
        <v>1368</v>
      </c>
      <c r="H369" t="s">
        <v>66</v>
      </c>
      <c r="I369" t="s">
        <v>772</v>
      </c>
      <c r="J369" t="s">
        <v>30</v>
      </c>
      <c r="K369">
        <v>62</v>
      </c>
      <c r="L369" t="s">
        <v>82</v>
      </c>
      <c r="M369">
        <v>122</v>
      </c>
      <c r="N369">
        <v>1</v>
      </c>
      <c r="O369">
        <v>4356.9799999999996</v>
      </c>
      <c r="P369" s="1">
        <v>45600.338402777779</v>
      </c>
      <c r="Q369">
        <v>16</v>
      </c>
      <c r="R369" t="s">
        <v>47</v>
      </c>
      <c r="S369">
        <v>-0.86914554859971604</v>
      </c>
      <c r="T369" t="b">
        <v>0</v>
      </c>
      <c r="U369" t="b">
        <v>0</v>
      </c>
      <c r="V369" t="b">
        <f t="shared" si="10"/>
        <v>1</v>
      </c>
      <c r="W369">
        <v>0</v>
      </c>
      <c r="Y369">
        <f t="shared" si="11"/>
        <v>0</v>
      </c>
    </row>
    <row r="370" spans="1:25" x14ac:dyDescent="0.3">
      <c r="A370" t="s">
        <v>1369</v>
      </c>
      <c r="B370" t="s">
        <v>1370</v>
      </c>
      <c r="C370">
        <v>283.81</v>
      </c>
      <c r="D370" s="1">
        <v>44994.688819444447</v>
      </c>
      <c r="E370" t="s">
        <v>25</v>
      </c>
      <c r="F370" t="s">
        <v>26</v>
      </c>
      <c r="G370" t="s">
        <v>1371</v>
      </c>
      <c r="H370" t="s">
        <v>1372</v>
      </c>
      <c r="I370" t="s">
        <v>259</v>
      </c>
      <c r="J370" t="s">
        <v>81</v>
      </c>
      <c r="K370">
        <v>28</v>
      </c>
      <c r="L370" t="s">
        <v>46</v>
      </c>
      <c r="M370">
        <v>29</v>
      </c>
      <c r="N370">
        <v>1</v>
      </c>
      <c r="O370">
        <v>1519.35</v>
      </c>
      <c r="P370" s="1">
        <v>45600.340810185182</v>
      </c>
      <c r="Q370">
        <v>16</v>
      </c>
      <c r="R370" t="s">
        <v>141</v>
      </c>
      <c r="S370">
        <v>-4.7213410614729501E-2</v>
      </c>
      <c r="T370" t="b">
        <v>0</v>
      </c>
      <c r="U370" t="b">
        <v>0</v>
      </c>
      <c r="V370" t="b">
        <f t="shared" si="10"/>
        <v>1</v>
      </c>
      <c r="W370">
        <v>0</v>
      </c>
      <c r="Y370">
        <f t="shared" si="11"/>
        <v>0</v>
      </c>
    </row>
    <row r="371" spans="1:25" x14ac:dyDescent="0.3">
      <c r="A371" t="s">
        <v>1373</v>
      </c>
      <c r="B371" t="s">
        <v>1374</v>
      </c>
      <c r="C371">
        <v>168.53</v>
      </c>
      <c r="D371" s="1">
        <v>45091.687986111108</v>
      </c>
      <c r="E371" t="s">
        <v>25</v>
      </c>
      <c r="F371" t="s">
        <v>225</v>
      </c>
      <c r="G371" t="s">
        <v>1375</v>
      </c>
      <c r="H371" t="s">
        <v>1376</v>
      </c>
      <c r="I371" t="s">
        <v>753</v>
      </c>
      <c r="J371" t="s">
        <v>30</v>
      </c>
      <c r="K371">
        <v>71</v>
      </c>
      <c r="L371" t="s">
        <v>82</v>
      </c>
      <c r="M371">
        <v>112</v>
      </c>
      <c r="N371">
        <v>1</v>
      </c>
      <c r="O371">
        <v>5962.58</v>
      </c>
      <c r="P371" s="1">
        <v>45600.341770833336</v>
      </c>
      <c r="Q371">
        <v>16</v>
      </c>
      <c r="R371" t="s">
        <v>74</v>
      </c>
      <c r="S371">
        <v>-0.44208062542931997</v>
      </c>
      <c r="T371" t="b">
        <v>0</v>
      </c>
      <c r="U371" t="b">
        <v>0</v>
      </c>
      <c r="V371" t="b">
        <f t="shared" si="10"/>
        <v>1</v>
      </c>
      <c r="W371">
        <v>0</v>
      </c>
      <c r="Y371">
        <f t="shared" si="11"/>
        <v>0</v>
      </c>
    </row>
    <row r="372" spans="1:25" x14ac:dyDescent="0.3">
      <c r="A372" t="s">
        <v>1377</v>
      </c>
      <c r="B372" t="s">
        <v>654</v>
      </c>
      <c r="C372">
        <v>218.59</v>
      </c>
      <c r="D372" s="1">
        <v>45257.696851851855</v>
      </c>
      <c r="E372" t="s">
        <v>57</v>
      </c>
      <c r="F372" t="s">
        <v>126</v>
      </c>
      <c r="G372" t="s">
        <v>1378</v>
      </c>
      <c r="H372" t="s">
        <v>1379</v>
      </c>
      <c r="I372" t="s">
        <v>782</v>
      </c>
      <c r="J372" t="s">
        <v>81</v>
      </c>
      <c r="K372">
        <v>40</v>
      </c>
      <c r="L372" t="s">
        <v>89</v>
      </c>
      <c r="M372">
        <v>123</v>
      </c>
      <c r="N372">
        <v>1</v>
      </c>
      <c r="O372">
        <v>6699.23</v>
      </c>
      <c r="P372" s="1">
        <v>45600.338333333333</v>
      </c>
      <c r="Q372">
        <v>16</v>
      </c>
      <c r="R372" t="s">
        <v>47</v>
      </c>
      <c r="S372">
        <v>-0.27061070199404602</v>
      </c>
      <c r="T372" t="b">
        <v>0</v>
      </c>
      <c r="U372" t="b">
        <v>0</v>
      </c>
      <c r="V372" t="b">
        <f t="shared" si="10"/>
        <v>1</v>
      </c>
      <c r="W372">
        <v>0</v>
      </c>
      <c r="Y372">
        <f t="shared" si="11"/>
        <v>0</v>
      </c>
    </row>
    <row r="373" spans="1:25" x14ac:dyDescent="0.3">
      <c r="A373" t="s">
        <v>1380</v>
      </c>
      <c r="B373" t="s">
        <v>1381</v>
      </c>
      <c r="C373">
        <v>132.84</v>
      </c>
      <c r="D373" s="1">
        <v>45159.686307870368</v>
      </c>
      <c r="E373" t="s">
        <v>25</v>
      </c>
      <c r="F373" t="s">
        <v>64</v>
      </c>
      <c r="G373" t="s">
        <v>1382</v>
      </c>
      <c r="H373" t="s">
        <v>1383</v>
      </c>
      <c r="I373" t="s">
        <v>419</v>
      </c>
      <c r="J373" t="s">
        <v>30</v>
      </c>
      <c r="K373">
        <v>21</v>
      </c>
      <c r="L373" t="s">
        <v>46</v>
      </c>
      <c r="M373">
        <v>143</v>
      </c>
      <c r="N373">
        <v>1</v>
      </c>
      <c r="O373">
        <v>822.73</v>
      </c>
      <c r="P373" s="1">
        <v>45600.33935185185</v>
      </c>
      <c r="Q373">
        <v>16</v>
      </c>
      <c r="R373" t="s">
        <v>47</v>
      </c>
      <c r="S373">
        <v>-0.56432915853768895</v>
      </c>
      <c r="T373" t="b">
        <v>0</v>
      </c>
      <c r="U373" t="b">
        <v>0</v>
      </c>
      <c r="V373" t="b">
        <f t="shared" si="10"/>
        <v>1</v>
      </c>
      <c r="W373">
        <v>0</v>
      </c>
      <c r="Y373">
        <f t="shared" si="11"/>
        <v>0</v>
      </c>
    </row>
    <row r="374" spans="1:25" x14ac:dyDescent="0.3">
      <c r="A374" t="s">
        <v>1384</v>
      </c>
      <c r="B374" t="s">
        <v>76</v>
      </c>
      <c r="C374">
        <v>157.37</v>
      </c>
      <c r="D374" s="1">
        <v>45245.704675925925</v>
      </c>
      <c r="E374" t="s">
        <v>57</v>
      </c>
      <c r="F374" t="s">
        <v>336</v>
      </c>
      <c r="G374" t="s">
        <v>759</v>
      </c>
      <c r="H374" t="s">
        <v>1385</v>
      </c>
      <c r="I374" t="s">
        <v>253</v>
      </c>
      <c r="J374" t="s">
        <v>81</v>
      </c>
      <c r="K374">
        <v>42</v>
      </c>
      <c r="L374" t="s">
        <v>31</v>
      </c>
      <c r="M374">
        <v>289</v>
      </c>
      <c r="N374">
        <v>1</v>
      </c>
      <c r="O374">
        <v>13964.31</v>
      </c>
      <c r="P374" s="1">
        <v>45600.340624999997</v>
      </c>
      <c r="Q374">
        <v>16</v>
      </c>
      <c r="R374" t="s">
        <v>74</v>
      </c>
      <c r="S374">
        <v>-0.48030684088153103</v>
      </c>
      <c r="T374" t="b">
        <v>0</v>
      </c>
      <c r="U374" t="b">
        <v>0</v>
      </c>
      <c r="V374" t="b">
        <f t="shared" si="10"/>
        <v>1</v>
      </c>
      <c r="W374">
        <v>0</v>
      </c>
      <c r="Y374">
        <f t="shared" si="11"/>
        <v>0</v>
      </c>
    </row>
    <row r="375" spans="1:25" x14ac:dyDescent="0.3">
      <c r="A375" t="s">
        <v>1386</v>
      </c>
      <c r="B375" t="s">
        <v>114</v>
      </c>
      <c r="C375">
        <v>144.77000000000001</v>
      </c>
      <c r="D375" s="1">
        <v>45124.700266203705</v>
      </c>
      <c r="E375" t="s">
        <v>25</v>
      </c>
      <c r="F375" t="s">
        <v>98</v>
      </c>
      <c r="G375" t="s">
        <v>1387</v>
      </c>
      <c r="H375" t="s">
        <v>1388</v>
      </c>
      <c r="I375" t="s">
        <v>95</v>
      </c>
      <c r="J375" t="s">
        <v>45</v>
      </c>
      <c r="K375">
        <v>20</v>
      </c>
      <c r="L375" t="s">
        <v>46</v>
      </c>
      <c r="M375">
        <v>159</v>
      </c>
      <c r="N375">
        <v>1</v>
      </c>
      <c r="O375">
        <v>867.32</v>
      </c>
      <c r="P375" s="1">
        <v>45600.340902777774</v>
      </c>
      <c r="Q375">
        <v>16</v>
      </c>
      <c r="R375" t="s">
        <v>47</v>
      </c>
      <c r="S375">
        <v>-0.523465471230801</v>
      </c>
      <c r="T375" t="b">
        <v>0</v>
      </c>
      <c r="U375" t="b">
        <v>0</v>
      </c>
      <c r="V375" t="b">
        <f t="shared" si="10"/>
        <v>1</v>
      </c>
      <c r="W375">
        <v>0</v>
      </c>
      <c r="Y375">
        <f t="shared" si="11"/>
        <v>0</v>
      </c>
    </row>
    <row r="376" spans="1:25" x14ac:dyDescent="0.3">
      <c r="A376" t="s">
        <v>1389</v>
      </c>
      <c r="B376" t="s">
        <v>158</v>
      </c>
      <c r="C376">
        <v>643.22</v>
      </c>
      <c r="D376" s="1">
        <v>45049.711481481485</v>
      </c>
      <c r="E376" t="s">
        <v>25</v>
      </c>
      <c r="F376" t="s">
        <v>58</v>
      </c>
      <c r="G376" t="s">
        <v>919</v>
      </c>
      <c r="H376" t="s">
        <v>1390</v>
      </c>
      <c r="I376" t="s">
        <v>101</v>
      </c>
      <c r="J376" t="s">
        <v>30</v>
      </c>
      <c r="K376">
        <v>64</v>
      </c>
      <c r="L376" t="s">
        <v>31</v>
      </c>
      <c r="M376">
        <v>93</v>
      </c>
      <c r="N376">
        <v>1</v>
      </c>
      <c r="O376">
        <v>1035.8599999999999</v>
      </c>
      <c r="P376" s="1">
        <v>45600.338726851849</v>
      </c>
      <c r="Q376">
        <v>17</v>
      </c>
      <c r="R376" t="s">
        <v>74</v>
      </c>
      <c r="S376">
        <v>1.1838693936575799</v>
      </c>
      <c r="T376" t="b">
        <v>0</v>
      </c>
      <c r="U376" t="b">
        <v>0</v>
      </c>
      <c r="V376" t="b">
        <f t="shared" si="10"/>
        <v>1</v>
      </c>
      <c r="W376">
        <v>0</v>
      </c>
      <c r="Y376">
        <f t="shared" si="11"/>
        <v>0</v>
      </c>
    </row>
    <row r="377" spans="1:25" x14ac:dyDescent="0.3">
      <c r="A377" t="s">
        <v>1391</v>
      </c>
      <c r="B377" t="s">
        <v>1269</v>
      </c>
      <c r="C377">
        <v>1392.54</v>
      </c>
      <c r="D377" s="1">
        <v>45250.702245370368</v>
      </c>
      <c r="E377" t="s">
        <v>25</v>
      </c>
      <c r="F377" t="s">
        <v>519</v>
      </c>
      <c r="G377" t="s">
        <v>1392</v>
      </c>
      <c r="H377" t="s">
        <v>615</v>
      </c>
      <c r="I377" t="s">
        <v>772</v>
      </c>
      <c r="J377" t="s">
        <v>81</v>
      </c>
      <c r="K377">
        <v>41</v>
      </c>
      <c r="L377" t="s">
        <v>31</v>
      </c>
      <c r="M377">
        <v>297</v>
      </c>
      <c r="N377">
        <v>1</v>
      </c>
      <c r="O377">
        <v>13347.69</v>
      </c>
      <c r="P377" s="1">
        <v>45600.339756944442</v>
      </c>
      <c r="Q377">
        <v>16</v>
      </c>
      <c r="R377" t="s">
        <v>47</v>
      </c>
      <c r="S377">
        <v>3.75050628995242</v>
      </c>
      <c r="T377" t="b">
        <v>1</v>
      </c>
      <c r="U377" t="b">
        <v>0</v>
      </c>
      <c r="V377" t="b">
        <f t="shared" si="10"/>
        <v>1</v>
      </c>
      <c r="W377">
        <v>1</v>
      </c>
      <c r="Y377">
        <f t="shared" si="11"/>
        <v>1</v>
      </c>
    </row>
    <row r="378" spans="1:25" x14ac:dyDescent="0.3">
      <c r="A378" t="s">
        <v>1393</v>
      </c>
      <c r="B378" t="s">
        <v>1394</v>
      </c>
      <c r="C378">
        <v>208.07</v>
      </c>
      <c r="D378" s="1">
        <v>45117.702222222222</v>
      </c>
      <c r="E378" t="s">
        <v>25</v>
      </c>
      <c r="F378" t="s">
        <v>64</v>
      </c>
      <c r="G378" t="s">
        <v>1186</v>
      </c>
      <c r="H378" t="s">
        <v>1376</v>
      </c>
      <c r="I378" t="s">
        <v>753</v>
      </c>
      <c r="J378" t="s">
        <v>45</v>
      </c>
      <c r="K378">
        <v>32</v>
      </c>
      <c r="L378" t="s">
        <v>31</v>
      </c>
      <c r="M378">
        <v>36</v>
      </c>
      <c r="N378">
        <v>1</v>
      </c>
      <c r="O378">
        <v>8478.9</v>
      </c>
      <c r="P378" s="1">
        <v>45600.341469907406</v>
      </c>
      <c r="Q378">
        <v>16</v>
      </c>
      <c r="R378" t="s">
        <v>47</v>
      </c>
      <c r="S378">
        <v>-0.30664473304756301</v>
      </c>
      <c r="T378" t="b">
        <v>0</v>
      </c>
      <c r="U378" t="b">
        <v>0</v>
      </c>
      <c r="V378" t="b">
        <f t="shared" si="10"/>
        <v>1</v>
      </c>
      <c r="W378">
        <v>0</v>
      </c>
      <c r="Y378">
        <f t="shared" si="11"/>
        <v>0</v>
      </c>
    </row>
    <row r="379" spans="1:25" x14ac:dyDescent="0.3">
      <c r="A379" t="s">
        <v>1395</v>
      </c>
      <c r="B379" t="s">
        <v>1306</v>
      </c>
      <c r="C379">
        <v>94.3</v>
      </c>
      <c r="D379" s="1">
        <v>45285.745787037034</v>
      </c>
      <c r="E379" t="s">
        <v>25</v>
      </c>
      <c r="F379" t="s">
        <v>438</v>
      </c>
      <c r="G379" t="s">
        <v>1396</v>
      </c>
      <c r="H379" t="s">
        <v>752</v>
      </c>
      <c r="I379" t="s">
        <v>577</v>
      </c>
      <c r="J379" t="s">
        <v>81</v>
      </c>
      <c r="K379">
        <v>57</v>
      </c>
      <c r="L379" t="s">
        <v>31</v>
      </c>
      <c r="M379">
        <v>57</v>
      </c>
      <c r="N379">
        <v>1</v>
      </c>
      <c r="O379">
        <v>11088.95</v>
      </c>
      <c r="P379" s="1">
        <v>45600.339050925926</v>
      </c>
      <c r="Q379">
        <v>17</v>
      </c>
      <c r="R379" t="s">
        <v>47</v>
      </c>
      <c r="S379">
        <v>-0.69633976279648802</v>
      </c>
      <c r="T379" t="b">
        <v>0</v>
      </c>
      <c r="U379" t="b">
        <v>0</v>
      </c>
      <c r="V379" t="b">
        <f t="shared" si="10"/>
        <v>1</v>
      </c>
      <c r="W379">
        <v>0</v>
      </c>
      <c r="Y379">
        <f t="shared" si="11"/>
        <v>0</v>
      </c>
    </row>
    <row r="380" spans="1:25" x14ac:dyDescent="0.3">
      <c r="A380" t="s">
        <v>1397</v>
      </c>
      <c r="B380" t="s">
        <v>1398</v>
      </c>
      <c r="C380">
        <v>295.5</v>
      </c>
      <c r="D380" s="1">
        <v>45253.75</v>
      </c>
      <c r="E380" t="s">
        <v>25</v>
      </c>
      <c r="F380" t="s">
        <v>41</v>
      </c>
      <c r="G380" t="s">
        <v>1399</v>
      </c>
      <c r="H380" t="s">
        <v>1400</v>
      </c>
      <c r="I380" t="s">
        <v>325</v>
      </c>
      <c r="J380" t="s">
        <v>30</v>
      </c>
      <c r="K380">
        <v>59</v>
      </c>
      <c r="L380" t="s">
        <v>82</v>
      </c>
      <c r="M380">
        <v>36</v>
      </c>
      <c r="N380">
        <v>1</v>
      </c>
      <c r="O380">
        <v>6280.66</v>
      </c>
      <c r="P380" s="1">
        <v>45600.338287037041</v>
      </c>
      <c r="Q380">
        <v>18</v>
      </c>
      <c r="R380" t="s">
        <v>141</v>
      </c>
      <c r="S380">
        <v>-7.1717924573512001E-3</v>
      </c>
      <c r="T380" t="b">
        <v>0</v>
      </c>
      <c r="U380" t="b">
        <v>0</v>
      </c>
      <c r="V380" t="b">
        <f t="shared" si="10"/>
        <v>1</v>
      </c>
      <c r="W380">
        <v>0</v>
      </c>
      <c r="Y380">
        <f t="shared" si="11"/>
        <v>0</v>
      </c>
    </row>
    <row r="381" spans="1:25" x14ac:dyDescent="0.3">
      <c r="A381" t="s">
        <v>1401</v>
      </c>
      <c r="B381" t="s">
        <v>1182</v>
      </c>
      <c r="C381">
        <v>30.23</v>
      </c>
      <c r="D381" s="1">
        <v>45236.745428240742</v>
      </c>
      <c r="E381" t="s">
        <v>25</v>
      </c>
      <c r="F381" t="s">
        <v>131</v>
      </c>
      <c r="G381" t="s">
        <v>1402</v>
      </c>
      <c r="H381" t="s">
        <v>1107</v>
      </c>
      <c r="I381" t="s">
        <v>487</v>
      </c>
      <c r="J381" t="s">
        <v>30</v>
      </c>
      <c r="K381">
        <v>44</v>
      </c>
      <c r="L381" t="s">
        <v>31</v>
      </c>
      <c r="M381">
        <v>99</v>
      </c>
      <c r="N381">
        <v>1</v>
      </c>
      <c r="O381">
        <v>481.13</v>
      </c>
      <c r="P381" s="1">
        <v>45600.341736111113</v>
      </c>
      <c r="Q381">
        <v>17</v>
      </c>
      <c r="R381" t="s">
        <v>47</v>
      </c>
      <c r="S381">
        <v>-0.91579797283440301</v>
      </c>
      <c r="T381" t="b">
        <v>0</v>
      </c>
      <c r="U381" t="b">
        <v>0</v>
      </c>
      <c r="V381" t="b">
        <f t="shared" si="10"/>
        <v>1</v>
      </c>
      <c r="W381">
        <v>0</v>
      </c>
      <c r="Y381">
        <f t="shared" si="11"/>
        <v>0</v>
      </c>
    </row>
    <row r="382" spans="1:25" x14ac:dyDescent="0.3">
      <c r="A382" t="s">
        <v>1403</v>
      </c>
      <c r="B382" t="s">
        <v>1404</v>
      </c>
      <c r="C382">
        <v>112.05</v>
      </c>
      <c r="D382" s="1">
        <v>45225.677916666667</v>
      </c>
      <c r="E382" t="s">
        <v>57</v>
      </c>
      <c r="F382" t="s">
        <v>438</v>
      </c>
      <c r="G382" t="s">
        <v>1405</v>
      </c>
      <c r="H382" t="s">
        <v>155</v>
      </c>
      <c r="I382" t="s">
        <v>316</v>
      </c>
      <c r="J382" t="s">
        <v>30</v>
      </c>
      <c r="K382">
        <v>26</v>
      </c>
      <c r="L382" t="s">
        <v>46</v>
      </c>
      <c r="M382">
        <v>159</v>
      </c>
      <c r="N382">
        <v>1</v>
      </c>
      <c r="O382">
        <v>1122.8800000000001</v>
      </c>
      <c r="P382" s="1">
        <v>45600.339247685188</v>
      </c>
      <c r="Q382">
        <v>16</v>
      </c>
      <c r="R382" t="s">
        <v>141</v>
      </c>
      <c r="S382">
        <v>-0.63554089861398499</v>
      </c>
      <c r="T382" t="b">
        <v>0</v>
      </c>
      <c r="U382" t="b">
        <v>0</v>
      </c>
      <c r="V382" t="b">
        <f t="shared" si="10"/>
        <v>1</v>
      </c>
      <c r="W382">
        <v>0</v>
      </c>
      <c r="Y382">
        <f t="shared" si="11"/>
        <v>0</v>
      </c>
    </row>
    <row r="383" spans="1:25" x14ac:dyDescent="0.3">
      <c r="A383" t="s">
        <v>1406</v>
      </c>
      <c r="B383" t="s">
        <v>1407</v>
      </c>
      <c r="C383">
        <v>180.24</v>
      </c>
      <c r="D383" s="1">
        <v>45110.710972222223</v>
      </c>
      <c r="E383" t="s">
        <v>25</v>
      </c>
      <c r="F383" t="s">
        <v>438</v>
      </c>
      <c r="G383" t="s">
        <v>1408</v>
      </c>
      <c r="H383" t="s">
        <v>1409</v>
      </c>
      <c r="I383" t="s">
        <v>647</v>
      </c>
      <c r="J383" t="s">
        <v>81</v>
      </c>
      <c r="K383">
        <v>58</v>
      </c>
      <c r="L383" t="s">
        <v>89</v>
      </c>
      <c r="M383">
        <v>144</v>
      </c>
      <c r="N383">
        <v>1</v>
      </c>
      <c r="O383">
        <v>8431.23</v>
      </c>
      <c r="P383" s="1">
        <v>45600.339780092596</v>
      </c>
      <c r="Q383">
        <v>17</v>
      </c>
      <c r="R383" t="s">
        <v>47</v>
      </c>
      <c r="S383">
        <v>-0.40197050150948299</v>
      </c>
      <c r="T383" t="b">
        <v>0</v>
      </c>
      <c r="U383" t="b">
        <v>0</v>
      </c>
      <c r="V383" t="b">
        <f t="shared" si="10"/>
        <v>1</v>
      </c>
      <c r="W383">
        <v>0</v>
      </c>
      <c r="Y383">
        <f t="shared" si="11"/>
        <v>0</v>
      </c>
    </row>
    <row r="384" spans="1:25" x14ac:dyDescent="0.3">
      <c r="A384" t="s">
        <v>1410</v>
      </c>
      <c r="B384" t="s">
        <v>1411</v>
      </c>
      <c r="C384">
        <v>13.71</v>
      </c>
      <c r="D384" s="1">
        <v>45076.746087962965</v>
      </c>
      <c r="E384" t="s">
        <v>57</v>
      </c>
      <c r="F384" t="s">
        <v>126</v>
      </c>
      <c r="G384" t="s">
        <v>1190</v>
      </c>
      <c r="H384" t="s">
        <v>1412</v>
      </c>
      <c r="I384" t="s">
        <v>833</v>
      </c>
      <c r="J384" t="s">
        <v>45</v>
      </c>
      <c r="K384">
        <v>38</v>
      </c>
      <c r="L384" t="s">
        <v>89</v>
      </c>
      <c r="M384">
        <v>148</v>
      </c>
      <c r="N384">
        <v>1</v>
      </c>
      <c r="O384">
        <v>8342.7900000000009</v>
      </c>
      <c r="P384" s="1">
        <v>45600.341168981482</v>
      </c>
      <c r="Q384">
        <v>17</v>
      </c>
      <c r="R384" t="s">
        <v>32</v>
      </c>
      <c r="S384">
        <v>-0.97238373262566802</v>
      </c>
      <c r="T384" t="b">
        <v>0</v>
      </c>
      <c r="U384" t="b">
        <v>0</v>
      </c>
      <c r="V384" t="b">
        <f t="shared" si="10"/>
        <v>1</v>
      </c>
      <c r="W384">
        <v>0</v>
      </c>
      <c r="Y384">
        <f t="shared" si="11"/>
        <v>0</v>
      </c>
    </row>
    <row r="385" spans="1:25" x14ac:dyDescent="0.3">
      <c r="A385" t="s">
        <v>1413</v>
      </c>
      <c r="B385" t="s">
        <v>1414</v>
      </c>
      <c r="C385">
        <v>96.54</v>
      </c>
      <c r="D385" s="1">
        <v>44998.726585648146</v>
      </c>
      <c r="E385" t="s">
        <v>25</v>
      </c>
      <c r="F385" t="s">
        <v>216</v>
      </c>
      <c r="G385" t="s">
        <v>1415</v>
      </c>
      <c r="H385" t="s">
        <v>1416</v>
      </c>
      <c r="I385" t="s">
        <v>80</v>
      </c>
      <c r="J385" t="s">
        <v>81</v>
      </c>
      <c r="K385">
        <v>58</v>
      </c>
      <c r="L385" t="s">
        <v>82</v>
      </c>
      <c r="M385">
        <v>95</v>
      </c>
      <c r="N385">
        <v>1</v>
      </c>
      <c r="O385">
        <v>7182.22</v>
      </c>
      <c r="P385" s="1">
        <v>45600.340636574074</v>
      </c>
      <c r="Q385">
        <v>17</v>
      </c>
      <c r="R385" t="s">
        <v>47</v>
      </c>
      <c r="S385">
        <v>-0.68866711740106201</v>
      </c>
      <c r="T385" t="b">
        <v>0</v>
      </c>
      <c r="U385" t="b">
        <v>0</v>
      </c>
      <c r="V385" t="b">
        <f t="shared" si="10"/>
        <v>1</v>
      </c>
      <c r="W385">
        <v>0</v>
      </c>
      <c r="Y385">
        <f t="shared" si="11"/>
        <v>0</v>
      </c>
    </row>
    <row r="386" spans="1:25" x14ac:dyDescent="0.3">
      <c r="A386" t="s">
        <v>1417</v>
      </c>
      <c r="B386" t="s">
        <v>1418</v>
      </c>
      <c r="C386">
        <v>79.349999999999994</v>
      </c>
      <c r="D386" s="1">
        <v>45075.710092592592</v>
      </c>
      <c r="E386" t="s">
        <v>25</v>
      </c>
      <c r="F386" t="s">
        <v>153</v>
      </c>
      <c r="G386" t="s">
        <v>1419</v>
      </c>
      <c r="H386" t="s">
        <v>924</v>
      </c>
      <c r="I386" t="s">
        <v>280</v>
      </c>
      <c r="J386" t="s">
        <v>45</v>
      </c>
      <c r="K386">
        <v>67</v>
      </c>
      <c r="L386" t="s">
        <v>82</v>
      </c>
      <c r="M386">
        <v>70</v>
      </c>
      <c r="N386">
        <v>1</v>
      </c>
      <c r="O386">
        <v>1692.15</v>
      </c>
      <c r="P386" s="1">
        <v>45600.340138888889</v>
      </c>
      <c r="Q386">
        <v>17</v>
      </c>
      <c r="R386" t="s">
        <v>47</v>
      </c>
      <c r="S386">
        <v>-0.747547820234709</v>
      </c>
      <c r="T386" t="b">
        <v>0</v>
      </c>
      <c r="U386" t="b">
        <v>0</v>
      </c>
      <c r="V386" t="b">
        <f t="shared" si="10"/>
        <v>1</v>
      </c>
      <c r="W386">
        <v>0</v>
      </c>
      <c r="Y386">
        <f t="shared" si="11"/>
        <v>0</v>
      </c>
    </row>
    <row r="387" spans="1:25" x14ac:dyDescent="0.3">
      <c r="A387" t="s">
        <v>1420</v>
      </c>
      <c r="B387" t="s">
        <v>335</v>
      </c>
      <c r="C387">
        <v>101.04</v>
      </c>
      <c r="D387" s="1">
        <v>45117.761192129627</v>
      </c>
      <c r="E387" t="s">
        <v>25</v>
      </c>
      <c r="F387" t="s">
        <v>250</v>
      </c>
      <c r="G387" t="s">
        <v>1421</v>
      </c>
      <c r="H387" t="s">
        <v>565</v>
      </c>
      <c r="I387" t="s">
        <v>665</v>
      </c>
      <c r="J387" t="s">
        <v>30</v>
      </c>
      <c r="K387">
        <v>27</v>
      </c>
      <c r="L387" t="s">
        <v>46</v>
      </c>
      <c r="M387">
        <v>160</v>
      </c>
      <c r="N387">
        <v>1</v>
      </c>
      <c r="O387">
        <v>1695.57</v>
      </c>
      <c r="P387" s="1">
        <v>45600.337997685187</v>
      </c>
      <c r="Q387">
        <v>18</v>
      </c>
      <c r="R387" t="s">
        <v>47</v>
      </c>
      <c r="S387">
        <v>-0.67325332084775202</v>
      </c>
      <c r="T387" t="b">
        <v>0</v>
      </c>
      <c r="U387" t="b">
        <v>0</v>
      </c>
      <c r="V387" t="b">
        <f t="shared" ref="V387:V450" si="12">ISLOGICAL(T387)</f>
        <v>1</v>
      </c>
      <c r="W387">
        <v>0</v>
      </c>
      <c r="Y387">
        <f t="shared" ref="Y387:Y450" si="13">--T387</f>
        <v>0</v>
      </c>
    </row>
    <row r="388" spans="1:25" x14ac:dyDescent="0.3">
      <c r="A388" t="s">
        <v>1422</v>
      </c>
      <c r="B388" t="s">
        <v>1381</v>
      </c>
      <c r="C388">
        <v>74.42</v>
      </c>
      <c r="D388" s="1">
        <v>45253.724490740744</v>
      </c>
      <c r="E388" t="s">
        <v>25</v>
      </c>
      <c r="F388" t="s">
        <v>519</v>
      </c>
      <c r="G388" t="s">
        <v>1423</v>
      </c>
      <c r="H388" t="s">
        <v>1424</v>
      </c>
      <c r="I388" t="s">
        <v>375</v>
      </c>
      <c r="J388" t="s">
        <v>45</v>
      </c>
      <c r="K388">
        <v>49</v>
      </c>
      <c r="L388" t="s">
        <v>89</v>
      </c>
      <c r="M388">
        <v>68</v>
      </c>
      <c r="N388">
        <v>1</v>
      </c>
      <c r="O388">
        <v>6264.21</v>
      </c>
      <c r="P388" s="1">
        <v>45600.341238425928</v>
      </c>
      <c r="Q388">
        <v>17</v>
      </c>
      <c r="R388" t="s">
        <v>141</v>
      </c>
      <c r="S388">
        <v>-0.76443449068089198</v>
      </c>
      <c r="T388" t="b">
        <v>0</v>
      </c>
      <c r="U388" t="b">
        <v>0</v>
      </c>
      <c r="V388" t="b">
        <f t="shared" si="12"/>
        <v>1</v>
      </c>
      <c r="W388">
        <v>0</v>
      </c>
      <c r="Y388">
        <f t="shared" si="13"/>
        <v>0</v>
      </c>
    </row>
    <row r="389" spans="1:25" x14ac:dyDescent="0.3">
      <c r="A389" t="s">
        <v>1425</v>
      </c>
      <c r="B389" t="s">
        <v>84</v>
      </c>
      <c r="C389">
        <v>39.659999999999997</v>
      </c>
      <c r="D389" s="1">
        <v>45064.678391203706</v>
      </c>
      <c r="E389" t="s">
        <v>25</v>
      </c>
      <c r="F389" t="s">
        <v>314</v>
      </c>
      <c r="G389" t="s">
        <v>1426</v>
      </c>
      <c r="H389" t="s">
        <v>1427</v>
      </c>
      <c r="I389" t="s">
        <v>427</v>
      </c>
      <c r="J389" t="s">
        <v>81</v>
      </c>
      <c r="K389">
        <v>52</v>
      </c>
      <c r="L389" t="s">
        <v>89</v>
      </c>
      <c r="M389">
        <v>169</v>
      </c>
      <c r="N389">
        <v>1</v>
      </c>
      <c r="O389">
        <v>8497.34</v>
      </c>
      <c r="P389" s="1">
        <v>45600.338425925926</v>
      </c>
      <c r="Q389">
        <v>16</v>
      </c>
      <c r="R389" t="s">
        <v>141</v>
      </c>
      <c r="S389">
        <v>-0.88349750583491005</v>
      </c>
      <c r="T389" t="b">
        <v>0</v>
      </c>
      <c r="U389" t="b">
        <v>0</v>
      </c>
      <c r="V389" t="b">
        <f t="shared" si="12"/>
        <v>1</v>
      </c>
      <c r="W389">
        <v>0</v>
      </c>
      <c r="Y389">
        <f t="shared" si="13"/>
        <v>0</v>
      </c>
    </row>
    <row r="390" spans="1:25" x14ac:dyDescent="0.3">
      <c r="A390" t="s">
        <v>1428</v>
      </c>
      <c r="B390" t="s">
        <v>700</v>
      </c>
      <c r="C390">
        <v>99.36</v>
      </c>
      <c r="D390" s="1">
        <v>45055.70548611111</v>
      </c>
      <c r="E390" t="s">
        <v>25</v>
      </c>
      <c r="F390" t="s">
        <v>70</v>
      </c>
      <c r="G390" t="s">
        <v>502</v>
      </c>
      <c r="H390" t="s">
        <v>1429</v>
      </c>
      <c r="I390" t="s">
        <v>445</v>
      </c>
      <c r="J390" t="s">
        <v>30</v>
      </c>
      <c r="K390">
        <v>40</v>
      </c>
      <c r="L390" t="s">
        <v>31</v>
      </c>
      <c r="M390">
        <v>46</v>
      </c>
      <c r="N390">
        <v>1</v>
      </c>
      <c r="O390">
        <v>1272.1199999999999</v>
      </c>
      <c r="P390" s="1">
        <v>45600.339756944442</v>
      </c>
      <c r="Q390">
        <v>16</v>
      </c>
      <c r="R390" t="s">
        <v>32</v>
      </c>
      <c r="S390">
        <v>-0.679007804894321</v>
      </c>
      <c r="T390" t="b">
        <v>0</v>
      </c>
      <c r="U390" t="b">
        <v>0</v>
      </c>
      <c r="V390" t="b">
        <f t="shared" si="12"/>
        <v>1</v>
      </c>
      <c r="W390">
        <v>0</v>
      </c>
      <c r="Y390">
        <f t="shared" si="13"/>
        <v>0</v>
      </c>
    </row>
    <row r="391" spans="1:25" x14ac:dyDescent="0.3">
      <c r="A391" t="s">
        <v>1430</v>
      </c>
      <c r="B391" t="s">
        <v>1431</v>
      </c>
      <c r="C391">
        <v>123.85</v>
      </c>
      <c r="D391" s="1">
        <v>45163.782962962963</v>
      </c>
      <c r="E391" t="s">
        <v>25</v>
      </c>
      <c r="F391" t="s">
        <v>159</v>
      </c>
      <c r="G391" t="s">
        <v>1432</v>
      </c>
      <c r="H391" t="s">
        <v>1433</v>
      </c>
      <c r="I391" t="s">
        <v>491</v>
      </c>
      <c r="J391" t="s">
        <v>45</v>
      </c>
      <c r="K391">
        <v>56</v>
      </c>
      <c r="L391" t="s">
        <v>89</v>
      </c>
      <c r="M391">
        <v>244</v>
      </c>
      <c r="N391">
        <v>1</v>
      </c>
      <c r="O391">
        <v>3959.62</v>
      </c>
      <c r="P391" s="1">
        <v>45600.337916666664</v>
      </c>
      <c r="Q391">
        <v>18</v>
      </c>
      <c r="R391" t="s">
        <v>54</v>
      </c>
      <c r="S391">
        <v>-0.59512249876308099</v>
      </c>
      <c r="T391" t="b">
        <v>0</v>
      </c>
      <c r="U391" t="b">
        <v>0</v>
      </c>
      <c r="V391" t="b">
        <f t="shared" si="12"/>
        <v>1</v>
      </c>
      <c r="W391">
        <v>0</v>
      </c>
      <c r="Y391">
        <f t="shared" si="13"/>
        <v>0</v>
      </c>
    </row>
    <row r="392" spans="1:25" x14ac:dyDescent="0.3">
      <c r="A392" t="s">
        <v>1434</v>
      </c>
      <c r="B392" t="s">
        <v>1435</v>
      </c>
      <c r="C392">
        <v>426.93</v>
      </c>
      <c r="D392" s="1">
        <v>45285.711805555555</v>
      </c>
      <c r="E392" t="s">
        <v>25</v>
      </c>
      <c r="F392" t="s">
        <v>309</v>
      </c>
      <c r="G392" t="s">
        <v>878</v>
      </c>
      <c r="H392" t="s">
        <v>1436</v>
      </c>
      <c r="I392" t="s">
        <v>67</v>
      </c>
      <c r="J392" t="s">
        <v>30</v>
      </c>
      <c r="K392">
        <v>19</v>
      </c>
      <c r="L392" t="s">
        <v>46</v>
      </c>
      <c r="M392">
        <v>248</v>
      </c>
      <c r="N392">
        <v>1</v>
      </c>
      <c r="O392">
        <v>476.19</v>
      </c>
      <c r="P392" s="1">
        <v>45600.339722222219</v>
      </c>
      <c r="Q392">
        <v>17</v>
      </c>
      <c r="R392" t="s">
        <v>47</v>
      </c>
      <c r="S392">
        <v>0.44301382554301</v>
      </c>
      <c r="T392" t="b">
        <v>0</v>
      </c>
      <c r="U392" t="b">
        <v>0</v>
      </c>
      <c r="V392" t="b">
        <f t="shared" si="12"/>
        <v>1</v>
      </c>
      <c r="W392">
        <v>0</v>
      </c>
      <c r="Y392">
        <f t="shared" si="13"/>
        <v>0</v>
      </c>
    </row>
    <row r="393" spans="1:25" x14ac:dyDescent="0.3">
      <c r="A393" t="s">
        <v>1437</v>
      </c>
      <c r="B393" t="s">
        <v>1438</v>
      </c>
      <c r="C393">
        <v>133.72999999999999</v>
      </c>
      <c r="D393" s="1">
        <v>45062.68173611111</v>
      </c>
      <c r="E393" t="s">
        <v>57</v>
      </c>
      <c r="F393" t="s">
        <v>236</v>
      </c>
      <c r="G393" t="s">
        <v>1439</v>
      </c>
      <c r="H393" t="s">
        <v>1440</v>
      </c>
      <c r="I393" t="s">
        <v>366</v>
      </c>
      <c r="J393" t="s">
        <v>45</v>
      </c>
      <c r="K393">
        <v>25</v>
      </c>
      <c r="L393" t="s">
        <v>46</v>
      </c>
      <c r="M393">
        <v>123</v>
      </c>
      <c r="N393">
        <v>1</v>
      </c>
      <c r="O393">
        <v>1872.22</v>
      </c>
      <c r="P393" s="1">
        <v>45600.339837962965</v>
      </c>
      <c r="Q393">
        <v>16</v>
      </c>
      <c r="R393" t="s">
        <v>32</v>
      </c>
      <c r="S393">
        <v>-0.56128065210825695</v>
      </c>
      <c r="T393" t="b">
        <v>0</v>
      </c>
      <c r="U393" t="b">
        <v>0</v>
      </c>
      <c r="V393" t="b">
        <f t="shared" si="12"/>
        <v>1</v>
      </c>
      <c r="W393">
        <v>0</v>
      </c>
      <c r="Y393">
        <f t="shared" si="13"/>
        <v>0</v>
      </c>
    </row>
    <row r="394" spans="1:25" x14ac:dyDescent="0.3">
      <c r="A394" t="s">
        <v>1441</v>
      </c>
      <c r="B394" t="s">
        <v>1394</v>
      </c>
      <c r="C394">
        <v>222.39</v>
      </c>
      <c r="D394" s="1">
        <v>45161.689571759256</v>
      </c>
      <c r="E394" t="s">
        <v>25</v>
      </c>
      <c r="F394" t="s">
        <v>314</v>
      </c>
      <c r="G394" t="s">
        <v>1442</v>
      </c>
      <c r="H394" t="s">
        <v>1443</v>
      </c>
      <c r="I394" t="s">
        <v>782</v>
      </c>
      <c r="J394" t="s">
        <v>45</v>
      </c>
      <c r="K394">
        <v>49</v>
      </c>
      <c r="L394" t="s">
        <v>89</v>
      </c>
      <c r="M394">
        <v>73</v>
      </c>
      <c r="N394">
        <v>1</v>
      </c>
      <c r="O394">
        <v>3117.39</v>
      </c>
      <c r="P394" s="1">
        <v>45600.340879629628</v>
      </c>
      <c r="Q394">
        <v>16</v>
      </c>
      <c r="R394" t="s">
        <v>74</v>
      </c>
      <c r="S394">
        <v>-0.25759460712680599</v>
      </c>
      <c r="T394" t="b">
        <v>0</v>
      </c>
      <c r="U394" t="b">
        <v>0</v>
      </c>
      <c r="V394" t="b">
        <f t="shared" si="12"/>
        <v>1</v>
      </c>
      <c r="W394">
        <v>0</v>
      </c>
      <c r="Y394">
        <f t="shared" si="13"/>
        <v>0</v>
      </c>
    </row>
    <row r="395" spans="1:25" x14ac:dyDescent="0.3">
      <c r="A395" t="s">
        <v>1444</v>
      </c>
      <c r="B395" t="s">
        <v>409</v>
      </c>
      <c r="C395">
        <v>215.94</v>
      </c>
      <c r="D395" s="1">
        <v>45082.671331018515</v>
      </c>
      <c r="E395" t="s">
        <v>57</v>
      </c>
      <c r="F395" t="s">
        <v>314</v>
      </c>
      <c r="G395" t="s">
        <v>609</v>
      </c>
      <c r="H395" t="s">
        <v>133</v>
      </c>
      <c r="I395" t="s">
        <v>1050</v>
      </c>
      <c r="J395" t="s">
        <v>45</v>
      </c>
      <c r="K395">
        <v>22</v>
      </c>
      <c r="L395" t="s">
        <v>46</v>
      </c>
      <c r="M395">
        <v>140</v>
      </c>
      <c r="N395">
        <v>1</v>
      </c>
      <c r="O395">
        <v>1841.69</v>
      </c>
      <c r="P395" s="1">
        <v>45600.340798611112</v>
      </c>
      <c r="Q395">
        <v>16</v>
      </c>
      <c r="R395" t="s">
        <v>47</v>
      </c>
      <c r="S395">
        <v>-0.27968771551988397</v>
      </c>
      <c r="T395" t="b">
        <v>0</v>
      </c>
      <c r="U395" t="b">
        <v>0</v>
      </c>
      <c r="V395" t="b">
        <f t="shared" si="12"/>
        <v>1</v>
      </c>
      <c r="W395">
        <v>0</v>
      </c>
      <c r="Y395">
        <f t="shared" si="13"/>
        <v>0</v>
      </c>
    </row>
    <row r="396" spans="1:25" x14ac:dyDescent="0.3">
      <c r="A396" t="s">
        <v>1445</v>
      </c>
      <c r="B396" t="s">
        <v>1446</v>
      </c>
      <c r="C396">
        <v>6.3</v>
      </c>
      <c r="D396" s="1">
        <v>45274.786736111113</v>
      </c>
      <c r="E396" t="s">
        <v>25</v>
      </c>
      <c r="F396" t="s">
        <v>137</v>
      </c>
      <c r="G396" t="s">
        <v>1447</v>
      </c>
      <c r="H396" t="s">
        <v>712</v>
      </c>
      <c r="I396" t="s">
        <v>123</v>
      </c>
      <c r="J396" t="s">
        <v>81</v>
      </c>
      <c r="K396">
        <v>80</v>
      </c>
      <c r="L396" t="s">
        <v>82</v>
      </c>
      <c r="M396">
        <v>283</v>
      </c>
      <c r="N396">
        <v>5</v>
      </c>
      <c r="O396">
        <v>7697.68</v>
      </c>
      <c r="P396" s="1">
        <v>45600.341817129629</v>
      </c>
      <c r="Q396">
        <v>18</v>
      </c>
      <c r="R396" t="s">
        <v>141</v>
      </c>
      <c r="S396">
        <v>-0.99776511761678699</v>
      </c>
      <c r="T396" t="b">
        <v>0</v>
      </c>
      <c r="U396" t="b">
        <v>1</v>
      </c>
      <c r="V396" t="b">
        <f t="shared" si="12"/>
        <v>1</v>
      </c>
      <c r="W396">
        <v>1</v>
      </c>
      <c r="Y396">
        <f t="shared" si="13"/>
        <v>0</v>
      </c>
    </row>
    <row r="397" spans="1:25" x14ac:dyDescent="0.3">
      <c r="A397" t="s">
        <v>1448</v>
      </c>
      <c r="B397" t="s">
        <v>56</v>
      </c>
      <c r="C397">
        <v>826.23</v>
      </c>
      <c r="D397" s="1">
        <v>45077.684247685182</v>
      </c>
      <c r="E397" t="s">
        <v>25</v>
      </c>
      <c r="F397" t="s">
        <v>534</v>
      </c>
      <c r="G397" t="s">
        <v>1102</v>
      </c>
      <c r="H397" t="s">
        <v>1449</v>
      </c>
      <c r="I397" t="s">
        <v>577</v>
      </c>
      <c r="J397" t="s">
        <v>30</v>
      </c>
      <c r="K397">
        <v>29</v>
      </c>
      <c r="L397" t="s">
        <v>31</v>
      </c>
      <c r="M397">
        <v>209</v>
      </c>
      <c r="N397">
        <v>1</v>
      </c>
      <c r="O397">
        <v>7580.59</v>
      </c>
      <c r="P397" s="1">
        <v>45600.338564814818</v>
      </c>
      <c r="Q397">
        <v>16</v>
      </c>
      <c r="R397" t="s">
        <v>74</v>
      </c>
      <c r="S397">
        <v>1.81073137304011</v>
      </c>
      <c r="T397" t="b">
        <v>0</v>
      </c>
      <c r="U397" t="b">
        <v>0</v>
      </c>
      <c r="V397" t="b">
        <f t="shared" si="12"/>
        <v>1</v>
      </c>
      <c r="W397">
        <v>0</v>
      </c>
      <c r="Y397">
        <f t="shared" si="13"/>
        <v>0</v>
      </c>
    </row>
    <row r="398" spans="1:25" x14ac:dyDescent="0.3">
      <c r="A398" t="s">
        <v>1450</v>
      </c>
      <c r="B398" t="s">
        <v>1451</v>
      </c>
      <c r="C398">
        <v>416.37</v>
      </c>
      <c r="D398" s="1">
        <v>45210.676712962966</v>
      </c>
      <c r="E398" t="s">
        <v>25</v>
      </c>
      <c r="F398" t="s">
        <v>137</v>
      </c>
      <c r="G398" t="s">
        <v>1347</v>
      </c>
      <c r="H398" t="s">
        <v>857</v>
      </c>
      <c r="I398" t="s">
        <v>29</v>
      </c>
      <c r="J398" t="s">
        <v>45</v>
      </c>
      <c r="K398">
        <v>35</v>
      </c>
      <c r="L398" t="s">
        <v>89</v>
      </c>
      <c r="M398">
        <v>67</v>
      </c>
      <c r="N398">
        <v>1</v>
      </c>
      <c r="O398">
        <v>7936.91</v>
      </c>
      <c r="P398" s="1">
        <v>45600.339467592596</v>
      </c>
      <c r="Q398">
        <v>16</v>
      </c>
      <c r="R398" t="s">
        <v>74</v>
      </c>
      <c r="S398">
        <v>0.40684278296457399</v>
      </c>
      <c r="T398" t="b">
        <v>0</v>
      </c>
      <c r="U398" t="b">
        <v>0</v>
      </c>
      <c r="V398" t="b">
        <f t="shared" si="12"/>
        <v>1</v>
      </c>
      <c r="W398">
        <v>0</v>
      </c>
      <c r="Y398">
        <f t="shared" si="13"/>
        <v>0</v>
      </c>
    </row>
    <row r="399" spans="1:25" x14ac:dyDescent="0.3">
      <c r="A399" t="s">
        <v>1452</v>
      </c>
      <c r="B399" t="s">
        <v>1453</v>
      </c>
      <c r="C399">
        <v>131.46</v>
      </c>
      <c r="D399" s="1">
        <v>45061.692499999997</v>
      </c>
      <c r="E399" t="s">
        <v>25</v>
      </c>
      <c r="F399" t="s">
        <v>262</v>
      </c>
      <c r="G399" t="s">
        <v>1454</v>
      </c>
      <c r="H399" t="s">
        <v>1132</v>
      </c>
      <c r="I399" t="s">
        <v>611</v>
      </c>
      <c r="J399" t="s">
        <v>81</v>
      </c>
      <c r="K399">
        <v>67</v>
      </c>
      <c r="L399" t="s">
        <v>82</v>
      </c>
      <c r="M399">
        <v>258</v>
      </c>
      <c r="N399">
        <v>1</v>
      </c>
      <c r="O399">
        <v>6642.33</v>
      </c>
      <c r="P399" s="1">
        <v>45600.341319444444</v>
      </c>
      <c r="Q399">
        <v>16</v>
      </c>
      <c r="R399" t="s">
        <v>47</v>
      </c>
      <c r="S399">
        <v>-0.56905605614737098</v>
      </c>
      <c r="T399" t="b">
        <v>0</v>
      </c>
      <c r="U399" t="b">
        <v>0</v>
      </c>
      <c r="V399" t="b">
        <f t="shared" si="12"/>
        <v>1</v>
      </c>
      <c r="W399">
        <v>0</v>
      </c>
      <c r="Y399">
        <f t="shared" si="13"/>
        <v>0</v>
      </c>
    </row>
    <row r="400" spans="1:25" x14ac:dyDescent="0.3">
      <c r="A400" t="s">
        <v>1455</v>
      </c>
      <c r="B400" t="s">
        <v>1192</v>
      </c>
      <c r="C400">
        <v>202.86</v>
      </c>
      <c r="D400" s="1">
        <v>45068.725532407407</v>
      </c>
      <c r="E400" t="s">
        <v>57</v>
      </c>
      <c r="F400" t="s">
        <v>104</v>
      </c>
      <c r="G400" t="s">
        <v>105</v>
      </c>
      <c r="H400" t="s">
        <v>1456</v>
      </c>
      <c r="I400" t="s">
        <v>782</v>
      </c>
      <c r="J400" t="s">
        <v>81</v>
      </c>
      <c r="K400">
        <v>61</v>
      </c>
      <c r="L400" t="s">
        <v>31</v>
      </c>
      <c r="M400">
        <v>149</v>
      </c>
      <c r="N400">
        <v>1</v>
      </c>
      <c r="O400">
        <v>7642.25</v>
      </c>
      <c r="P400" s="1">
        <v>45600.339513888888</v>
      </c>
      <c r="Q400">
        <v>17</v>
      </c>
      <c r="R400" t="s">
        <v>47</v>
      </c>
      <c r="S400">
        <v>-0.324490484168174</v>
      </c>
      <c r="T400" t="b">
        <v>0</v>
      </c>
      <c r="U400" t="b">
        <v>0</v>
      </c>
      <c r="V400" t="b">
        <f t="shared" si="12"/>
        <v>1</v>
      </c>
      <c r="W400">
        <v>0</v>
      </c>
      <c r="Y400">
        <f t="shared" si="13"/>
        <v>0</v>
      </c>
    </row>
    <row r="401" spans="1:25" x14ac:dyDescent="0.3">
      <c r="A401" t="s">
        <v>1457</v>
      </c>
      <c r="B401" t="s">
        <v>147</v>
      </c>
      <c r="C401">
        <v>268.39</v>
      </c>
      <c r="D401" s="1">
        <v>45103.767523148148</v>
      </c>
      <c r="E401" t="s">
        <v>25</v>
      </c>
      <c r="F401" t="s">
        <v>185</v>
      </c>
      <c r="G401" t="s">
        <v>631</v>
      </c>
      <c r="H401" t="s">
        <v>60</v>
      </c>
      <c r="I401" t="s">
        <v>123</v>
      </c>
      <c r="J401" t="s">
        <v>30</v>
      </c>
      <c r="K401">
        <v>26</v>
      </c>
      <c r="L401" t="s">
        <v>46</v>
      </c>
      <c r="M401">
        <v>171</v>
      </c>
      <c r="N401">
        <v>1</v>
      </c>
      <c r="O401">
        <v>136.74</v>
      </c>
      <c r="P401" s="1">
        <v>45600.337962962964</v>
      </c>
      <c r="Q401">
        <v>18</v>
      </c>
      <c r="R401" t="s">
        <v>47</v>
      </c>
      <c r="S401">
        <v>-0.10003135347074001</v>
      </c>
      <c r="T401" t="b">
        <v>0</v>
      </c>
      <c r="U401" t="b">
        <v>0</v>
      </c>
      <c r="V401" t="b">
        <f t="shared" si="12"/>
        <v>1</v>
      </c>
      <c r="W401">
        <v>0</v>
      </c>
      <c r="Y401">
        <f t="shared" si="13"/>
        <v>0</v>
      </c>
    </row>
    <row r="402" spans="1:25" x14ac:dyDescent="0.3">
      <c r="A402" t="s">
        <v>1458</v>
      </c>
      <c r="B402" t="s">
        <v>1459</v>
      </c>
      <c r="C402">
        <v>194.85</v>
      </c>
      <c r="D402" s="1">
        <v>45181.701631944445</v>
      </c>
      <c r="E402" t="s">
        <v>25</v>
      </c>
      <c r="F402" t="s">
        <v>405</v>
      </c>
      <c r="G402" t="s">
        <v>1460</v>
      </c>
      <c r="H402" t="s">
        <v>1461</v>
      </c>
      <c r="I402" t="s">
        <v>1300</v>
      </c>
      <c r="J402" t="s">
        <v>45</v>
      </c>
      <c r="K402">
        <v>23</v>
      </c>
      <c r="L402" t="s">
        <v>46</v>
      </c>
      <c r="M402">
        <v>130</v>
      </c>
      <c r="N402">
        <v>4</v>
      </c>
      <c r="O402">
        <v>319.83999999999997</v>
      </c>
      <c r="P402" s="1">
        <v>45600.338900462964</v>
      </c>
      <c r="Q402">
        <v>16</v>
      </c>
      <c r="R402" t="s">
        <v>32</v>
      </c>
      <c r="S402">
        <v>-0.35192704203306702</v>
      </c>
      <c r="T402" t="b">
        <v>0</v>
      </c>
      <c r="U402" t="b">
        <v>1</v>
      </c>
      <c r="V402" t="b">
        <f t="shared" si="12"/>
        <v>1</v>
      </c>
      <c r="W402">
        <v>1</v>
      </c>
      <c r="Y402">
        <f t="shared" si="13"/>
        <v>0</v>
      </c>
    </row>
    <row r="403" spans="1:25" x14ac:dyDescent="0.3">
      <c r="A403" t="s">
        <v>1462</v>
      </c>
      <c r="B403" t="s">
        <v>24</v>
      </c>
      <c r="C403">
        <v>137.35</v>
      </c>
      <c r="D403" s="1">
        <v>45014.758530092593</v>
      </c>
      <c r="E403" t="s">
        <v>57</v>
      </c>
      <c r="F403" t="s">
        <v>298</v>
      </c>
      <c r="G403" t="s">
        <v>36</v>
      </c>
      <c r="H403" t="s">
        <v>1463</v>
      </c>
      <c r="I403" t="s">
        <v>178</v>
      </c>
      <c r="J403" t="s">
        <v>45</v>
      </c>
      <c r="K403">
        <v>40</v>
      </c>
      <c r="L403" t="s">
        <v>31</v>
      </c>
      <c r="M403">
        <v>220</v>
      </c>
      <c r="N403">
        <v>1</v>
      </c>
      <c r="O403">
        <v>12662.66</v>
      </c>
      <c r="P403" s="1">
        <v>45600.340543981481</v>
      </c>
      <c r="Q403">
        <v>18</v>
      </c>
      <c r="R403" t="s">
        <v>74</v>
      </c>
      <c r="S403">
        <v>-0.54888110910314902</v>
      </c>
      <c r="T403" t="b">
        <v>0</v>
      </c>
      <c r="U403" t="b">
        <v>0</v>
      </c>
      <c r="V403" t="b">
        <f t="shared" si="12"/>
        <v>1</v>
      </c>
      <c r="W403">
        <v>0</v>
      </c>
      <c r="Y403">
        <f t="shared" si="13"/>
        <v>0</v>
      </c>
    </row>
    <row r="404" spans="1:25" x14ac:dyDescent="0.3">
      <c r="A404" t="s">
        <v>1464</v>
      </c>
      <c r="B404" t="s">
        <v>1465</v>
      </c>
      <c r="C404">
        <v>712.75</v>
      </c>
      <c r="D404" s="1">
        <v>45072.713842592595</v>
      </c>
      <c r="E404" t="s">
        <v>25</v>
      </c>
      <c r="F404" t="s">
        <v>256</v>
      </c>
      <c r="G404" t="s">
        <v>1466</v>
      </c>
      <c r="H404" t="s">
        <v>1388</v>
      </c>
      <c r="I404" t="s">
        <v>239</v>
      </c>
      <c r="J404" t="s">
        <v>81</v>
      </c>
      <c r="K404">
        <v>44</v>
      </c>
      <c r="L404" t="s">
        <v>31</v>
      </c>
      <c r="M404">
        <v>25</v>
      </c>
      <c r="N404">
        <v>1</v>
      </c>
      <c r="O404">
        <v>8126.06</v>
      </c>
      <c r="P404" s="1">
        <v>45600.340185185189</v>
      </c>
      <c r="Q404">
        <v>17</v>
      </c>
      <c r="R404" t="s">
        <v>54</v>
      </c>
      <c r="S404">
        <v>1.4220296768468399</v>
      </c>
      <c r="T404" t="b">
        <v>0</v>
      </c>
      <c r="U404" t="b">
        <v>0</v>
      </c>
      <c r="V404" t="b">
        <f t="shared" si="12"/>
        <v>1</v>
      </c>
      <c r="W404">
        <v>0</v>
      </c>
      <c r="Y404">
        <f t="shared" si="13"/>
        <v>0</v>
      </c>
    </row>
    <row r="405" spans="1:25" x14ac:dyDescent="0.3">
      <c r="A405" t="s">
        <v>1467</v>
      </c>
      <c r="B405" t="s">
        <v>889</v>
      </c>
      <c r="C405">
        <v>353.82</v>
      </c>
      <c r="D405" s="1">
        <v>45026.748599537037</v>
      </c>
      <c r="E405" t="s">
        <v>25</v>
      </c>
      <c r="F405" t="s">
        <v>191</v>
      </c>
      <c r="G405" t="s">
        <v>1197</v>
      </c>
      <c r="H405" t="s">
        <v>1468</v>
      </c>
      <c r="I405" t="s">
        <v>88</v>
      </c>
      <c r="J405" t="s">
        <v>30</v>
      </c>
      <c r="K405">
        <v>42</v>
      </c>
      <c r="L405" t="s">
        <v>31</v>
      </c>
      <c r="M405">
        <v>143</v>
      </c>
      <c r="N405">
        <v>1</v>
      </c>
      <c r="O405">
        <v>705.75</v>
      </c>
      <c r="P405" s="1">
        <v>45600.337962962964</v>
      </c>
      <c r="Q405">
        <v>17</v>
      </c>
      <c r="R405" t="s">
        <v>47</v>
      </c>
      <c r="S405">
        <v>0.19259101087355501</v>
      </c>
      <c r="T405" t="b">
        <v>0</v>
      </c>
      <c r="U405" t="b">
        <v>0</v>
      </c>
      <c r="V405" t="b">
        <f t="shared" si="12"/>
        <v>1</v>
      </c>
      <c r="W405">
        <v>0</v>
      </c>
      <c r="Y405">
        <f t="shared" si="13"/>
        <v>0</v>
      </c>
    </row>
    <row r="406" spans="1:25" x14ac:dyDescent="0.3">
      <c r="A406" t="s">
        <v>1469</v>
      </c>
      <c r="B406" t="s">
        <v>1470</v>
      </c>
      <c r="C406">
        <v>507.25</v>
      </c>
      <c r="D406" s="1">
        <v>45229.723356481481</v>
      </c>
      <c r="E406" t="s">
        <v>25</v>
      </c>
      <c r="F406" t="s">
        <v>466</v>
      </c>
      <c r="G406" t="s">
        <v>1471</v>
      </c>
      <c r="H406" t="s">
        <v>1472</v>
      </c>
      <c r="I406" t="s">
        <v>383</v>
      </c>
      <c r="J406" t="s">
        <v>81</v>
      </c>
      <c r="K406">
        <v>73</v>
      </c>
      <c r="L406" t="s">
        <v>82</v>
      </c>
      <c r="M406">
        <v>143</v>
      </c>
      <c r="N406">
        <v>1</v>
      </c>
      <c r="O406">
        <v>5331.57</v>
      </c>
      <c r="P406" s="1">
        <v>45600.341087962966</v>
      </c>
      <c r="Q406">
        <v>17</v>
      </c>
      <c r="R406" t="s">
        <v>47</v>
      </c>
      <c r="S406">
        <v>0.71813296757899203</v>
      </c>
      <c r="T406" t="b">
        <v>0</v>
      </c>
      <c r="U406" t="b">
        <v>0</v>
      </c>
      <c r="V406" t="b">
        <f t="shared" si="12"/>
        <v>1</v>
      </c>
      <c r="W406">
        <v>0</v>
      </c>
      <c r="Y406">
        <f t="shared" si="13"/>
        <v>0</v>
      </c>
    </row>
    <row r="407" spans="1:25" x14ac:dyDescent="0.3">
      <c r="A407" t="s">
        <v>1473</v>
      </c>
      <c r="B407" t="s">
        <v>397</v>
      </c>
      <c r="C407">
        <v>212.74</v>
      </c>
      <c r="D407" s="1">
        <v>45274.787199074075</v>
      </c>
      <c r="E407" t="s">
        <v>25</v>
      </c>
      <c r="F407" t="s">
        <v>70</v>
      </c>
      <c r="G407" t="s">
        <v>1474</v>
      </c>
      <c r="H407" t="s">
        <v>1475</v>
      </c>
      <c r="I407" t="s">
        <v>1358</v>
      </c>
      <c r="J407" t="s">
        <v>81</v>
      </c>
      <c r="K407">
        <v>27</v>
      </c>
      <c r="L407" t="s">
        <v>89</v>
      </c>
      <c r="M407">
        <v>128</v>
      </c>
      <c r="N407">
        <v>1</v>
      </c>
      <c r="O407">
        <v>7645.47</v>
      </c>
      <c r="P407" s="1">
        <v>45600.338761574072</v>
      </c>
      <c r="Q407">
        <v>18</v>
      </c>
      <c r="R407" t="s">
        <v>141</v>
      </c>
      <c r="S407">
        <v>-0.29064863751335002</v>
      </c>
      <c r="T407" t="b">
        <v>0</v>
      </c>
      <c r="U407" t="b">
        <v>0</v>
      </c>
      <c r="V407" t="b">
        <f t="shared" si="12"/>
        <v>1</v>
      </c>
      <c r="W407">
        <v>0</v>
      </c>
      <c r="Y407">
        <f t="shared" si="13"/>
        <v>0</v>
      </c>
    </row>
    <row r="408" spans="1:25" x14ac:dyDescent="0.3">
      <c r="A408" t="s">
        <v>1476</v>
      </c>
      <c r="B408" t="s">
        <v>277</v>
      </c>
      <c r="C408">
        <v>364.42</v>
      </c>
      <c r="D408" s="1">
        <v>45209.713506944441</v>
      </c>
      <c r="E408" t="s">
        <v>25</v>
      </c>
      <c r="F408" t="s">
        <v>534</v>
      </c>
      <c r="G408" t="s">
        <v>551</v>
      </c>
      <c r="H408" t="s">
        <v>1477</v>
      </c>
      <c r="I408" t="s">
        <v>316</v>
      </c>
      <c r="J408" t="s">
        <v>30</v>
      </c>
      <c r="K408">
        <v>51</v>
      </c>
      <c r="L408" t="s">
        <v>89</v>
      </c>
      <c r="M408">
        <v>146</v>
      </c>
      <c r="N408">
        <v>1</v>
      </c>
      <c r="O408">
        <v>8119.73</v>
      </c>
      <c r="P408" s="1">
        <v>45600.339768518519</v>
      </c>
      <c r="Q408">
        <v>17</v>
      </c>
      <c r="R408" t="s">
        <v>32</v>
      </c>
      <c r="S408">
        <v>0.22889906497691001</v>
      </c>
      <c r="T408" t="b">
        <v>0</v>
      </c>
      <c r="U408" t="b">
        <v>0</v>
      </c>
      <c r="V408" t="b">
        <f t="shared" si="12"/>
        <v>1</v>
      </c>
      <c r="W408">
        <v>0</v>
      </c>
      <c r="Y408">
        <f t="shared" si="13"/>
        <v>0</v>
      </c>
    </row>
    <row r="409" spans="1:25" x14ac:dyDescent="0.3">
      <c r="A409" t="s">
        <v>1478</v>
      </c>
      <c r="B409" t="s">
        <v>622</v>
      </c>
      <c r="C409">
        <v>195.12</v>
      </c>
      <c r="D409" s="1">
        <v>45132.738020833334</v>
      </c>
      <c r="E409" t="s">
        <v>25</v>
      </c>
      <c r="F409" t="s">
        <v>120</v>
      </c>
      <c r="G409" t="s">
        <v>1479</v>
      </c>
      <c r="H409" t="s">
        <v>1480</v>
      </c>
      <c r="I409" t="s">
        <v>182</v>
      </c>
      <c r="J409" t="s">
        <v>30</v>
      </c>
      <c r="K409">
        <v>46</v>
      </c>
      <c r="L409" t="s">
        <v>31</v>
      </c>
      <c r="M409">
        <v>144</v>
      </c>
      <c r="N409">
        <v>1</v>
      </c>
      <c r="O409">
        <v>6101.15</v>
      </c>
      <c r="P409" s="1">
        <v>45600.340740740743</v>
      </c>
      <c r="Q409">
        <v>17</v>
      </c>
      <c r="R409" t="s">
        <v>32</v>
      </c>
      <c r="S409">
        <v>-0.35100221423986899</v>
      </c>
      <c r="T409" t="b">
        <v>0</v>
      </c>
      <c r="U409" t="b">
        <v>0</v>
      </c>
      <c r="V409" t="b">
        <f t="shared" si="12"/>
        <v>1</v>
      </c>
      <c r="W409">
        <v>0</v>
      </c>
      <c r="Y409">
        <f t="shared" si="13"/>
        <v>0</v>
      </c>
    </row>
    <row r="410" spans="1:25" x14ac:dyDescent="0.3">
      <c r="A410" t="s">
        <v>1481</v>
      </c>
      <c r="B410" t="s">
        <v>654</v>
      </c>
      <c r="C410">
        <v>230.61</v>
      </c>
      <c r="D410" s="1">
        <v>45173.6953587963</v>
      </c>
      <c r="E410" t="s">
        <v>25</v>
      </c>
      <c r="F410" t="s">
        <v>50</v>
      </c>
      <c r="G410" t="s">
        <v>1482</v>
      </c>
      <c r="H410" t="s">
        <v>1483</v>
      </c>
      <c r="I410" t="s">
        <v>605</v>
      </c>
      <c r="J410" t="s">
        <v>81</v>
      </c>
      <c r="K410">
        <v>80</v>
      </c>
      <c r="L410" t="s">
        <v>82</v>
      </c>
      <c r="M410">
        <v>204</v>
      </c>
      <c r="N410">
        <v>1</v>
      </c>
      <c r="O410">
        <v>2561.42</v>
      </c>
      <c r="P410" s="1">
        <v>45600.340115740742</v>
      </c>
      <c r="Q410">
        <v>16</v>
      </c>
      <c r="R410" t="s">
        <v>47</v>
      </c>
      <c r="S410">
        <v>-0.229438738756091</v>
      </c>
      <c r="T410" t="b">
        <v>0</v>
      </c>
      <c r="U410" t="b">
        <v>0</v>
      </c>
      <c r="V410" t="b">
        <f t="shared" si="12"/>
        <v>1</v>
      </c>
      <c r="W410">
        <v>0</v>
      </c>
      <c r="Y410">
        <f t="shared" si="13"/>
        <v>0</v>
      </c>
    </row>
    <row r="411" spans="1:25" x14ac:dyDescent="0.3">
      <c r="A411" t="s">
        <v>1484</v>
      </c>
      <c r="B411" t="s">
        <v>1485</v>
      </c>
      <c r="C411">
        <v>739.28</v>
      </c>
      <c r="D411" s="1">
        <v>45096.698738425926</v>
      </c>
      <c r="E411" t="s">
        <v>57</v>
      </c>
      <c r="F411" t="s">
        <v>268</v>
      </c>
      <c r="G411" t="s">
        <v>1486</v>
      </c>
      <c r="H411" t="s">
        <v>1487</v>
      </c>
      <c r="I411" t="s">
        <v>620</v>
      </c>
      <c r="J411" t="s">
        <v>81</v>
      </c>
      <c r="K411">
        <v>58</v>
      </c>
      <c r="L411" t="s">
        <v>31</v>
      </c>
      <c r="M411">
        <v>47</v>
      </c>
      <c r="N411">
        <v>1</v>
      </c>
      <c r="O411">
        <v>11905.64</v>
      </c>
      <c r="P411" s="1">
        <v>45600.341122685182</v>
      </c>
      <c r="Q411">
        <v>16</v>
      </c>
      <c r="R411" t="s">
        <v>47</v>
      </c>
      <c r="S411">
        <v>1.5129025707489201</v>
      </c>
      <c r="T411" t="b">
        <v>0</v>
      </c>
      <c r="U411" t="b">
        <v>0</v>
      </c>
      <c r="V411" t="b">
        <f t="shared" si="12"/>
        <v>1</v>
      </c>
      <c r="W411">
        <v>0</v>
      </c>
      <c r="Y411">
        <f t="shared" si="13"/>
        <v>0</v>
      </c>
    </row>
    <row r="412" spans="1:25" x14ac:dyDescent="0.3">
      <c r="A412" t="s">
        <v>1488</v>
      </c>
      <c r="B412" t="s">
        <v>1324</v>
      </c>
      <c r="C412">
        <v>390.35</v>
      </c>
      <c r="D412" s="1">
        <v>45195.77553240741</v>
      </c>
      <c r="E412" t="s">
        <v>57</v>
      </c>
      <c r="F412" t="s">
        <v>309</v>
      </c>
      <c r="G412" t="s">
        <v>1432</v>
      </c>
      <c r="H412" t="s">
        <v>478</v>
      </c>
      <c r="I412" t="s">
        <v>73</v>
      </c>
      <c r="J412" t="s">
        <v>30</v>
      </c>
      <c r="K412">
        <v>64</v>
      </c>
      <c r="L412" t="s">
        <v>31</v>
      </c>
      <c r="M412">
        <v>61</v>
      </c>
      <c r="N412">
        <v>1</v>
      </c>
      <c r="O412">
        <v>7095.88</v>
      </c>
      <c r="P412" s="1">
        <v>45600.340289351851</v>
      </c>
      <c r="Q412">
        <v>18</v>
      </c>
      <c r="R412" t="s">
        <v>32</v>
      </c>
      <c r="S412">
        <v>0.31771678600520897</v>
      </c>
      <c r="T412" t="b">
        <v>0</v>
      </c>
      <c r="U412" t="b">
        <v>0</v>
      </c>
      <c r="V412" t="b">
        <f t="shared" si="12"/>
        <v>1</v>
      </c>
      <c r="W412">
        <v>0</v>
      </c>
      <c r="Y412">
        <f t="shared" si="13"/>
        <v>0</v>
      </c>
    </row>
    <row r="413" spans="1:25" x14ac:dyDescent="0.3">
      <c r="A413" t="s">
        <v>1489</v>
      </c>
      <c r="B413" t="s">
        <v>1431</v>
      </c>
      <c r="C413">
        <v>242.03</v>
      </c>
      <c r="D413" s="1">
        <v>44998.672696759262</v>
      </c>
      <c r="E413" t="s">
        <v>25</v>
      </c>
      <c r="F413" t="s">
        <v>336</v>
      </c>
      <c r="G413" t="s">
        <v>708</v>
      </c>
      <c r="H413" t="s">
        <v>1490</v>
      </c>
      <c r="I413" t="s">
        <v>253</v>
      </c>
      <c r="J413" t="s">
        <v>45</v>
      </c>
      <c r="K413">
        <v>58</v>
      </c>
      <c r="L413" t="s">
        <v>89</v>
      </c>
      <c r="M413">
        <v>124</v>
      </c>
      <c r="N413">
        <v>1</v>
      </c>
      <c r="O413">
        <v>4382.7299999999996</v>
      </c>
      <c r="P413" s="1">
        <v>45600.338333333333</v>
      </c>
      <c r="Q413">
        <v>16</v>
      </c>
      <c r="R413" t="s">
        <v>47</v>
      </c>
      <c r="S413">
        <v>-0.19032194839191199</v>
      </c>
      <c r="T413" t="b">
        <v>0</v>
      </c>
      <c r="U413" t="b">
        <v>0</v>
      </c>
      <c r="V413" t="b">
        <f t="shared" si="12"/>
        <v>1</v>
      </c>
      <c r="W413">
        <v>0</v>
      </c>
      <c r="Y413">
        <f t="shared" si="13"/>
        <v>0</v>
      </c>
    </row>
    <row r="414" spans="1:25" x14ac:dyDescent="0.3">
      <c r="A414" t="s">
        <v>1491</v>
      </c>
      <c r="B414" t="s">
        <v>249</v>
      </c>
      <c r="C414">
        <v>242.39</v>
      </c>
      <c r="D414" s="1">
        <v>45250.68712962963</v>
      </c>
      <c r="E414" t="s">
        <v>57</v>
      </c>
      <c r="F414" t="s">
        <v>250</v>
      </c>
      <c r="G414" t="s">
        <v>1492</v>
      </c>
      <c r="H414" t="s">
        <v>1245</v>
      </c>
      <c r="I414" t="s">
        <v>194</v>
      </c>
      <c r="J414" t="s">
        <v>30</v>
      </c>
      <c r="K414">
        <v>18</v>
      </c>
      <c r="L414" t="s">
        <v>46</v>
      </c>
      <c r="M414">
        <v>271</v>
      </c>
      <c r="N414">
        <v>1</v>
      </c>
      <c r="O414">
        <v>1328.73</v>
      </c>
      <c r="P414" s="1">
        <v>45600.338055555556</v>
      </c>
      <c r="Q414">
        <v>16</v>
      </c>
      <c r="R414" t="s">
        <v>47</v>
      </c>
      <c r="S414">
        <v>-0.189088844667647</v>
      </c>
      <c r="T414" t="b">
        <v>0</v>
      </c>
      <c r="U414" t="b">
        <v>0</v>
      </c>
      <c r="V414" t="b">
        <f t="shared" si="12"/>
        <v>1</v>
      </c>
      <c r="W414">
        <v>0</v>
      </c>
      <c r="Y414">
        <f t="shared" si="13"/>
        <v>0</v>
      </c>
    </row>
    <row r="415" spans="1:25" x14ac:dyDescent="0.3">
      <c r="A415" t="s">
        <v>1493</v>
      </c>
      <c r="B415" t="s">
        <v>1017</v>
      </c>
      <c r="C415">
        <v>135.03</v>
      </c>
      <c r="D415" s="1">
        <v>44981.708634259259</v>
      </c>
      <c r="E415" t="s">
        <v>25</v>
      </c>
      <c r="F415" t="s">
        <v>225</v>
      </c>
      <c r="G415" t="s">
        <v>960</v>
      </c>
      <c r="H415" t="s">
        <v>1494</v>
      </c>
      <c r="I415" t="s">
        <v>361</v>
      </c>
      <c r="J415" t="s">
        <v>30</v>
      </c>
      <c r="K415">
        <v>23</v>
      </c>
      <c r="L415" t="s">
        <v>46</v>
      </c>
      <c r="M415">
        <v>180</v>
      </c>
      <c r="N415">
        <v>1</v>
      </c>
      <c r="O415">
        <v>1278</v>
      </c>
      <c r="P415" s="1">
        <v>45600.339097222219</v>
      </c>
      <c r="Q415">
        <v>17</v>
      </c>
      <c r="R415" t="s">
        <v>54</v>
      </c>
      <c r="S415">
        <v>-0.55682777754841095</v>
      </c>
      <c r="T415" t="b">
        <v>0</v>
      </c>
      <c r="U415" t="b">
        <v>0</v>
      </c>
      <c r="V415" t="b">
        <f t="shared" si="12"/>
        <v>1</v>
      </c>
      <c r="W415">
        <v>0</v>
      </c>
      <c r="Y415">
        <f t="shared" si="13"/>
        <v>0</v>
      </c>
    </row>
    <row r="416" spans="1:25" x14ac:dyDescent="0.3">
      <c r="A416" t="s">
        <v>1495</v>
      </c>
      <c r="B416" t="s">
        <v>1160</v>
      </c>
      <c r="C416">
        <v>83.5</v>
      </c>
      <c r="D416" s="1">
        <v>45061.783043981479</v>
      </c>
      <c r="E416" t="s">
        <v>25</v>
      </c>
      <c r="F416" t="s">
        <v>336</v>
      </c>
      <c r="G416" t="s">
        <v>1396</v>
      </c>
      <c r="H416" t="s">
        <v>719</v>
      </c>
      <c r="I416" t="s">
        <v>753</v>
      </c>
      <c r="J416" t="s">
        <v>81</v>
      </c>
      <c r="K416">
        <v>61</v>
      </c>
      <c r="L416" t="s">
        <v>82</v>
      </c>
      <c r="M416">
        <v>91</v>
      </c>
      <c r="N416">
        <v>5</v>
      </c>
      <c r="O416">
        <v>1749.79</v>
      </c>
      <c r="P416" s="1">
        <v>45600.338449074072</v>
      </c>
      <c r="Q416">
        <v>18</v>
      </c>
      <c r="R416" t="s">
        <v>47</v>
      </c>
      <c r="S416">
        <v>-0.73333287452443396</v>
      </c>
      <c r="T416" t="b">
        <v>0</v>
      </c>
      <c r="U416" t="b">
        <v>1</v>
      </c>
      <c r="V416" t="b">
        <f t="shared" si="12"/>
        <v>1</v>
      </c>
      <c r="W416">
        <v>1</v>
      </c>
      <c r="Y416">
        <f t="shared" si="13"/>
        <v>0</v>
      </c>
    </row>
    <row r="417" spans="1:25" x14ac:dyDescent="0.3">
      <c r="A417" t="s">
        <v>1496</v>
      </c>
      <c r="B417" t="s">
        <v>912</v>
      </c>
      <c r="C417">
        <v>193.54</v>
      </c>
      <c r="D417" s="1">
        <v>45223.696562500001</v>
      </c>
      <c r="E417" t="s">
        <v>25</v>
      </c>
      <c r="F417" t="s">
        <v>64</v>
      </c>
      <c r="G417" t="s">
        <v>811</v>
      </c>
      <c r="H417" t="s">
        <v>1497</v>
      </c>
      <c r="I417" t="s">
        <v>782</v>
      </c>
      <c r="J417" t="s">
        <v>81</v>
      </c>
      <c r="K417">
        <v>80</v>
      </c>
      <c r="L417" t="s">
        <v>82</v>
      </c>
      <c r="M417">
        <v>267</v>
      </c>
      <c r="N417">
        <v>1</v>
      </c>
      <c r="O417">
        <v>2929.51</v>
      </c>
      <c r="P417" s="1">
        <v>45600.339189814818</v>
      </c>
      <c r="Q417">
        <v>16</v>
      </c>
      <c r="R417" t="s">
        <v>32</v>
      </c>
      <c r="S417">
        <v>-0.35641416947414201</v>
      </c>
      <c r="T417" t="b">
        <v>0</v>
      </c>
      <c r="U417" t="b">
        <v>0</v>
      </c>
      <c r="V417" t="b">
        <f t="shared" si="12"/>
        <v>1</v>
      </c>
      <c r="W417">
        <v>0</v>
      </c>
      <c r="Y417">
        <f t="shared" si="13"/>
        <v>0</v>
      </c>
    </row>
    <row r="418" spans="1:25" x14ac:dyDescent="0.3">
      <c r="A418" t="s">
        <v>1498</v>
      </c>
      <c r="B418" t="s">
        <v>368</v>
      </c>
      <c r="C418">
        <v>617.36</v>
      </c>
      <c r="D418" s="1">
        <v>45251.712002314816</v>
      </c>
      <c r="E418" t="s">
        <v>25</v>
      </c>
      <c r="F418" t="s">
        <v>304</v>
      </c>
      <c r="G418" t="s">
        <v>1499</v>
      </c>
      <c r="H418" t="s">
        <v>320</v>
      </c>
      <c r="I418" t="s">
        <v>88</v>
      </c>
      <c r="J418" t="s">
        <v>81</v>
      </c>
      <c r="K418">
        <v>29</v>
      </c>
      <c r="L418" t="s">
        <v>89</v>
      </c>
      <c r="M418">
        <v>61</v>
      </c>
      <c r="N418">
        <v>1</v>
      </c>
      <c r="O418">
        <v>8926.3799999999992</v>
      </c>
      <c r="P418" s="1">
        <v>45600.339849537035</v>
      </c>
      <c r="Q418">
        <v>17</v>
      </c>
      <c r="R418" t="s">
        <v>32</v>
      </c>
      <c r="S418">
        <v>1.0952914427978899</v>
      </c>
      <c r="T418" t="b">
        <v>0</v>
      </c>
      <c r="U418" t="b">
        <v>0</v>
      </c>
      <c r="V418" t="b">
        <f t="shared" si="12"/>
        <v>1</v>
      </c>
      <c r="W418">
        <v>0</v>
      </c>
      <c r="Y418">
        <f t="shared" si="13"/>
        <v>0</v>
      </c>
    </row>
    <row r="419" spans="1:25" x14ac:dyDescent="0.3">
      <c r="A419" t="s">
        <v>1500</v>
      </c>
      <c r="B419" t="s">
        <v>1501</v>
      </c>
      <c r="C419">
        <v>775.23</v>
      </c>
      <c r="D419" s="1">
        <v>45145.694467592592</v>
      </c>
      <c r="E419" t="s">
        <v>57</v>
      </c>
      <c r="F419" t="s">
        <v>98</v>
      </c>
      <c r="G419" t="s">
        <v>1502</v>
      </c>
      <c r="H419" t="s">
        <v>1503</v>
      </c>
      <c r="I419" t="s">
        <v>321</v>
      </c>
      <c r="J419" t="s">
        <v>45</v>
      </c>
      <c r="K419">
        <v>59</v>
      </c>
      <c r="L419" t="s">
        <v>31</v>
      </c>
      <c r="M419">
        <v>38</v>
      </c>
      <c r="N419">
        <v>1</v>
      </c>
      <c r="O419">
        <v>5977.59</v>
      </c>
      <c r="P419" s="1">
        <v>45600.338206018518</v>
      </c>
      <c r="Q419">
        <v>16</v>
      </c>
      <c r="R419" t="s">
        <v>47</v>
      </c>
      <c r="S419">
        <v>1.63604167876926</v>
      </c>
      <c r="T419" t="b">
        <v>0</v>
      </c>
      <c r="U419" t="b">
        <v>0</v>
      </c>
      <c r="V419" t="b">
        <f t="shared" si="12"/>
        <v>1</v>
      </c>
      <c r="W419">
        <v>0</v>
      </c>
      <c r="Y419">
        <f t="shared" si="13"/>
        <v>0</v>
      </c>
    </row>
    <row r="420" spans="1:25" x14ac:dyDescent="0.3">
      <c r="A420" t="s">
        <v>1504</v>
      </c>
      <c r="B420" t="s">
        <v>224</v>
      </c>
      <c r="C420">
        <v>266.57</v>
      </c>
      <c r="D420" s="1">
        <v>45195.713263888887</v>
      </c>
      <c r="E420" t="s">
        <v>25</v>
      </c>
      <c r="F420" t="s">
        <v>519</v>
      </c>
      <c r="G420" t="s">
        <v>933</v>
      </c>
      <c r="H420" t="s">
        <v>946</v>
      </c>
      <c r="I420" t="s">
        <v>1013</v>
      </c>
      <c r="J420" t="s">
        <v>30</v>
      </c>
      <c r="K420">
        <v>72</v>
      </c>
      <c r="L420" t="s">
        <v>82</v>
      </c>
      <c r="M420">
        <v>100</v>
      </c>
      <c r="N420">
        <v>1</v>
      </c>
      <c r="O420">
        <v>7676.92</v>
      </c>
      <c r="P420" s="1">
        <v>45600.339780092596</v>
      </c>
      <c r="Q420">
        <v>17</v>
      </c>
      <c r="R420" t="s">
        <v>32</v>
      </c>
      <c r="S420">
        <v>-0.106265377854524</v>
      </c>
      <c r="T420" t="b">
        <v>0</v>
      </c>
      <c r="U420" t="b">
        <v>0</v>
      </c>
      <c r="V420" t="b">
        <f t="shared" si="12"/>
        <v>1</v>
      </c>
      <c r="W420">
        <v>0</v>
      </c>
      <c r="Y420">
        <f t="shared" si="13"/>
        <v>0</v>
      </c>
    </row>
    <row r="421" spans="1:25" x14ac:dyDescent="0.3">
      <c r="A421" t="s">
        <v>1505</v>
      </c>
      <c r="B421" t="s">
        <v>255</v>
      </c>
      <c r="C421">
        <v>153.4</v>
      </c>
      <c r="D421" s="1">
        <v>45016.733993055554</v>
      </c>
      <c r="E421" t="s">
        <v>25</v>
      </c>
      <c r="F421" t="s">
        <v>41</v>
      </c>
      <c r="G421" t="s">
        <v>1506</v>
      </c>
      <c r="H421" t="s">
        <v>1507</v>
      </c>
      <c r="I421" t="s">
        <v>112</v>
      </c>
      <c r="J421" t="s">
        <v>30</v>
      </c>
      <c r="K421">
        <v>45</v>
      </c>
      <c r="L421" t="s">
        <v>89</v>
      </c>
      <c r="M421">
        <v>144</v>
      </c>
      <c r="N421">
        <v>1</v>
      </c>
      <c r="O421">
        <v>4657.7</v>
      </c>
      <c r="P421" s="1">
        <v>45600.33898148148</v>
      </c>
      <c r="Q421">
        <v>17</v>
      </c>
      <c r="R421" t="s">
        <v>54</v>
      </c>
      <c r="S421">
        <v>-0.49390523472967401</v>
      </c>
      <c r="T421" t="b">
        <v>0</v>
      </c>
      <c r="U421" t="b">
        <v>0</v>
      </c>
      <c r="V421" t="b">
        <f t="shared" si="12"/>
        <v>1</v>
      </c>
      <c r="W421">
        <v>0</v>
      </c>
      <c r="Y421">
        <f t="shared" si="13"/>
        <v>0</v>
      </c>
    </row>
    <row r="422" spans="1:25" x14ac:dyDescent="0.3">
      <c r="A422" t="s">
        <v>1508</v>
      </c>
      <c r="B422" t="s">
        <v>558</v>
      </c>
      <c r="C422">
        <v>946.94</v>
      </c>
      <c r="D422" s="1">
        <v>45271.721608796295</v>
      </c>
      <c r="E422" t="s">
        <v>25</v>
      </c>
      <c r="F422" t="s">
        <v>262</v>
      </c>
      <c r="G422" t="s">
        <v>502</v>
      </c>
      <c r="H422" t="s">
        <v>1509</v>
      </c>
      <c r="I422" t="s">
        <v>775</v>
      </c>
      <c r="J422" t="s">
        <v>81</v>
      </c>
      <c r="K422">
        <v>53</v>
      </c>
      <c r="L422" t="s">
        <v>82</v>
      </c>
      <c r="M422">
        <v>251</v>
      </c>
      <c r="N422">
        <v>1</v>
      </c>
      <c r="O422">
        <v>5579.11</v>
      </c>
      <c r="P422" s="1">
        <v>45600.338321759256</v>
      </c>
      <c r="Q422">
        <v>17</v>
      </c>
      <c r="R422" t="s">
        <v>47</v>
      </c>
      <c r="S422">
        <v>2.2241979023623601</v>
      </c>
      <c r="T422" t="b">
        <v>1</v>
      </c>
      <c r="U422" t="b">
        <v>0</v>
      </c>
      <c r="V422" t="b">
        <f t="shared" si="12"/>
        <v>1</v>
      </c>
      <c r="W422">
        <v>1</v>
      </c>
      <c r="Y422">
        <f t="shared" si="13"/>
        <v>1</v>
      </c>
    </row>
    <row r="423" spans="1:25" x14ac:dyDescent="0.3">
      <c r="A423" t="s">
        <v>1510</v>
      </c>
      <c r="B423" t="s">
        <v>533</v>
      </c>
      <c r="C423">
        <v>5.12</v>
      </c>
      <c r="D423" s="1">
        <v>45212.672523148147</v>
      </c>
      <c r="E423" t="s">
        <v>25</v>
      </c>
      <c r="F423" t="s">
        <v>216</v>
      </c>
      <c r="G423" t="s">
        <v>1511</v>
      </c>
      <c r="H423" t="s">
        <v>950</v>
      </c>
      <c r="I423" t="s">
        <v>53</v>
      </c>
      <c r="J423" t="s">
        <v>81</v>
      </c>
      <c r="K423">
        <v>34</v>
      </c>
      <c r="L423" t="s">
        <v>89</v>
      </c>
      <c r="M423">
        <v>90</v>
      </c>
      <c r="N423">
        <v>1</v>
      </c>
      <c r="O423">
        <v>3293.01</v>
      </c>
      <c r="P423" s="1">
        <v>45600.340636574074</v>
      </c>
      <c r="Q423">
        <v>16</v>
      </c>
      <c r="R423" t="s">
        <v>54</v>
      </c>
      <c r="S423">
        <v>-1.00180695760187</v>
      </c>
      <c r="T423" t="b">
        <v>0</v>
      </c>
      <c r="U423" t="b">
        <v>0</v>
      </c>
      <c r="V423" t="b">
        <f t="shared" si="12"/>
        <v>1</v>
      </c>
      <c r="W423">
        <v>0</v>
      </c>
      <c r="Y423">
        <f t="shared" si="13"/>
        <v>0</v>
      </c>
    </row>
    <row r="424" spans="1:25" x14ac:dyDescent="0.3">
      <c r="A424" t="s">
        <v>1512</v>
      </c>
      <c r="B424" t="s">
        <v>697</v>
      </c>
      <c r="C424">
        <v>119.11</v>
      </c>
      <c r="D424" s="1">
        <v>45107.688726851855</v>
      </c>
      <c r="E424" t="s">
        <v>25</v>
      </c>
      <c r="F424" t="s">
        <v>85</v>
      </c>
      <c r="G424" t="s">
        <v>535</v>
      </c>
      <c r="H424" t="s">
        <v>52</v>
      </c>
      <c r="I424" t="s">
        <v>285</v>
      </c>
      <c r="J424" t="s">
        <v>30</v>
      </c>
      <c r="K424">
        <v>57</v>
      </c>
      <c r="L424" t="s">
        <v>89</v>
      </c>
      <c r="M424">
        <v>131</v>
      </c>
      <c r="N424">
        <v>1</v>
      </c>
      <c r="O424">
        <v>7998.25</v>
      </c>
      <c r="P424" s="1">
        <v>45600.340138888889</v>
      </c>
      <c r="Q424">
        <v>16</v>
      </c>
      <c r="R424" t="s">
        <v>54</v>
      </c>
      <c r="S424">
        <v>-0.61135836446590197</v>
      </c>
      <c r="T424" t="b">
        <v>0</v>
      </c>
      <c r="U424" t="b">
        <v>0</v>
      </c>
      <c r="V424" t="b">
        <f t="shared" si="12"/>
        <v>1</v>
      </c>
      <c r="W424">
        <v>0</v>
      </c>
      <c r="Y424">
        <f t="shared" si="13"/>
        <v>0</v>
      </c>
    </row>
    <row r="425" spans="1:25" x14ac:dyDescent="0.3">
      <c r="A425" t="s">
        <v>1513</v>
      </c>
      <c r="B425" t="s">
        <v>1514</v>
      </c>
      <c r="C425">
        <v>1096.7</v>
      </c>
      <c r="D425" s="1">
        <v>45012.702314814815</v>
      </c>
      <c r="E425" t="s">
        <v>25</v>
      </c>
      <c r="F425" t="s">
        <v>534</v>
      </c>
      <c r="G425" t="s">
        <v>1515</v>
      </c>
      <c r="H425" t="s">
        <v>1516</v>
      </c>
      <c r="I425" t="s">
        <v>275</v>
      </c>
      <c r="J425" t="s">
        <v>45</v>
      </c>
      <c r="K425">
        <v>24</v>
      </c>
      <c r="L425" t="s">
        <v>46</v>
      </c>
      <c r="M425">
        <v>147</v>
      </c>
      <c r="N425">
        <v>1</v>
      </c>
      <c r="O425">
        <v>1093.8900000000001</v>
      </c>
      <c r="P425" s="1">
        <v>45600.341296296298</v>
      </c>
      <c r="Q425">
        <v>16</v>
      </c>
      <c r="R425" t="s">
        <v>47</v>
      </c>
      <c r="S425">
        <v>2.7371690516565401</v>
      </c>
      <c r="T425" t="b">
        <v>1</v>
      </c>
      <c r="U425" t="b">
        <v>0</v>
      </c>
      <c r="V425" t="b">
        <f t="shared" si="12"/>
        <v>1</v>
      </c>
      <c r="W425">
        <v>1</v>
      </c>
      <c r="Y425">
        <f t="shared" si="13"/>
        <v>1</v>
      </c>
    </row>
    <row r="426" spans="1:25" x14ac:dyDescent="0.3">
      <c r="A426" t="s">
        <v>1517</v>
      </c>
      <c r="B426" t="s">
        <v>228</v>
      </c>
      <c r="C426">
        <v>119.72</v>
      </c>
      <c r="D426" s="1">
        <v>44960.76059027778</v>
      </c>
      <c r="E426" t="s">
        <v>25</v>
      </c>
      <c r="F426" t="s">
        <v>268</v>
      </c>
      <c r="G426" t="s">
        <v>1399</v>
      </c>
      <c r="H426" t="s">
        <v>1518</v>
      </c>
      <c r="I426" t="s">
        <v>1362</v>
      </c>
      <c r="J426" t="s">
        <v>81</v>
      </c>
      <c r="K426">
        <v>30</v>
      </c>
      <c r="L426" t="s">
        <v>89</v>
      </c>
      <c r="M426">
        <v>123</v>
      </c>
      <c r="N426">
        <v>1</v>
      </c>
      <c r="O426">
        <v>3435.34</v>
      </c>
      <c r="P426" s="1">
        <v>45600.340509259258</v>
      </c>
      <c r="Q426">
        <v>18</v>
      </c>
      <c r="R426" t="s">
        <v>54</v>
      </c>
      <c r="S426">
        <v>-0.60926893871089705</v>
      </c>
      <c r="T426" t="b">
        <v>0</v>
      </c>
      <c r="U426" t="b">
        <v>0</v>
      </c>
      <c r="V426" t="b">
        <f t="shared" si="12"/>
        <v>1</v>
      </c>
      <c r="W426">
        <v>0</v>
      </c>
      <c r="Y426">
        <f t="shared" si="13"/>
        <v>0</v>
      </c>
    </row>
    <row r="427" spans="1:25" x14ac:dyDescent="0.3">
      <c r="A427" t="s">
        <v>1519</v>
      </c>
      <c r="B427" t="s">
        <v>1520</v>
      </c>
      <c r="C427">
        <v>107.4</v>
      </c>
      <c r="D427" s="1">
        <v>45099.699849537035</v>
      </c>
      <c r="E427" t="s">
        <v>25</v>
      </c>
      <c r="F427" t="s">
        <v>314</v>
      </c>
      <c r="G427" t="s">
        <v>1521</v>
      </c>
      <c r="H427" t="s">
        <v>1132</v>
      </c>
      <c r="I427" t="s">
        <v>1294</v>
      </c>
      <c r="J427" t="s">
        <v>45</v>
      </c>
      <c r="K427">
        <v>58</v>
      </c>
      <c r="L427" t="s">
        <v>31</v>
      </c>
      <c r="M427">
        <v>32</v>
      </c>
      <c r="N427">
        <v>1</v>
      </c>
      <c r="O427">
        <v>344.07</v>
      </c>
      <c r="P427" s="1">
        <v>45600.338923611111</v>
      </c>
      <c r="Q427">
        <v>16</v>
      </c>
      <c r="R427" t="s">
        <v>141</v>
      </c>
      <c r="S427">
        <v>-0.65146848838573901</v>
      </c>
      <c r="T427" t="b">
        <v>0</v>
      </c>
      <c r="U427" t="b">
        <v>0</v>
      </c>
      <c r="V427" t="b">
        <f t="shared" si="12"/>
        <v>1</v>
      </c>
      <c r="W427">
        <v>0</v>
      </c>
      <c r="Y427">
        <f t="shared" si="13"/>
        <v>0</v>
      </c>
    </row>
    <row r="428" spans="1:25" x14ac:dyDescent="0.3">
      <c r="A428" t="s">
        <v>1522</v>
      </c>
      <c r="B428" t="s">
        <v>1470</v>
      </c>
      <c r="C428">
        <v>115.92</v>
      </c>
      <c r="D428" s="1">
        <v>44943.779490740744</v>
      </c>
      <c r="E428" t="s">
        <v>25</v>
      </c>
      <c r="F428" t="s">
        <v>50</v>
      </c>
      <c r="G428" t="s">
        <v>1523</v>
      </c>
      <c r="H428" t="s">
        <v>526</v>
      </c>
      <c r="I428" t="s">
        <v>463</v>
      </c>
      <c r="J428" t="s">
        <v>30</v>
      </c>
      <c r="K428">
        <v>53</v>
      </c>
      <c r="L428" t="s">
        <v>82</v>
      </c>
      <c r="M428">
        <v>57</v>
      </c>
      <c r="N428">
        <v>1</v>
      </c>
      <c r="O428">
        <v>3897.17</v>
      </c>
      <c r="P428" s="1">
        <v>45600.339606481481</v>
      </c>
      <c r="Q428">
        <v>18</v>
      </c>
      <c r="R428" t="s">
        <v>32</v>
      </c>
      <c r="S428">
        <v>-0.62228503357813703</v>
      </c>
      <c r="T428" t="b">
        <v>0</v>
      </c>
      <c r="U428" t="b">
        <v>0</v>
      </c>
      <c r="V428" t="b">
        <f t="shared" si="12"/>
        <v>1</v>
      </c>
      <c r="W428">
        <v>0</v>
      </c>
      <c r="Y428">
        <f t="shared" si="13"/>
        <v>0</v>
      </c>
    </row>
    <row r="429" spans="1:25" x14ac:dyDescent="0.3">
      <c r="A429" t="s">
        <v>1524</v>
      </c>
      <c r="B429" t="s">
        <v>1525</v>
      </c>
      <c r="C429">
        <v>438.04</v>
      </c>
      <c r="D429" s="1">
        <v>45162.787569444445</v>
      </c>
      <c r="E429" t="s">
        <v>25</v>
      </c>
      <c r="F429" t="s">
        <v>256</v>
      </c>
      <c r="G429" t="s">
        <v>1526</v>
      </c>
      <c r="H429" t="s">
        <v>966</v>
      </c>
      <c r="I429" t="s">
        <v>117</v>
      </c>
      <c r="J429" t="s">
        <v>30</v>
      </c>
      <c r="K429">
        <v>67</v>
      </c>
      <c r="L429" t="s">
        <v>82</v>
      </c>
      <c r="M429">
        <v>247</v>
      </c>
      <c r="N429">
        <v>1</v>
      </c>
      <c r="O429">
        <v>5358.95</v>
      </c>
      <c r="P429" s="1">
        <v>45600.337881944448</v>
      </c>
      <c r="Q429">
        <v>18</v>
      </c>
      <c r="R429" t="s">
        <v>141</v>
      </c>
      <c r="S429">
        <v>0.48106877658907299</v>
      </c>
      <c r="T429" t="b">
        <v>0</v>
      </c>
      <c r="U429" t="b">
        <v>0</v>
      </c>
      <c r="V429" t="b">
        <f t="shared" si="12"/>
        <v>1</v>
      </c>
      <c r="W429">
        <v>0</v>
      </c>
      <c r="Y429">
        <f t="shared" si="13"/>
        <v>0</v>
      </c>
    </row>
    <row r="430" spans="1:25" x14ac:dyDescent="0.3">
      <c r="A430" t="s">
        <v>1527</v>
      </c>
      <c r="B430" t="s">
        <v>755</v>
      </c>
      <c r="C430">
        <v>677.29</v>
      </c>
      <c r="D430" s="1">
        <v>45047.769444444442</v>
      </c>
      <c r="E430" t="s">
        <v>25</v>
      </c>
      <c r="F430" t="s">
        <v>35</v>
      </c>
      <c r="G430" t="s">
        <v>1350</v>
      </c>
      <c r="H430" t="s">
        <v>1528</v>
      </c>
      <c r="I430" t="s">
        <v>29</v>
      </c>
      <c r="J430" t="s">
        <v>45</v>
      </c>
      <c r="K430">
        <v>27</v>
      </c>
      <c r="L430" t="s">
        <v>89</v>
      </c>
      <c r="M430">
        <v>287</v>
      </c>
      <c r="N430">
        <v>1</v>
      </c>
      <c r="O430">
        <v>627.79</v>
      </c>
      <c r="P430" s="1">
        <v>45600.338379629633</v>
      </c>
      <c r="Q430">
        <v>18</v>
      </c>
      <c r="R430" t="s">
        <v>47</v>
      </c>
      <c r="S430">
        <v>1.30056896000676</v>
      </c>
      <c r="T430" t="b">
        <v>0</v>
      </c>
      <c r="U430" t="b">
        <v>0</v>
      </c>
      <c r="V430" t="b">
        <f t="shared" si="12"/>
        <v>1</v>
      </c>
      <c r="W430">
        <v>0</v>
      </c>
      <c r="Y430">
        <f t="shared" si="13"/>
        <v>0</v>
      </c>
    </row>
    <row r="431" spans="1:25" x14ac:dyDescent="0.3">
      <c r="A431" t="s">
        <v>1529</v>
      </c>
      <c r="B431" t="s">
        <v>1530</v>
      </c>
      <c r="C431">
        <v>296</v>
      </c>
      <c r="D431" s="1">
        <v>45061.684363425928</v>
      </c>
      <c r="E431" t="s">
        <v>25</v>
      </c>
      <c r="F431" t="s">
        <v>159</v>
      </c>
      <c r="G431" t="s">
        <v>1099</v>
      </c>
      <c r="H431" t="s">
        <v>1531</v>
      </c>
      <c r="I431" t="s">
        <v>687</v>
      </c>
      <c r="J431" t="s">
        <v>81</v>
      </c>
      <c r="K431">
        <v>35</v>
      </c>
      <c r="L431" t="s">
        <v>31</v>
      </c>
      <c r="M431">
        <v>248</v>
      </c>
      <c r="N431">
        <v>1</v>
      </c>
      <c r="O431">
        <v>7418.82</v>
      </c>
      <c r="P431" s="1">
        <v>45600.338125000002</v>
      </c>
      <c r="Q431">
        <v>16</v>
      </c>
      <c r="R431" t="s">
        <v>47</v>
      </c>
      <c r="S431">
        <v>-5.4591483958722296E-3</v>
      </c>
      <c r="T431" t="b">
        <v>0</v>
      </c>
      <c r="U431" t="b">
        <v>0</v>
      </c>
      <c r="V431" t="b">
        <f t="shared" si="12"/>
        <v>1</v>
      </c>
      <c r="W431">
        <v>0</v>
      </c>
      <c r="Y431">
        <f t="shared" si="13"/>
        <v>0</v>
      </c>
    </row>
    <row r="432" spans="1:25" x14ac:dyDescent="0.3">
      <c r="A432" t="s">
        <v>1532</v>
      </c>
      <c r="B432" t="s">
        <v>1533</v>
      </c>
      <c r="C432">
        <v>299.08999999999997</v>
      </c>
      <c r="D432" s="1">
        <v>44942.67690972222</v>
      </c>
      <c r="E432" t="s">
        <v>57</v>
      </c>
      <c r="F432" t="s">
        <v>401</v>
      </c>
      <c r="G432" t="s">
        <v>1171</v>
      </c>
      <c r="H432" t="s">
        <v>284</v>
      </c>
      <c r="I432" t="s">
        <v>652</v>
      </c>
      <c r="J432" t="s">
        <v>81</v>
      </c>
      <c r="K432">
        <v>36</v>
      </c>
      <c r="L432" t="s">
        <v>89</v>
      </c>
      <c r="M432">
        <v>84</v>
      </c>
      <c r="N432">
        <v>1</v>
      </c>
      <c r="O432">
        <v>5615.26</v>
      </c>
      <c r="P432" s="1">
        <v>45600.338900462964</v>
      </c>
      <c r="Q432">
        <v>16</v>
      </c>
      <c r="R432" t="s">
        <v>47</v>
      </c>
      <c r="S432">
        <v>5.1249919040676998E-3</v>
      </c>
      <c r="T432" t="b">
        <v>0</v>
      </c>
      <c r="U432" t="b">
        <v>0</v>
      </c>
      <c r="V432" t="b">
        <f t="shared" si="12"/>
        <v>1</v>
      </c>
      <c r="W432">
        <v>0</v>
      </c>
      <c r="Y432">
        <f t="shared" si="13"/>
        <v>0</v>
      </c>
    </row>
    <row r="433" spans="1:25" x14ac:dyDescent="0.3">
      <c r="A433" t="s">
        <v>1534</v>
      </c>
      <c r="B433" t="s">
        <v>881</v>
      </c>
      <c r="C433">
        <v>461.52</v>
      </c>
      <c r="D433" s="1">
        <v>45061.694722222222</v>
      </c>
      <c r="E433" t="s">
        <v>57</v>
      </c>
      <c r="F433" t="s">
        <v>126</v>
      </c>
      <c r="G433" t="s">
        <v>1535</v>
      </c>
      <c r="H433" t="s">
        <v>1536</v>
      </c>
      <c r="I433" t="s">
        <v>1537</v>
      </c>
      <c r="J433" t="s">
        <v>81</v>
      </c>
      <c r="K433">
        <v>24</v>
      </c>
      <c r="L433" t="s">
        <v>46</v>
      </c>
      <c r="M433">
        <v>44</v>
      </c>
      <c r="N433">
        <v>1</v>
      </c>
      <c r="O433">
        <v>1995.18</v>
      </c>
      <c r="P433" s="1">
        <v>45600.339502314811</v>
      </c>
      <c r="Q433">
        <v>16</v>
      </c>
      <c r="R433" t="s">
        <v>47</v>
      </c>
      <c r="S433">
        <v>0.56149454171612501</v>
      </c>
      <c r="T433" t="b">
        <v>0</v>
      </c>
      <c r="U433" t="b">
        <v>0</v>
      </c>
      <c r="V433" t="b">
        <f t="shared" si="12"/>
        <v>1</v>
      </c>
      <c r="W433">
        <v>0</v>
      </c>
      <c r="Y433">
        <f t="shared" si="13"/>
        <v>0</v>
      </c>
    </row>
    <row r="434" spans="1:25" x14ac:dyDescent="0.3">
      <c r="A434" t="s">
        <v>1538</v>
      </c>
      <c r="B434" t="s">
        <v>147</v>
      </c>
      <c r="C434">
        <v>100.52</v>
      </c>
      <c r="D434" s="1">
        <v>44956.727777777778</v>
      </c>
      <c r="E434" t="s">
        <v>25</v>
      </c>
      <c r="F434" t="s">
        <v>159</v>
      </c>
      <c r="G434" t="s">
        <v>1539</v>
      </c>
      <c r="H434" t="s">
        <v>284</v>
      </c>
      <c r="I434" t="s">
        <v>871</v>
      </c>
      <c r="J434" t="s">
        <v>30</v>
      </c>
      <c r="K434">
        <v>50</v>
      </c>
      <c r="L434" t="s">
        <v>89</v>
      </c>
      <c r="M434">
        <v>110</v>
      </c>
      <c r="N434">
        <v>1</v>
      </c>
      <c r="O434">
        <v>453.39</v>
      </c>
      <c r="P434" s="1">
        <v>45600.341296296298</v>
      </c>
      <c r="Q434">
        <v>17</v>
      </c>
      <c r="R434" t="s">
        <v>47</v>
      </c>
      <c r="S434">
        <v>-0.67503447067168998</v>
      </c>
      <c r="T434" t="b">
        <v>0</v>
      </c>
      <c r="U434" t="b">
        <v>0</v>
      </c>
      <c r="V434" t="b">
        <f t="shared" si="12"/>
        <v>1</v>
      </c>
      <c r="W434">
        <v>0</v>
      </c>
      <c r="Y434">
        <f t="shared" si="13"/>
        <v>0</v>
      </c>
    </row>
    <row r="435" spans="1:25" x14ac:dyDescent="0.3">
      <c r="A435" t="s">
        <v>1540</v>
      </c>
      <c r="B435" t="s">
        <v>1541</v>
      </c>
      <c r="C435">
        <v>85.35</v>
      </c>
      <c r="D435" s="1">
        <v>45112.672511574077</v>
      </c>
      <c r="E435" t="s">
        <v>25</v>
      </c>
      <c r="F435" t="s">
        <v>466</v>
      </c>
      <c r="G435" t="s">
        <v>1542</v>
      </c>
      <c r="H435" t="s">
        <v>664</v>
      </c>
      <c r="I435" t="s">
        <v>239</v>
      </c>
      <c r="J435" t="s">
        <v>30</v>
      </c>
      <c r="K435">
        <v>66</v>
      </c>
      <c r="L435" t="s">
        <v>82</v>
      </c>
      <c r="M435">
        <v>166</v>
      </c>
      <c r="N435">
        <v>1</v>
      </c>
      <c r="O435">
        <v>2173.7600000000002</v>
      </c>
      <c r="P435" s="1">
        <v>45600.337789351855</v>
      </c>
      <c r="Q435">
        <v>16</v>
      </c>
      <c r="R435" t="s">
        <v>74</v>
      </c>
      <c r="S435">
        <v>-0.72699609149696198</v>
      </c>
      <c r="T435" t="b">
        <v>0</v>
      </c>
      <c r="U435" t="b">
        <v>0</v>
      </c>
      <c r="V435" t="b">
        <f t="shared" si="12"/>
        <v>1</v>
      </c>
      <c r="W435">
        <v>0</v>
      </c>
      <c r="Y435">
        <f t="shared" si="13"/>
        <v>0</v>
      </c>
    </row>
    <row r="436" spans="1:25" x14ac:dyDescent="0.3">
      <c r="A436" t="s">
        <v>1543</v>
      </c>
      <c r="B436" t="s">
        <v>393</v>
      </c>
      <c r="C436">
        <v>79.760000000000005</v>
      </c>
      <c r="D436" s="1">
        <v>44963.685057870367</v>
      </c>
      <c r="E436" t="s">
        <v>25</v>
      </c>
      <c r="F436" t="s">
        <v>50</v>
      </c>
      <c r="G436" t="s">
        <v>160</v>
      </c>
      <c r="H436" t="s">
        <v>1272</v>
      </c>
      <c r="I436" t="s">
        <v>301</v>
      </c>
      <c r="J436" t="s">
        <v>81</v>
      </c>
      <c r="K436">
        <v>39</v>
      </c>
      <c r="L436" t="s">
        <v>89</v>
      </c>
      <c r="M436">
        <v>170</v>
      </c>
      <c r="N436">
        <v>1</v>
      </c>
      <c r="O436">
        <v>6452.14</v>
      </c>
      <c r="P436" s="1">
        <v>45600.33997685185</v>
      </c>
      <c r="Q436">
        <v>16</v>
      </c>
      <c r="R436" t="s">
        <v>47</v>
      </c>
      <c r="S436">
        <v>-0.746143452104297</v>
      </c>
      <c r="T436" t="b">
        <v>0</v>
      </c>
      <c r="U436" t="b">
        <v>0</v>
      </c>
      <c r="V436" t="b">
        <f t="shared" si="12"/>
        <v>1</v>
      </c>
      <c r="W436">
        <v>0</v>
      </c>
      <c r="Y436">
        <f t="shared" si="13"/>
        <v>0</v>
      </c>
    </row>
    <row r="437" spans="1:25" x14ac:dyDescent="0.3">
      <c r="A437" t="s">
        <v>1544</v>
      </c>
      <c r="B437" t="s">
        <v>885</v>
      </c>
      <c r="C437">
        <v>778.49</v>
      </c>
      <c r="D437" s="1">
        <v>45110.700243055559</v>
      </c>
      <c r="E437" t="s">
        <v>57</v>
      </c>
      <c r="F437" t="s">
        <v>309</v>
      </c>
      <c r="G437" t="s">
        <v>1545</v>
      </c>
      <c r="H437" t="s">
        <v>757</v>
      </c>
      <c r="I437" t="s">
        <v>67</v>
      </c>
      <c r="J437" t="s">
        <v>45</v>
      </c>
      <c r="K437">
        <v>75</v>
      </c>
      <c r="L437" t="s">
        <v>82</v>
      </c>
      <c r="M437">
        <v>107</v>
      </c>
      <c r="N437">
        <v>1</v>
      </c>
      <c r="O437">
        <v>7713.67</v>
      </c>
      <c r="P437" s="1">
        <v>45600.339826388888</v>
      </c>
      <c r="Q437">
        <v>16</v>
      </c>
      <c r="R437" t="s">
        <v>47</v>
      </c>
      <c r="S437">
        <v>1.6472081180500999</v>
      </c>
      <c r="T437" t="b">
        <v>0</v>
      </c>
      <c r="U437" t="b">
        <v>0</v>
      </c>
      <c r="V437" t="b">
        <f t="shared" si="12"/>
        <v>1</v>
      </c>
      <c r="W437">
        <v>0</v>
      </c>
      <c r="Y437">
        <f t="shared" si="13"/>
        <v>0</v>
      </c>
    </row>
    <row r="438" spans="1:25" x14ac:dyDescent="0.3">
      <c r="A438" t="s">
        <v>1546</v>
      </c>
      <c r="B438" t="s">
        <v>1530</v>
      </c>
      <c r="C438">
        <v>386.38</v>
      </c>
      <c r="D438" s="1">
        <v>44950.666828703703</v>
      </c>
      <c r="E438" t="s">
        <v>25</v>
      </c>
      <c r="F438" t="s">
        <v>438</v>
      </c>
      <c r="G438" t="s">
        <v>369</v>
      </c>
      <c r="H438" t="s">
        <v>1547</v>
      </c>
      <c r="I438" t="s">
        <v>720</v>
      </c>
      <c r="J438" t="s">
        <v>45</v>
      </c>
      <c r="K438">
        <v>42</v>
      </c>
      <c r="L438" t="s">
        <v>89</v>
      </c>
      <c r="M438">
        <v>135</v>
      </c>
      <c r="N438">
        <v>1</v>
      </c>
      <c r="O438">
        <v>5528.36</v>
      </c>
      <c r="P438" s="1">
        <v>45600.34034722222</v>
      </c>
      <c r="Q438">
        <v>16</v>
      </c>
      <c r="R438" t="s">
        <v>32</v>
      </c>
      <c r="S438">
        <v>0.30411839215706599</v>
      </c>
      <c r="T438" t="b">
        <v>0</v>
      </c>
      <c r="U438" t="b">
        <v>0</v>
      </c>
      <c r="V438" t="b">
        <f t="shared" si="12"/>
        <v>1</v>
      </c>
      <c r="W438">
        <v>0</v>
      </c>
      <c r="Y438">
        <f t="shared" si="13"/>
        <v>0</v>
      </c>
    </row>
    <row r="439" spans="1:25" x14ac:dyDescent="0.3">
      <c r="A439" t="s">
        <v>1548</v>
      </c>
      <c r="B439" t="s">
        <v>1549</v>
      </c>
      <c r="C439">
        <v>165.25</v>
      </c>
      <c r="D439" s="1">
        <v>45254.716284722221</v>
      </c>
      <c r="E439" t="s">
        <v>25</v>
      </c>
      <c r="F439" t="s">
        <v>298</v>
      </c>
      <c r="G439" t="s">
        <v>1550</v>
      </c>
      <c r="H439" t="s">
        <v>1361</v>
      </c>
      <c r="I439" t="s">
        <v>117</v>
      </c>
      <c r="J439" t="s">
        <v>45</v>
      </c>
      <c r="K439">
        <v>35</v>
      </c>
      <c r="L439" t="s">
        <v>31</v>
      </c>
      <c r="M439">
        <v>106</v>
      </c>
      <c r="N439">
        <v>1</v>
      </c>
      <c r="O439">
        <v>9939.94</v>
      </c>
      <c r="P439" s="1">
        <v>45600.341377314813</v>
      </c>
      <c r="Q439">
        <v>17</v>
      </c>
      <c r="R439" t="s">
        <v>54</v>
      </c>
      <c r="S439">
        <v>-0.453315570472622</v>
      </c>
      <c r="T439" t="b">
        <v>0</v>
      </c>
      <c r="U439" t="b">
        <v>0</v>
      </c>
      <c r="V439" t="b">
        <f t="shared" si="12"/>
        <v>1</v>
      </c>
      <c r="W439">
        <v>0</v>
      </c>
      <c r="Y439">
        <f t="shared" si="13"/>
        <v>0</v>
      </c>
    </row>
    <row r="440" spans="1:25" x14ac:dyDescent="0.3">
      <c r="A440" t="s">
        <v>1551</v>
      </c>
      <c r="B440" t="s">
        <v>1302</v>
      </c>
      <c r="C440">
        <v>14.29</v>
      </c>
      <c r="D440" s="1">
        <v>44985.686400462961</v>
      </c>
      <c r="E440" t="s">
        <v>25</v>
      </c>
      <c r="F440" t="s">
        <v>153</v>
      </c>
      <c r="G440" t="s">
        <v>1552</v>
      </c>
      <c r="H440" t="s">
        <v>1553</v>
      </c>
      <c r="I440" t="s">
        <v>285</v>
      </c>
      <c r="J440" t="s">
        <v>30</v>
      </c>
      <c r="K440">
        <v>34</v>
      </c>
      <c r="L440" t="s">
        <v>89</v>
      </c>
      <c r="M440">
        <v>150</v>
      </c>
      <c r="N440">
        <v>1</v>
      </c>
      <c r="O440">
        <v>7016.99</v>
      </c>
      <c r="P440" s="1">
        <v>45600.339490740742</v>
      </c>
      <c r="Q440">
        <v>16</v>
      </c>
      <c r="R440" t="s">
        <v>32</v>
      </c>
      <c r="S440">
        <v>-0.97039706551435301</v>
      </c>
      <c r="T440" t="b">
        <v>0</v>
      </c>
      <c r="U440" t="b">
        <v>0</v>
      </c>
      <c r="V440" t="b">
        <f t="shared" si="12"/>
        <v>1</v>
      </c>
      <c r="W440">
        <v>0</v>
      </c>
      <c r="Y440">
        <f t="shared" si="13"/>
        <v>0</v>
      </c>
    </row>
    <row r="441" spans="1:25" x14ac:dyDescent="0.3">
      <c r="A441" t="s">
        <v>1554</v>
      </c>
      <c r="B441" t="s">
        <v>1555</v>
      </c>
      <c r="C441">
        <v>232.79</v>
      </c>
      <c r="D441" s="1">
        <v>45189.733402777776</v>
      </c>
      <c r="E441" t="s">
        <v>57</v>
      </c>
      <c r="F441" t="s">
        <v>77</v>
      </c>
      <c r="G441" t="s">
        <v>1556</v>
      </c>
      <c r="H441" t="s">
        <v>252</v>
      </c>
      <c r="I441" t="s">
        <v>73</v>
      </c>
      <c r="J441" t="s">
        <v>81</v>
      </c>
      <c r="K441">
        <v>55</v>
      </c>
      <c r="L441" t="s">
        <v>82</v>
      </c>
      <c r="M441">
        <v>145</v>
      </c>
      <c r="N441">
        <v>1</v>
      </c>
      <c r="O441">
        <v>2661.3</v>
      </c>
      <c r="P441" s="1">
        <v>45600.341435185182</v>
      </c>
      <c r="Q441">
        <v>17</v>
      </c>
      <c r="R441" t="s">
        <v>74</v>
      </c>
      <c r="S441">
        <v>-0.22197161064804299</v>
      </c>
      <c r="T441" t="b">
        <v>0</v>
      </c>
      <c r="U441" t="b">
        <v>0</v>
      </c>
      <c r="V441" t="b">
        <f t="shared" si="12"/>
        <v>1</v>
      </c>
      <c r="W441">
        <v>0</v>
      </c>
      <c r="Y441">
        <f t="shared" si="13"/>
        <v>0</v>
      </c>
    </row>
    <row r="442" spans="1:25" x14ac:dyDescent="0.3">
      <c r="A442" t="s">
        <v>1557</v>
      </c>
      <c r="B442" t="s">
        <v>1326</v>
      </c>
      <c r="C442">
        <v>1237.56</v>
      </c>
      <c r="D442" s="1">
        <v>45243.742407407408</v>
      </c>
      <c r="E442" t="s">
        <v>57</v>
      </c>
      <c r="F442" t="s">
        <v>131</v>
      </c>
      <c r="G442" t="s">
        <v>242</v>
      </c>
      <c r="H442" t="s">
        <v>1558</v>
      </c>
      <c r="I442" t="s">
        <v>419</v>
      </c>
      <c r="J442" t="s">
        <v>81</v>
      </c>
      <c r="K442">
        <v>60</v>
      </c>
      <c r="L442" t="s">
        <v>89</v>
      </c>
      <c r="M442">
        <v>159</v>
      </c>
      <c r="N442">
        <v>1</v>
      </c>
      <c r="O442">
        <v>9410.17</v>
      </c>
      <c r="P442" s="1">
        <v>45600.341493055559</v>
      </c>
      <c r="Q442">
        <v>17</v>
      </c>
      <c r="R442" t="s">
        <v>47</v>
      </c>
      <c r="S442">
        <v>3.2196551366563999</v>
      </c>
      <c r="T442" t="b">
        <v>1</v>
      </c>
      <c r="U442" t="b">
        <v>0</v>
      </c>
      <c r="V442" t="b">
        <f t="shared" si="12"/>
        <v>1</v>
      </c>
      <c r="W442">
        <v>1</v>
      </c>
      <c r="Y442">
        <f t="shared" si="13"/>
        <v>1</v>
      </c>
    </row>
    <row r="443" spans="1:25" x14ac:dyDescent="0.3">
      <c r="A443" t="s">
        <v>1559</v>
      </c>
      <c r="B443" t="s">
        <v>1560</v>
      </c>
      <c r="C443">
        <v>92.29</v>
      </c>
      <c r="D443" s="1">
        <v>44972.679155092592</v>
      </c>
      <c r="E443" t="s">
        <v>25</v>
      </c>
      <c r="F443" t="s">
        <v>98</v>
      </c>
      <c r="G443" t="s">
        <v>1561</v>
      </c>
      <c r="H443" t="s">
        <v>1311</v>
      </c>
      <c r="I443" t="s">
        <v>29</v>
      </c>
      <c r="J443" t="s">
        <v>81</v>
      </c>
      <c r="K443">
        <v>54</v>
      </c>
      <c r="L443" t="s">
        <v>89</v>
      </c>
      <c r="M443">
        <v>115</v>
      </c>
      <c r="N443">
        <v>1</v>
      </c>
      <c r="O443">
        <v>2026.32</v>
      </c>
      <c r="P443" s="1">
        <v>45600.341261574074</v>
      </c>
      <c r="Q443">
        <v>16</v>
      </c>
      <c r="R443" t="s">
        <v>74</v>
      </c>
      <c r="S443">
        <v>-0.70322459192363396</v>
      </c>
      <c r="T443" t="b">
        <v>0</v>
      </c>
      <c r="U443" t="b">
        <v>0</v>
      </c>
      <c r="V443" t="b">
        <f t="shared" si="12"/>
        <v>1</v>
      </c>
      <c r="W443">
        <v>0</v>
      </c>
      <c r="Y443">
        <f t="shared" si="13"/>
        <v>0</v>
      </c>
    </row>
    <row r="444" spans="1:25" x14ac:dyDescent="0.3">
      <c r="A444" t="s">
        <v>1562</v>
      </c>
      <c r="B444" t="s">
        <v>49</v>
      </c>
      <c r="C444">
        <v>293.97000000000003</v>
      </c>
      <c r="D444" s="1">
        <v>45243.732118055559</v>
      </c>
      <c r="E444" t="s">
        <v>25</v>
      </c>
      <c r="F444" t="s">
        <v>438</v>
      </c>
      <c r="G444" t="s">
        <v>1563</v>
      </c>
      <c r="H444" t="s">
        <v>1564</v>
      </c>
      <c r="I444" t="s">
        <v>491</v>
      </c>
      <c r="J444" t="s">
        <v>81</v>
      </c>
      <c r="K444">
        <v>68</v>
      </c>
      <c r="L444" t="s">
        <v>82</v>
      </c>
      <c r="M444">
        <v>153</v>
      </c>
      <c r="N444">
        <v>1</v>
      </c>
      <c r="O444">
        <v>7371.85</v>
      </c>
      <c r="P444" s="1">
        <v>45600.339548611111</v>
      </c>
      <c r="Q444">
        <v>17</v>
      </c>
      <c r="R444" t="s">
        <v>47</v>
      </c>
      <c r="S444">
        <v>-1.24124832854767E-2</v>
      </c>
      <c r="T444" t="b">
        <v>0</v>
      </c>
      <c r="U444" t="b">
        <v>0</v>
      </c>
      <c r="V444" t="b">
        <f t="shared" si="12"/>
        <v>1</v>
      </c>
      <c r="W444">
        <v>0</v>
      </c>
      <c r="Y444">
        <f t="shared" si="13"/>
        <v>0</v>
      </c>
    </row>
    <row r="445" spans="1:25" x14ac:dyDescent="0.3">
      <c r="A445" t="s">
        <v>1565</v>
      </c>
      <c r="B445" t="s">
        <v>798</v>
      </c>
      <c r="C445">
        <v>136.32</v>
      </c>
      <c r="D445" s="1">
        <v>45210.785000000003</v>
      </c>
      <c r="E445" t="s">
        <v>25</v>
      </c>
      <c r="F445" t="s">
        <v>185</v>
      </c>
      <c r="G445" t="s">
        <v>364</v>
      </c>
      <c r="H445" t="s">
        <v>1146</v>
      </c>
      <c r="I445" t="s">
        <v>419</v>
      </c>
      <c r="J445" t="s">
        <v>45</v>
      </c>
      <c r="K445">
        <v>19</v>
      </c>
      <c r="L445" t="s">
        <v>46</v>
      </c>
      <c r="M445">
        <v>113</v>
      </c>
      <c r="N445">
        <v>1</v>
      </c>
      <c r="O445">
        <v>264.83</v>
      </c>
      <c r="P445" s="1">
        <v>45600.339861111112</v>
      </c>
      <c r="Q445">
        <v>18</v>
      </c>
      <c r="R445" t="s">
        <v>74</v>
      </c>
      <c r="S445">
        <v>-0.552409155869796</v>
      </c>
      <c r="T445" t="b">
        <v>0</v>
      </c>
      <c r="U445" t="b">
        <v>0</v>
      </c>
      <c r="V445" t="b">
        <f t="shared" si="12"/>
        <v>1</v>
      </c>
      <c r="W445">
        <v>0</v>
      </c>
      <c r="Y445">
        <f t="shared" si="13"/>
        <v>0</v>
      </c>
    </row>
    <row r="446" spans="1:25" x14ac:dyDescent="0.3">
      <c r="A446" t="s">
        <v>1566</v>
      </c>
      <c r="B446" t="s">
        <v>1567</v>
      </c>
      <c r="C446">
        <v>251.06</v>
      </c>
      <c r="D446" s="1">
        <v>45266.72724537037</v>
      </c>
      <c r="E446" t="s">
        <v>25</v>
      </c>
      <c r="F446" t="s">
        <v>534</v>
      </c>
      <c r="G446" t="s">
        <v>1568</v>
      </c>
      <c r="H446" t="s">
        <v>1569</v>
      </c>
      <c r="I446" t="s">
        <v>375</v>
      </c>
      <c r="J446" t="s">
        <v>45</v>
      </c>
      <c r="K446">
        <v>36</v>
      </c>
      <c r="L446" t="s">
        <v>31</v>
      </c>
      <c r="M446">
        <v>34</v>
      </c>
      <c r="N446">
        <v>1</v>
      </c>
      <c r="O446">
        <v>10001.66</v>
      </c>
      <c r="P446" s="1">
        <v>45600.340428240743</v>
      </c>
      <c r="Q446">
        <v>17</v>
      </c>
      <c r="R446" t="s">
        <v>74</v>
      </c>
      <c r="S446">
        <v>-0.15939159664160199</v>
      </c>
      <c r="T446" t="b">
        <v>0</v>
      </c>
      <c r="U446" t="b">
        <v>0</v>
      </c>
      <c r="V446" t="b">
        <f t="shared" si="12"/>
        <v>1</v>
      </c>
      <c r="W446">
        <v>0</v>
      </c>
      <c r="Y446">
        <f t="shared" si="13"/>
        <v>0</v>
      </c>
    </row>
    <row r="447" spans="1:25" x14ac:dyDescent="0.3">
      <c r="A447" t="s">
        <v>1570</v>
      </c>
      <c r="B447" t="s">
        <v>255</v>
      </c>
      <c r="C447">
        <v>50.17</v>
      </c>
      <c r="D447" s="1">
        <v>45187.706759259258</v>
      </c>
      <c r="E447" t="s">
        <v>57</v>
      </c>
      <c r="F447" t="s">
        <v>298</v>
      </c>
      <c r="G447" t="s">
        <v>1571</v>
      </c>
      <c r="H447" t="s">
        <v>1572</v>
      </c>
      <c r="I447" t="s">
        <v>150</v>
      </c>
      <c r="J447" t="s">
        <v>30</v>
      </c>
      <c r="K447">
        <v>77</v>
      </c>
      <c r="L447" t="s">
        <v>82</v>
      </c>
      <c r="M447">
        <v>35</v>
      </c>
      <c r="N447">
        <v>1</v>
      </c>
      <c r="O447">
        <v>7752.14</v>
      </c>
      <c r="P447" s="1">
        <v>45600.340960648151</v>
      </c>
      <c r="Q447">
        <v>16</v>
      </c>
      <c r="R447" t="s">
        <v>47</v>
      </c>
      <c r="S447">
        <v>-0.84749772766262199</v>
      </c>
      <c r="T447" t="b">
        <v>0</v>
      </c>
      <c r="U447" t="b">
        <v>0</v>
      </c>
      <c r="V447" t="b">
        <f t="shared" si="12"/>
        <v>1</v>
      </c>
      <c r="W447">
        <v>0</v>
      </c>
      <c r="Y447">
        <f t="shared" si="13"/>
        <v>0</v>
      </c>
    </row>
    <row r="448" spans="1:25" x14ac:dyDescent="0.3">
      <c r="A448" t="s">
        <v>1573</v>
      </c>
      <c r="B448" t="s">
        <v>1574</v>
      </c>
      <c r="C448">
        <v>21.4</v>
      </c>
      <c r="D448" s="1">
        <v>45286.671851851854</v>
      </c>
      <c r="E448" t="s">
        <v>25</v>
      </c>
      <c r="F448" t="s">
        <v>571</v>
      </c>
      <c r="G448" t="s">
        <v>903</v>
      </c>
      <c r="H448" t="s">
        <v>348</v>
      </c>
      <c r="I448" t="s">
        <v>1575</v>
      </c>
      <c r="J448" t="s">
        <v>81</v>
      </c>
      <c r="K448">
        <v>34</v>
      </c>
      <c r="L448" t="s">
        <v>89</v>
      </c>
      <c r="M448">
        <v>258</v>
      </c>
      <c r="N448">
        <v>1</v>
      </c>
      <c r="O448">
        <v>9594.11</v>
      </c>
      <c r="P448" s="1">
        <v>45600.341435185182</v>
      </c>
      <c r="Q448">
        <v>16</v>
      </c>
      <c r="R448" t="s">
        <v>32</v>
      </c>
      <c r="S448">
        <v>-0.94604326696012198</v>
      </c>
      <c r="T448" t="b">
        <v>0</v>
      </c>
      <c r="U448" t="b">
        <v>0</v>
      </c>
      <c r="V448" t="b">
        <f t="shared" si="12"/>
        <v>1</v>
      </c>
      <c r="W448">
        <v>0</v>
      </c>
      <c r="Y448">
        <f t="shared" si="13"/>
        <v>0</v>
      </c>
    </row>
    <row r="449" spans="1:25" x14ac:dyDescent="0.3">
      <c r="A449" t="s">
        <v>1576</v>
      </c>
      <c r="B449" t="s">
        <v>704</v>
      </c>
      <c r="C449">
        <v>73.28</v>
      </c>
      <c r="D449" s="1">
        <v>44995.731388888889</v>
      </c>
      <c r="E449" t="s">
        <v>25</v>
      </c>
      <c r="F449" t="s">
        <v>401</v>
      </c>
      <c r="G449" t="s">
        <v>1499</v>
      </c>
      <c r="H449" t="s">
        <v>1577</v>
      </c>
      <c r="I449" t="s">
        <v>1300</v>
      </c>
      <c r="J449" t="s">
        <v>81</v>
      </c>
      <c r="K449">
        <v>21</v>
      </c>
      <c r="L449" t="s">
        <v>46</v>
      </c>
      <c r="M449">
        <v>21</v>
      </c>
      <c r="N449">
        <v>1</v>
      </c>
      <c r="O449">
        <v>1329.41</v>
      </c>
      <c r="P449" s="1">
        <v>45600.340937499997</v>
      </c>
      <c r="Q449">
        <v>17</v>
      </c>
      <c r="R449" t="s">
        <v>54</v>
      </c>
      <c r="S449">
        <v>-0.76833931914106401</v>
      </c>
      <c r="T449" t="b">
        <v>0</v>
      </c>
      <c r="U449" t="b">
        <v>0</v>
      </c>
      <c r="V449" t="b">
        <f t="shared" si="12"/>
        <v>1</v>
      </c>
      <c r="W449">
        <v>0</v>
      </c>
      <c r="Y449">
        <f t="shared" si="13"/>
        <v>0</v>
      </c>
    </row>
    <row r="450" spans="1:25" x14ac:dyDescent="0.3">
      <c r="A450" t="s">
        <v>1578</v>
      </c>
      <c r="B450" t="s">
        <v>1150</v>
      </c>
      <c r="C450">
        <v>70.23</v>
      </c>
      <c r="D450" s="1">
        <v>45182.679247685184</v>
      </c>
      <c r="E450" t="s">
        <v>25</v>
      </c>
      <c r="F450" t="s">
        <v>104</v>
      </c>
      <c r="G450" t="s">
        <v>1579</v>
      </c>
      <c r="H450" t="s">
        <v>1580</v>
      </c>
      <c r="I450" t="s">
        <v>399</v>
      </c>
      <c r="J450" t="s">
        <v>30</v>
      </c>
      <c r="K450">
        <v>38</v>
      </c>
      <c r="L450" t="s">
        <v>31</v>
      </c>
      <c r="M450">
        <v>260</v>
      </c>
      <c r="N450">
        <v>1</v>
      </c>
      <c r="O450">
        <v>11624.93</v>
      </c>
      <c r="P450" s="1">
        <v>45600.338379629633</v>
      </c>
      <c r="Q450">
        <v>16</v>
      </c>
      <c r="R450" t="s">
        <v>74</v>
      </c>
      <c r="S450">
        <v>-0.77878644791608598</v>
      </c>
      <c r="T450" t="b">
        <v>0</v>
      </c>
      <c r="U450" t="b">
        <v>0</v>
      </c>
      <c r="V450" t="b">
        <f t="shared" si="12"/>
        <v>1</v>
      </c>
      <c r="W450">
        <v>0</v>
      </c>
      <c r="Y450">
        <f t="shared" si="13"/>
        <v>0</v>
      </c>
    </row>
    <row r="451" spans="1:25" x14ac:dyDescent="0.3">
      <c r="A451" t="s">
        <v>1581</v>
      </c>
      <c r="B451" t="s">
        <v>1582</v>
      </c>
      <c r="C451">
        <v>689.29</v>
      </c>
      <c r="D451" s="1">
        <v>44932.729247685187</v>
      </c>
      <c r="E451" t="s">
        <v>25</v>
      </c>
      <c r="F451" t="s">
        <v>519</v>
      </c>
      <c r="G451" t="s">
        <v>1583</v>
      </c>
      <c r="H451" t="s">
        <v>1584</v>
      </c>
      <c r="I451" t="s">
        <v>652</v>
      </c>
      <c r="J451" t="s">
        <v>30</v>
      </c>
      <c r="K451">
        <v>22</v>
      </c>
      <c r="L451" t="s">
        <v>46</v>
      </c>
      <c r="M451">
        <v>100</v>
      </c>
      <c r="N451">
        <v>1</v>
      </c>
      <c r="O451">
        <v>168.84</v>
      </c>
      <c r="P451" s="1">
        <v>45600.338761574072</v>
      </c>
      <c r="Q451">
        <v>17</v>
      </c>
      <c r="R451" t="s">
        <v>54</v>
      </c>
      <c r="S451">
        <v>1.3416724174822501</v>
      </c>
      <c r="T451" t="b">
        <v>0</v>
      </c>
      <c r="U451" t="b">
        <v>0</v>
      </c>
      <c r="V451" t="b">
        <f t="shared" ref="V451:V514" si="14">ISLOGICAL(T451)</f>
        <v>1</v>
      </c>
      <c r="W451">
        <v>0</v>
      </c>
      <c r="Y451">
        <f t="shared" ref="Y451:Y514" si="15">--T451</f>
        <v>0</v>
      </c>
    </row>
    <row r="452" spans="1:25" x14ac:dyDescent="0.3">
      <c r="A452" t="s">
        <v>1585</v>
      </c>
      <c r="B452" t="s">
        <v>1160</v>
      </c>
      <c r="C452">
        <v>745.03</v>
      </c>
      <c r="D452" s="1">
        <v>45141.737523148149</v>
      </c>
      <c r="E452" t="s">
        <v>25</v>
      </c>
      <c r="F452" t="s">
        <v>170</v>
      </c>
      <c r="G452" t="s">
        <v>1586</v>
      </c>
      <c r="H452" t="s">
        <v>1509</v>
      </c>
      <c r="I452" t="s">
        <v>339</v>
      </c>
      <c r="J452" t="s">
        <v>45</v>
      </c>
      <c r="K452">
        <v>28</v>
      </c>
      <c r="L452" t="s">
        <v>46</v>
      </c>
      <c r="M452">
        <v>231</v>
      </c>
      <c r="N452">
        <v>1</v>
      </c>
      <c r="O452">
        <v>160.57</v>
      </c>
      <c r="P452" s="1">
        <v>45600.339756944442</v>
      </c>
      <c r="Q452">
        <v>17</v>
      </c>
      <c r="R452" t="s">
        <v>141</v>
      </c>
      <c r="S452">
        <v>1.53259797745593</v>
      </c>
      <c r="T452" t="b">
        <v>0</v>
      </c>
      <c r="U452" t="b">
        <v>0</v>
      </c>
      <c r="V452" t="b">
        <f t="shared" si="14"/>
        <v>1</v>
      </c>
      <c r="W452">
        <v>0</v>
      </c>
      <c r="Y452">
        <f t="shared" si="15"/>
        <v>0</v>
      </c>
    </row>
    <row r="453" spans="1:25" x14ac:dyDescent="0.3">
      <c r="A453" t="s">
        <v>1587</v>
      </c>
      <c r="B453" t="s">
        <v>1180</v>
      </c>
      <c r="C453">
        <v>54.61</v>
      </c>
      <c r="D453" s="1">
        <v>45264.673657407409</v>
      </c>
      <c r="E453" t="s">
        <v>25</v>
      </c>
      <c r="F453" t="s">
        <v>191</v>
      </c>
      <c r="G453" t="s">
        <v>1588</v>
      </c>
      <c r="H453" t="s">
        <v>1589</v>
      </c>
      <c r="I453" t="s">
        <v>182</v>
      </c>
      <c r="J453" t="s">
        <v>30</v>
      </c>
      <c r="K453">
        <v>58</v>
      </c>
      <c r="L453" t="s">
        <v>89</v>
      </c>
      <c r="M453">
        <v>160</v>
      </c>
      <c r="N453">
        <v>1</v>
      </c>
      <c r="O453">
        <v>7135.64</v>
      </c>
      <c r="P453" s="1">
        <v>45600.338414351849</v>
      </c>
      <c r="Q453">
        <v>16</v>
      </c>
      <c r="R453" t="s">
        <v>47</v>
      </c>
      <c r="S453">
        <v>-0.83228944839668895</v>
      </c>
      <c r="T453" t="b">
        <v>0</v>
      </c>
      <c r="U453" t="b">
        <v>0</v>
      </c>
      <c r="V453" t="b">
        <f t="shared" si="14"/>
        <v>1</v>
      </c>
      <c r="W453">
        <v>0</v>
      </c>
      <c r="Y453">
        <f t="shared" si="15"/>
        <v>0</v>
      </c>
    </row>
    <row r="454" spans="1:25" x14ac:dyDescent="0.3">
      <c r="A454" t="s">
        <v>1590</v>
      </c>
      <c r="B454" t="s">
        <v>331</v>
      </c>
      <c r="C454">
        <v>54.05</v>
      </c>
      <c r="D454" s="1">
        <v>45041.703726851854</v>
      </c>
      <c r="E454" t="s">
        <v>25</v>
      </c>
      <c r="F454" t="s">
        <v>120</v>
      </c>
      <c r="G454" t="s">
        <v>1591</v>
      </c>
      <c r="H454" t="s">
        <v>453</v>
      </c>
      <c r="I454" t="s">
        <v>194</v>
      </c>
      <c r="J454" t="s">
        <v>81</v>
      </c>
      <c r="K454">
        <v>27</v>
      </c>
      <c r="L454" t="s">
        <v>46</v>
      </c>
      <c r="M454">
        <v>146</v>
      </c>
      <c r="N454">
        <v>1</v>
      </c>
      <c r="O454">
        <v>469.14</v>
      </c>
      <c r="P454" s="1">
        <v>45600.341365740744</v>
      </c>
      <c r="Q454">
        <v>16</v>
      </c>
      <c r="R454" t="s">
        <v>32</v>
      </c>
      <c r="S454">
        <v>-0.83420760974554498</v>
      </c>
      <c r="T454" t="b">
        <v>0</v>
      </c>
      <c r="U454" t="b">
        <v>0</v>
      </c>
      <c r="V454" t="b">
        <f t="shared" si="14"/>
        <v>1</v>
      </c>
      <c r="W454">
        <v>0</v>
      </c>
      <c r="Y454">
        <f t="shared" si="15"/>
        <v>0</v>
      </c>
    </row>
    <row r="455" spans="1:25" x14ac:dyDescent="0.3">
      <c r="A455" t="s">
        <v>1592</v>
      </c>
      <c r="B455" t="s">
        <v>533</v>
      </c>
      <c r="C455">
        <v>107.47</v>
      </c>
      <c r="D455" s="1">
        <v>45028.735752314817</v>
      </c>
      <c r="E455" t="s">
        <v>25</v>
      </c>
      <c r="F455" t="s">
        <v>131</v>
      </c>
      <c r="G455" t="s">
        <v>763</v>
      </c>
      <c r="H455" t="s">
        <v>1319</v>
      </c>
      <c r="I455" t="s">
        <v>993</v>
      </c>
      <c r="J455" t="s">
        <v>45</v>
      </c>
      <c r="K455">
        <v>67</v>
      </c>
      <c r="L455" t="s">
        <v>82</v>
      </c>
      <c r="M455">
        <v>144</v>
      </c>
      <c r="N455">
        <v>1</v>
      </c>
      <c r="O455">
        <v>7517.5</v>
      </c>
      <c r="P455" s="1">
        <v>45600.341770833336</v>
      </c>
      <c r="Q455">
        <v>17</v>
      </c>
      <c r="R455" t="s">
        <v>74</v>
      </c>
      <c r="S455">
        <v>-0.65122871821713202</v>
      </c>
      <c r="T455" t="b">
        <v>0</v>
      </c>
      <c r="U455" t="b">
        <v>0</v>
      </c>
      <c r="V455" t="b">
        <f t="shared" si="14"/>
        <v>1</v>
      </c>
      <c r="W455">
        <v>0</v>
      </c>
      <c r="Y455">
        <f t="shared" si="15"/>
        <v>0</v>
      </c>
    </row>
    <row r="456" spans="1:25" x14ac:dyDescent="0.3">
      <c r="A456" t="s">
        <v>1593</v>
      </c>
      <c r="B456" t="s">
        <v>114</v>
      </c>
      <c r="C456">
        <v>611.11</v>
      </c>
      <c r="D456" s="1">
        <v>45217.772581018522</v>
      </c>
      <c r="E456" t="s">
        <v>25</v>
      </c>
      <c r="F456" t="s">
        <v>85</v>
      </c>
      <c r="G456" t="s">
        <v>859</v>
      </c>
      <c r="H456" t="s">
        <v>1594</v>
      </c>
      <c r="I456" t="s">
        <v>427</v>
      </c>
      <c r="J456" t="s">
        <v>30</v>
      </c>
      <c r="K456">
        <v>20</v>
      </c>
      <c r="L456" t="s">
        <v>46</v>
      </c>
      <c r="M456">
        <v>282</v>
      </c>
      <c r="N456">
        <v>4</v>
      </c>
      <c r="O456">
        <v>919.84</v>
      </c>
      <c r="P456" s="1">
        <v>45600.341111111113</v>
      </c>
      <c r="Q456">
        <v>18</v>
      </c>
      <c r="R456" t="s">
        <v>74</v>
      </c>
      <c r="S456">
        <v>1.0738833920294</v>
      </c>
      <c r="T456" t="b">
        <v>0</v>
      </c>
      <c r="U456" t="b">
        <v>1</v>
      </c>
      <c r="V456" t="b">
        <f t="shared" si="14"/>
        <v>1</v>
      </c>
      <c r="W456">
        <v>1</v>
      </c>
      <c r="Y456">
        <f t="shared" si="15"/>
        <v>0</v>
      </c>
    </row>
    <row r="457" spans="1:25" x14ac:dyDescent="0.3">
      <c r="A457" t="s">
        <v>1595</v>
      </c>
      <c r="B457" t="s">
        <v>1065</v>
      </c>
      <c r="C457">
        <v>219.63</v>
      </c>
      <c r="D457" s="1">
        <v>45240.67114583333</v>
      </c>
      <c r="E457" t="s">
        <v>25</v>
      </c>
      <c r="F457" t="s">
        <v>262</v>
      </c>
      <c r="G457" t="s">
        <v>1502</v>
      </c>
      <c r="H457" t="s">
        <v>1580</v>
      </c>
      <c r="I457" t="s">
        <v>53</v>
      </c>
      <c r="J457" t="s">
        <v>30</v>
      </c>
      <c r="K457">
        <v>48</v>
      </c>
      <c r="L457" t="s">
        <v>31</v>
      </c>
      <c r="M457">
        <v>44</v>
      </c>
      <c r="N457">
        <v>1</v>
      </c>
      <c r="O457">
        <v>8013.63</v>
      </c>
      <c r="P457" s="1">
        <v>45600.338530092595</v>
      </c>
      <c r="Q457">
        <v>16</v>
      </c>
      <c r="R457" t="s">
        <v>54</v>
      </c>
      <c r="S457">
        <v>-0.26704840234617</v>
      </c>
      <c r="T457" t="b">
        <v>0</v>
      </c>
      <c r="U457" t="b">
        <v>0</v>
      </c>
      <c r="V457" t="b">
        <f t="shared" si="14"/>
        <v>1</v>
      </c>
      <c r="W457">
        <v>0</v>
      </c>
      <c r="Y457">
        <f t="shared" si="15"/>
        <v>0</v>
      </c>
    </row>
    <row r="458" spans="1:25" x14ac:dyDescent="0.3">
      <c r="A458" t="s">
        <v>1596</v>
      </c>
      <c r="B458" t="s">
        <v>368</v>
      </c>
      <c r="C458">
        <v>188.7</v>
      </c>
      <c r="D458" s="1">
        <v>44967.667407407411</v>
      </c>
      <c r="E458" t="s">
        <v>25</v>
      </c>
      <c r="F458" t="s">
        <v>216</v>
      </c>
      <c r="G458" t="s">
        <v>1597</v>
      </c>
      <c r="H458" t="s">
        <v>1598</v>
      </c>
      <c r="I458" t="s">
        <v>527</v>
      </c>
      <c r="J458" t="s">
        <v>81</v>
      </c>
      <c r="K458">
        <v>54</v>
      </c>
      <c r="L458" t="s">
        <v>82</v>
      </c>
      <c r="M458">
        <v>123</v>
      </c>
      <c r="N458">
        <v>1</v>
      </c>
      <c r="O458">
        <v>5077.0600000000004</v>
      </c>
      <c r="P458" s="1">
        <v>45600.340266203704</v>
      </c>
      <c r="Q458">
        <v>16</v>
      </c>
      <c r="R458" t="s">
        <v>54</v>
      </c>
      <c r="S458">
        <v>-0.37299256398925901</v>
      </c>
      <c r="T458" t="b">
        <v>0</v>
      </c>
      <c r="U458" t="b">
        <v>0</v>
      </c>
      <c r="V458" t="b">
        <f t="shared" si="14"/>
        <v>1</v>
      </c>
      <c r="W458">
        <v>0</v>
      </c>
      <c r="Y458">
        <f t="shared" si="15"/>
        <v>0</v>
      </c>
    </row>
    <row r="459" spans="1:25" x14ac:dyDescent="0.3">
      <c r="A459" t="s">
        <v>1599</v>
      </c>
      <c r="B459" t="s">
        <v>1600</v>
      </c>
      <c r="C459">
        <v>93.52</v>
      </c>
      <c r="D459" s="1">
        <v>45152.737083333333</v>
      </c>
      <c r="E459" t="s">
        <v>25</v>
      </c>
      <c r="F459" t="s">
        <v>256</v>
      </c>
      <c r="G459" t="s">
        <v>1601</v>
      </c>
      <c r="H459" t="s">
        <v>1602</v>
      </c>
      <c r="I459" t="s">
        <v>1362</v>
      </c>
      <c r="J459" t="s">
        <v>45</v>
      </c>
      <c r="K459">
        <v>51</v>
      </c>
      <c r="L459" t="s">
        <v>89</v>
      </c>
      <c r="M459">
        <v>97</v>
      </c>
      <c r="N459">
        <v>1</v>
      </c>
      <c r="O459">
        <v>2791.2</v>
      </c>
      <c r="P459" s="1">
        <v>45600.338935185187</v>
      </c>
      <c r="Q459">
        <v>17</v>
      </c>
      <c r="R459" t="s">
        <v>47</v>
      </c>
      <c r="S459">
        <v>-0.69901148753239495</v>
      </c>
      <c r="T459" t="b">
        <v>0</v>
      </c>
      <c r="U459" t="b">
        <v>0</v>
      </c>
      <c r="V459" t="b">
        <f t="shared" si="14"/>
        <v>1</v>
      </c>
      <c r="W459">
        <v>0</v>
      </c>
      <c r="Y459">
        <f t="shared" si="15"/>
        <v>0</v>
      </c>
    </row>
    <row r="460" spans="1:25" x14ac:dyDescent="0.3">
      <c r="A460" t="s">
        <v>1603</v>
      </c>
      <c r="B460" t="s">
        <v>1407</v>
      </c>
      <c r="C460">
        <v>275.92</v>
      </c>
      <c r="D460" s="1">
        <v>45187.78324074074</v>
      </c>
      <c r="E460" t="s">
        <v>57</v>
      </c>
      <c r="F460" t="s">
        <v>92</v>
      </c>
      <c r="G460" t="s">
        <v>956</v>
      </c>
      <c r="H460" t="s">
        <v>1472</v>
      </c>
      <c r="I460" t="s">
        <v>577</v>
      </c>
      <c r="J460" t="s">
        <v>81</v>
      </c>
      <c r="K460">
        <v>62</v>
      </c>
      <c r="L460" t="s">
        <v>82</v>
      </c>
      <c r="M460">
        <v>107</v>
      </c>
      <c r="N460">
        <v>1</v>
      </c>
      <c r="O460">
        <v>1777.38</v>
      </c>
      <c r="P460" s="1">
        <v>45600.338645833333</v>
      </c>
      <c r="Q460">
        <v>18</v>
      </c>
      <c r="R460" t="s">
        <v>47</v>
      </c>
      <c r="S460">
        <v>-7.4238933904867604E-2</v>
      </c>
      <c r="T460" t="b">
        <v>0</v>
      </c>
      <c r="U460" t="b">
        <v>0</v>
      </c>
      <c r="V460" t="b">
        <f t="shared" si="14"/>
        <v>1</v>
      </c>
      <c r="W460">
        <v>0</v>
      </c>
      <c r="Y460">
        <f t="shared" si="15"/>
        <v>0</v>
      </c>
    </row>
    <row r="461" spans="1:25" x14ac:dyDescent="0.3">
      <c r="A461" t="s">
        <v>1604</v>
      </c>
      <c r="B461" t="s">
        <v>881</v>
      </c>
      <c r="C461">
        <v>376.79</v>
      </c>
      <c r="D461" s="1">
        <v>44956.741180555553</v>
      </c>
      <c r="E461" t="s">
        <v>25</v>
      </c>
      <c r="F461" t="s">
        <v>191</v>
      </c>
      <c r="G461" t="s">
        <v>1605</v>
      </c>
      <c r="H461" t="s">
        <v>565</v>
      </c>
      <c r="I461" t="s">
        <v>150</v>
      </c>
      <c r="J461" t="s">
        <v>81</v>
      </c>
      <c r="K461">
        <v>68</v>
      </c>
      <c r="L461" t="s">
        <v>82</v>
      </c>
      <c r="M461">
        <v>265</v>
      </c>
      <c r="N461">
        <v>1</v>
      </c>
      <c r="O461">
        <v>7749.14</v>
      </c>
      <c r="P461" s="1">
        <v>45600.339398148149</v>
      </c>
      <c r="Q461">
        <v>17</v>
      </c>
      <c r="R461" t="s">
        <v>47</v>
      </c>
      <c r="S461">
        <v>0.27126987905789901</v>
      </c>
      <c r="T461" t="b">
        <v>0</v>
      </c>
      <c r="U461" t="b">
        <v>0</v>
      </c>
      <c r="V461" t="b">
        <f t="shared" si="14"/>
        <v>1</v>
      </c>
      <c r="W461">
        <v>0</v>
      </c>
      <c r="Y461">
        <f t="shared" si="15"/>
        <v>0</v>
      </c>
    </row>
    <row r="462" spans="1:25" x14ac:dyDescent="0.3">
      <c r="A462" t="s">
        <v>1606</v>
      </c>
      <c r="B462" t="s">
        <v>1164</v>
      </c>
      <c r="C462">
        <v>8.98</v>
      </c>
      <c r="D462" s="1">
        <v>45159.671678240738</v>
      </c>
      <c r="E462" t="s">
        <v>25</v>
      </c>
      <c r="F462" t="s">
        <v>85</v>
      </c>
      <c r="G462" t="s">
        <v>1607</v>
      </c>
      <c r="H462" t="s">
        <v>1608</v>
      </c>
      <c r="I462" t="s">
        <v>383</v>
      </c>
      <c r="J462" t="s">
        <v>45</v>
      </c>
      <c r="K462">
        <v>66</v>
      </c>
      <c r="L462" t="s">
        <v>82</v>
      </c>
      <c r="M462">
        <v>56</v>
      </c>
      <c r="N462">
        <v>1</v>
      </c>
      <c r="O462">
        <v>4516.76</v>
      </c>
      <c r="P462" s="1">
        <v>45600.340891203705</v>
      </c>
      <c r="Q462">
        <v>16</v>
      </c>
      <c r="R462" t="s">
        <v>47</v>
      </c>
      <c r="S462">
        <v>-0.98858534544725896</v>
      </c>
      <c r="T462" t="b">
        <v>0</v>
      </c>
      <c r="U462" t="b">
        <v>0</v>
      </c>
      <c r="V462" t="b">
        <f t="shared" si="14"/>
        <v>1</v>
      </c>
      <c r="W462">
        <v>0</v>
      </c>
      <c r="Y462">
        <f t="shared" si="15"/>
        <v>0</v>
      </c>
    </row>
    <row r="463" spans="1:25" x14ac:dyDescent="0.3">
      <c r="A463" t="s">
        <v>1609</v>
      </c>
      <c r="B463" t="s">
        <v>1234</v>
      </c>
      <c r="C463">
        <v>697.32</v>
      </c>
      <c r="D463" s="1">
        <v>45057.6875462963</v>
      </c>
      <c r="E463" t="s">
        <v>25</v>
      </c>
      <c r="F463" t="s">
        <v>58</v>
      </c>
      <c r="G463" t="s">
        <v>1419</v>
      </c>
      <c r="H463" t="s">
        <v>1610</v>
      </c>
      <c r="I463" t="s">
        <v>1027</v>
      </c>
      <c r="J463" t="s">
        <v>45</v>
      </c>
      <c r="K463">
        <v>68</v>
      </c>
      <c r="L463" t="s">
        <v>82</v>
      </c>
      <c r="M463">
        <v>91</v>
      </c>
      <c r="N463">
        <v>1</v>
      </c>
      <c r="O463">
        <v>2016.02</v>
      </c>
      <c r="P463" s="1">
        <v>45600.341180555559</v>
      </c>
      <c r="Q463">
        <v>16</v>
      </c>
      <c r="R463" t="s">
        <v>141</v>
      </c>
      <c r="S463">
        <v>1.3691774811096</v>
      </c>
      <c r="T463" t="b">
        <v>0</v>
      </c>
      <c r="U463" t="b">
        <v>0</v>
      </c>
      <c r="V463" t="b">
        <f t="shared" si="14"/>
        <v>1</v>
      </c>
      <c r="W463">
        <v>0</v>
      </c>
      <c r="Y463">
        <f t="shared" si="15"/>
        <v>0</v>
      </c>
    </row>
    <row r="464" spans="1:25" x14ac:dyDescent="0.3">
      <c r="A464" t="s">
        <v>1611</v>
      </c>
      <c r="B464" t="s">
        <v>1612</v>
      </c>
      <c r="C464">
        <v>17.45</v>
      </c>
      <c r="D464" s="1">
        <v>45182.6953587963</v>
      </c>
      <c r="E464" t="s">
        <v>25</v>
      </c>
      <c r="F464" t="s">
        <v>309</v>
      </c>
      <c r="G464" t="s">
        <v>1613</v>
      </c>
      <c r="H464" t="s">
        <v>934</v>
      </c>
      <c r="I464" t="s">
        <v>140</v>
      </c>
      <c r="J464" t="s">
        <v>30</v>
      </c>
      <c r="K464">
        <v>18</v>
      </c>
      <c r="L464" t="s">
        <v>46</v>
      </c>
      <c r="M464">
        <v>88</v>
      </c>
      <c r="N464">
        <v>1</v>
      </c>
      <c r="O464">
        <v>1959.52</v>
      </c>
      <c r="P464" s="1">
        <v>45600.34003472222</v>
      </c>
      <c r="Q464">
        <v>16</v>
      </c>
      <c r="R464" t="s">
        <v>74</v>
      </c>
      <c r="S464">
        <v>-0.95957315504580598</v>
      </c>
      <c r="T464" t="b">
        <v>0</v>
      </c>
      <c r="U464" t="b">
        <v>0</v>
      </c>
      <c r="V464" t="b">
        <f t="shared" si="14"/>
        <v>1</v>
      </c>
      <c r="W464">
        <v>0</v>
      </c>
      <c r="Y464">
        <f t="shared" si="15"/>
        <v>0</v>
      </c>
    </row>
    <row r="465" spans="1:25" x14ac:dyDescent="0.3">
      <c r="A465" t="s">
        <v>1614</v>
      </c>
      <c r="B465" t="s">
        <v>936</v>
      </c>
      <c r="C465">
        <v>302.16000000000003</v>
      </c>
      <c r="D465" s="1">
        <v>45217.741574074076</v>
      </c>
      <c r="E465" t="s">
        <v>25</v>
      </c>
      <c r="F465" t="s">
        <v>304</v>
      </c>
      <c r="G465" t="s">
        <v>1615</v>
      </c>
      <c r="H465" t="s">
        <v>1616</v>
      </c>
      <c r="I465" t="s">
        <v>253</v>
      </c>
      <c r="J465" t="s">
        <v>45</v>
      </c>
      <c r="K465">
        <v>80</v>
      </c>
      <c r="L465" t="s">
        <v>82</v>
      </c>
      <c r="M465">
        <v>138</v>
      </c>
      <c r="N465">
        <v>5</v>
      </c>
      <c r="O465">
        <v>3876.61</v>
      </c>
      <c r="P465" s="1">
        <v>45600.338634259257</v>
      </c>
      <c r="Q465">
        <v>17</v>
      </c>
      <c r="R465" t="s">
        <v>74</v>
      </c>
      <c r="S465">
        <v>1.5640626441548702E-2</v>
      </c>
      <c r="T465" t="b">
        <v>0</v>
      </c>
      <c r="U465" t="b">
        <v>1</v>
      </c>
      <c r="V465" t="b">
        <f t="shared" si="14"/>
        <v>1</v>
      </c>
      <c r="W465">
        <v>1</v>
      </c>
      <c r="Y465">
        <f t="shared" si="15"/>
        <v>0</v>
      </c>
    </row>
    <row r="466" spans="1:25" x14ac:dyDescent="0.3">
      <c r="A466" t="s">
        <v>1617</v>
      </c>
      <c r="B466" t="s">
        <v>755</v>
      </c>
      <c r="C466">
        <v>442.74</v>
      </c>
      <c r="D466" s="1">
        <v>45215.741446759261</v>
      </c>
      <c r="E466" t="s">
        <v>25</v>
      </c>
      <c r="F466" t="s">
        <v>26</v>
      </c>
      <c r="G466" t="s">
        <v>1054</v>
      </c>
      <c r="H466" t="s">
        <v>1618</v>
      </c>
      <c r="I466" t="s">
        <v>73</v>
      </c>
      <c r="J466" t="s">
        <v>81</v>
      </c>
      <c r="K466">
        <v>23</v>
      </c>
      <c r="L466" t="s">
        <v>46</v>
      </c>
      <c r="M466">
        <v>136</v>
      </c>
      <c r="N466">
        <v>1</v>
      </c>
      <c r="O466">
        <v>1790.27</v>
      </c>
      <c r="P466" s="1">
        <v>45600.340104166666</v>
      </c>
      <c r="Q466">
        <v>17</v>
      </c>
      <c r="R466" t="s">
        <v>47</v>
      </c>
      <c r="S466">
        <v>0.49716763076697501</v>
      </c>
      <c r="T466" t="b">
        <v>0</v>
      </c>
      <c r="U466" t="b">
        <v>0</v>
      </c>
      <c r="V466" t="b">
        <f t="shared" si="14"/>
        <v>1</v>
      </c>
      <c r="W466">
        <v>0</v>
      </c>
      <c r="Y466">
        <f t="shared" si="15"/>
        <v>0</v>
      </c>
    </row>
    <row r="467" spans="1:25" x14ac:dyDescent="0.3">
      <c r="A467" t="s">
        <v>1619</v>
      </c>
      <c r="B467" t="s">
        <v>654</v>
      </c>
      <c r="C467">
        <v>623.9</v>
      </c>
      <c r="D467" s="1">
        <v>45146.739131944443</v>
      </c>
      <c r="E467" t="s">
        <v>25</v>
      </c>
      <c r="F467" t="s">
        <v>236</v>
      </c>
      <c r="G467" t="s">
        <v>171</v>
      </c>
      <c r="H467" t="s">
        <v>1577</v>
      </c>
      <c r="I467" t="s">
        <v>275</v>
      </c>
      <c r="J467" t="s">
        <v>30</v>
      </c>
      <c r="K467">
        <v>27</v>
      </c>
      <c r="L467" t="s">
        <v>46</v>
      </c>
      <c r="M467">
        <v>249</v>
      </c>
      <c r="N467">
        <v>1</v>
      </c>
      <c r="O467">
        <v>711.47</v>
      </c>
      <c r="P467" s="1">
        <v>45600.340451388889</v>
      </c>
      <c r="Q467">
        <v>17</v>
      </c>
      <c r="R467" t="s">
        <v>32</v>
      </c>
      <c r="S467">
        <v>1.1176928271220301</v>
      </c>
      <c r="T467" t="b">
        <v>0</v>
      </c>
      <c r="U467" t="b">
        <v>0</v>
      </c>
      <c r="V467" t="b">
        <f t="shared" si="14"/>
        <v>1</v>
      </c>
      <c r="W467">
        <v>0</v>
      </c>
      <c r="Y467">
        <f t="shared" si="15"/>
        <v>0</v>
      </c>
    </row>
    <row r="468" spans="1:25" x14ac:dyDescent="0.3">
      <c r="A468" t="s">
        <v>1620</v>
      </c>
      <c r="B468" t="s">
        <v>1356</v>
      </c>
      <c r="C468">
        <v>445.41</v>
      </c>
      <c r="D468" s="1">
        <v>45250.68577546296</v>
      </c>
      <c r="E468" t="s">
        <v>25</v>
      </c>
      <c r="F468" t="s">
        <v>571</v>
      </c>
      <c r="G468" t="s">
        <v>148</v>
      </c>
      <c r="H468" t="s">
        <v>1621</v>
      </c>
      <c r="I468" t="s">
        <v>29</v>
      </c>
      <c r="J468" t="s">
        <v>30</v>
      </c>
      <c r="K468">
        <v>35</v>
      </c>
      <c r="L468" t="s">
        <v>31</v>
      </c>
      <c r="M468">
        <v>235</v>
      </c>
      <c r="N468">
        <v>3</v>
      </c>
      <c r="O468">
        <v>12154.66</v>
      </c>
      <c r="P468" s="1">
        <v>45600.33898148148</v>
      </c>
      <c r="Q468">
        <v>16</v>
      </c>
      <c r="R468" t="s">
        <v>47</v>
      </c>
      <c r="S468">
        <v>0.506313150055273</v>
      </c>
      <c r="T468" t="b">
        <v>0</v>
      </c>
      <c r="U468" t="b">
        <v>1</v>
      </c>
      <c r="V468" t="b">
        <f t="shared" si="14"/>
        <v>1</v>
      </c>
      <c r="W468">
        <v>1</v>
      </c>
      <c r="Y468">
        <f t="shared" si="15"/>
        <v>0</v>
      </c>
    </row>
    <row r="469" spans="1:25" x14ac:dyDescent="0.3">
      <c r="A469" t="s">
        <v>1622</v>
      </c>
      <c r="B469" t="s">
        <v>1210</v>
      </c>
      <c r="C469">
        <v>63.41</v>
      </c>
      <c r="D469" s="1">
        <v>45254.728541666664</v>
      </c>
      <c r="E469" t="s">
        <v>25</v>
      </c>
      <c r="F469" t="s">
        <v>170</v>
      </c>
      <c r="G469" t="s">
        <v>1623</v>
      </c>
      <c r="H469" t="s">
        <v>1618</v>
      </c>
      <c r="I469" t="s">
        <v>88</v>
      </c>
      <c r="J469" t="s">
        <v>30</v>
      </c>
      <c r="K469">
        <v>26</v>
      </c>
      <c r="L469" t="s">
        <v>46</v>
      </c>
      <c r="M469">
        <v>36</v>
      </c>
      <c r="N469">
        <v>1</v>
      </c>
      <c r="O469">
        <v>1546.22</v>
      </c>
      <c r="P469" s="1">
        <v>45600.338368055556</v>
      </c>
      <c r="Q469">
        <v>17</v>
      </c>
      <c r="R469" t="s">
        <v>54</v>
      </c>
      <c r="S469">
        <v>-0.802146912914659</v>
      </c>
      <c r="T469" t="b">
        <v>0</v>
      </c>
      <c r="U469" t="b">
        <v>0</v>
      </c>
      <c r="V469" t="b">
        <f t="shared" si="14"/>
        <v>1</v>
      </c>
      <c r="W469">
        <v>0</v>
      </c>
      <c r="Y469">
        <f t="shared" si="15"/>
        <v>0</v>
      </c>
    </row>
    <row r="470" spans="1:25" x14ac:dyDescent="0.3">
      <c r="A470" t="s">
        <v>1624</v>
      </c>
      <c r="B470" t="s">
        <v>1625</v>
      </c>
      <c r="C470">
        <v>346.85</v>
      </c>
      <c r="D470" s="1">
        <v>45233.773495370369</v>
      </c>
      <c r="E470" t="s">
        <v>25</v>
      </c>
      <c r="F470" t="s">
        <v>304</v>
      </c>
      <c r="G470" t="s">
        <v>386</v>
      </c>
      <c r="H470" t="s">
        <v>37</v>
      </c>
      <c r="I470" t="s">
        <v>117</v>
      </c>
      <c r="J470" t="s">
        <v>30</v>
      </c>
      <c r="K470">
        <v>44</v>
      </c>
      <c r="L470" t="s">
        <v>31</v>
      </c>
      <c r="M470">
        <v>88</v>
      </c>
      <c r="N470">
        <v>1</v>
      </c>
      <c r="O470">
        <v>7208.15</v>
      </c>
      <c r="P470" s="1">
        <v>45600.340567129628</v>
      </c>
      <c r="Q470">
        <v>18</v>
      </c>
      <c r="R470" t="s">
        <v>54</v>
      </c>
      <c r="S470">
        <v>0.16871675265653899</v>
      </c>
      <c r="T470" t="b">
        <v>0</v>
      </c>
      <c r="U470" t="b">
        <v>0</v>
      </c>
      <c r="V470" t="b">
        <f t="shared" si="14"/>
        <v>1</v>
      </c>
      <c r="W470">
        <v>0</v>
      </c>
      <c r="Y470">
        <f t="shared" si="15"/>
        <v>0</v>
      </c>
    </row>
    <row r="471" spans="1:25" x14ac:dyDescent="0.3">
      <c r="A471" t="s">
        <v>1626</v>
      </c>
      <c r="B471" t="s">
        <v>808</v>
      </c>
      <c r="C471">
        <v>71.95</v>
      </c>
      <c r="D471" s="1">
        <v>44970.694351851853</v>
      </c>
      <c r="E471" t="s">
        <v>57</v>
      </c>
      <c r="F471" t="s">
        <v>309</v>
      </c>
      <c r="G471" t="s">
        <v>398</v>
      </c>
      <c r="H471" t="s">
        <v>1507</v>
      </c>
      <c r="I471" t="s">
        <v>753</v>
      </c>
      <c r="J471" t="s">
        <v>45</v>
      </c>
      <c r="K471">
        <v>59</v>
      </c>
      <c r="L471" t="s">
        <v>89</v>
      </c>
      <c r="M471">
        <v>53</v>
      </c>
      <c r="N471">
        <v>1</v>
      </c>
      <c r="O471">
        <v>9267.32</v>
      </c>
      <c r="P471" s="1">
        <v>45600.337766203702</v>
      </c>
      <c r="Q471">
        <v>16</v>
      </c>
      <c r="R471" t="s">
        <v>47</v>
      </c>
      <c r="S471">
        <v>-0.77289495234459804</v>
      </c>
      <c r="T471" t="b">
        <v>0</v>
      </c>
      <c r="U471" t="b">
        <v>0</v>
      </c>
      <c r="V471" t="b">
        <f t="shared" si="14"/>
        <v>1</v>
      </c>
      <c r="W471">
        <v>0</v>
      </c>
      <c r="Y471">
        <f t="shared" si="15"/>
        <v>0</v>
      </c>
    </row>
    <row r="472" spans="1:25" x14ac:dyDescent="0.3">
      <c r="A472" t="s">
        <v>1627</v>
      </c>
      <c r="B472" t="s">
        <v>1226</v>
      </c>
      <c r="C472">
        <v>7.5</v>
      </c>
      <c r="D472" s="1">
        <v>44974.672847222224</v>
      </c>
      <c r="E472" t="s">
        <v>25</v>
      </c>
      <c r="F472" t="s">
        <v>336</v>
      </c>
      <c r="G472" t="s">
        <v>1628</v>
      </c>
      <c r="H472" t="s">
        <v>1547</v>
      </c>
      <c r="I472" t="s">
        <v>67</v>
      </c>
      <c r="J472" t="s">
        <v>45</v>
      </c>
      <c r="K472">
        <v>63</v>
      </c>
      <c r="L472" t="s">
        <v>82</v>
      </c>
      <c r="M472">
        <v>36</v>
      </c>
      <c r="N472">
        <v>1</v>
      </c>
      <c r="O472">
        <v>6485.78</v>
      </c>
      <c r="P472" s="1">
        <v>45600.341296296298</v>
      </c>
      <c r="Q472">
        <v>16</v>
      </c>
      <c r="R472" t="s">
        <v>54</v>
      </c>
      <c r="S472">
        <v>-0.99365477186923701</v>
      </c>
      <c r="T472" t="b">
        <v>0</v>
      </c>
      <c r="U472" t="b">
        <v>0</v>
      </c>
      <c r="V472" t="b">
        <f t="shared" si="14"/>
        <v>1</v>
      </c>
      <c r="W472">
        <v>0</v>
      </c>
      <c r="Y472">
        <f t="shared" si="15"/>
        <v>0</v>
      </c>
    </row>
    <row r="473" spans="1:25" x14ac:dyDescent="0.3">
      <c r="A473" t="s">
        <v>1629</v>
      </c>
      <c r="B473" t="s">
        <v>1630</v>
      </c>
      <c r="C473">
        <v>206.46</v>
      </c>
      <c r="D473" s="1">
        <v>45257.768078703702</v>
      </c>
      <c r="E473" t="s">
        <v>25</v>
      </c>
      <c r="F473" t="s">
        <v>314</v>
      </c>
      <c r="G473" t="s">
        <v>1631</v>
      </c>
      <c r="H473" t="s">
        <v>764</v>
      </c>
      <c r="I473" t="s">
        <v>772</v>
      </c>
      <c r="J473" t="s">
        <v>30</v>
      </c>
      <c r="K473">
        <v>65</v>
      </c>
      <c r="L473" t="s">
        <v>82</v>
      </c>
      <c r="M473">
        <v>279</v>
      </c>
      <c r="N473">
        <v>1</v>
      </c>
      <c r="O473">
        <v>3984.38</v>
      </c>
      <c r="P473" s="1">
        <v>45600.338009259256</v>
      </c>
      <c r="Q473">
        <v>18</v>
      </c>
      <c r="R473" t="s">
        <v>47</v>
      </c>
      <c r="S473">
        <v>-0.312159446925526</v>
      </c>
      <c r="T473" t="b">
        <v>0</v>
      </c>
      <c r="U473" t="b">
        <v>0</v>
      </c>
      <c r="V473" t="b">
        <f t="shared" si="14"/>
        <v>1</v>
      </c>
      <c r="W473">
        <v>0</v>
      </c>
      <c r="Y473">
        <f t="shared" si="15"/>
        <v>0</v>
      </c>
    </row>
    <row r="474" spans="1:25" x14ac:dyDescent="0.3">
      <c r="A474" t="s">
        <v>1632</v>
      </c>
      <c r="B474" t="s">
        <v>1633</v>
      </c>
      <c r="C474">
        <v>423.11</v>
      </c>
      <c r="D474" s="1">
        <v>45132.778495370374</v>
      </c>
      <c r="E474" t="s">
        <v>25</v>
      </c>
      <c r="F474" t="s">
        <v>137</v>
      </c>
      <c r="G474" t="s">
        <v>1392</v>
      </c>
      <c r="H474" t="s">
        <v>1372</v>
      </c>
      <c r="I474" t="s">
        <v>301</v>
      </c>
      <c r="J474" t="s">
        <v>30</v>
      </c>
      <c r="K474">
        <v>60</v>
      </c>
      <c r="L474" t="s">
        <v>89</v>
      </c>
      <c r="M474">
        <v>47</v>
      </c>
      <c r="N474">
        <v>1</v>
      </c>
      <c r="O474">
        <v>412.78</v>
      </c>
      <c r="P474" s="1">
        <v>45600.340949074074</v>
      </c>
      <c r="Q474">
        <v>18</v>
      </c>
      <c r="R474" t="s">
        <v>32</v>
      </c>
      <c r="S474">
        <v>0.42992922491331098</v>
      </c>
      <c r="T474" t="b">
        <v>0</v>
      </c>
      <c r="U474" t="b">
        <v>0</v>
      </c>
      <c r="V474" t="b">
        <f t="shared" si="14"/>
        <v>1</v>
      </c>
      <c r="W474">
        <v>0</v>
      </c>
      <c r="Y474">
        <f t="shared" si="15"/>
        <v>0</v>
      </c>
    </row>
    <row r="475" spans="1:25" x14ac:dyDescent="0.3">
      <c r="A475" t="s">
        <v>1634</v>
      </c>
      <c r="B475" t="s">
        <v>425</v>
      </c>
      <c r="C475">
        <v>35.840000000000003</v>
      </c>
      <c r="D475" s="1">
        <v>45013.724930555552</v>
      </c>
      <c r="E475" t="s">
        <v>57</v>
      </c>
      <c r="F475" t="s">
        <v>534</v>
      </c>
      <c r="G475" t="s">
        <v>1635</v>
      </c>
      <c r="H475" t="s">
        <v>1636</v>
      </c>
      <c r="I475" t="s">
        <v>772</v>
      </c>
      <c r="J475" t="s">
        <v>45</v>
      </c>
      <c r="K475">
        <v>54</v>
      </c>
      <c r="L475" t="s">
        <v>82</v>
      </c>
      <c r="M475">
        <v>172</v>
      </c>
      <c r="N475">
        <v>1</v>
      </c>
      <c r="O475">
        <v>4795.6499999999996</v>
      </c>
      <c r="P475" s="1">
        <v>45600.340937499997</v>
      </c>
      <c r="Q475">
        <v>17</v>
      </c>
      <c r="R475" t="s">
        <v>32</v>
      </c>
      <c r="S475">
        <v>-0.89658210646460901</v>
      </c>
      <c r="T475" t="b">
        <v>0</v>
      </c>
      <c r="U475" t="b">
        <v>0</v>
      </c>
      <c r="V475" t="b">
        <f t="shared" si="14"/>
        <v>1</v>
      </c>
      <c r="W475">
        <v>0</v>
      </c>
      <c r="Y475">
        <f t="shared" si="15"/>
        <v>0</v>
      </c>
    </row>
    <row r="476" spans="1:25" x14ac:dyDescent="0.3">
      <c r="A476" t="s">
        <v>1637</v>
      </c>
      <c r="B476" t="s">
        <v>1219</v>
      </c>
      <c r="C476">
        <v>88.6</v>
      </c>
      <c r="D476" s="1">
        <v>44971.709537037037</v>
      </c>
      <c r="E476" t="s">
        <v>57</v>
      </c>
      <c r="F476" t="s">
        <v>50</v>
      </c>
      <c r="G476" t="s">
        <v>1638</v>
      </c>
      <c r="H476" t="s">
        <v>1639</v>
      </c>
      <c r="I476" t="s">
        <v>67</v>
      </c>
      <c r="J476" t="s">
        <v>81</v>
      </c>
      <c r="K476">
        <v>28</v>
      </c>
      <c r="L476" t="s">
        <v>46</v>
      </c>
      <c r="M476">
        <v>105</v>
      </c>
      <c r="N476">
        <v>1</v>
      </c>
      <c r="O476">
        <v>246.57</v>
      </c>
      <c r="P476" s="1">
        <v>45600.339432870373</v>
      </c>
      <c r="Q476">
        <v>17</v>
      </c>
      <c r="R476" t="s">
        <v>32</v>
      </c>
      <c r="S476">
        <v>-0.71586390509734799</v>
      </c>
      <c r="T476" t="b">
        <v>0</v>
      </c>
      <c r="U476" t="b">
        <v>0</v>
      </c>
      <c r="V476" t="b">
        <f t="shared" si="14"/>
        <v>1</v>
      </c>
      <c r="W476">
        <v>0</v>
      </c>
      <c r="Y476">
        <f t="shared" si="15"/>
        <v>0</v>
      </c>
    </row>
    <row r="477" spans="1:25" x14ac:dyDescent="0.3">
      <c r="A477" t="s">
        <v>1640</v>
      </c>
      <c r="B477" t="s">
        <v>425</v>
      </c>
      <c r="C477">
        <v>1431.3</v>
      </c>
      <c r="D477" s="1">
        <v>45173.782407407409</v>
      </c>
      <c r="E477" t="s">
        <v>25</v>
      </c>
      <c r="F477" t="s">
        <v>64</v>
      </c>
      <c r="G477" t="s">
        <v>1054</v>
      </c>
      <c r="H477" t="s">
        <v>778</v>
      </c>
      <c r="I477" t="s">
        <v>997</v>
      </c>
      <c r="J477" t="s">
        <v>30</v>
      </c>
      <c r="K477">
        <v>18</v>
      </c>
      <c r="L477" t="s">
        <v>46</v>
      </c>
      <c r="M477">
        <v>168</v>
      </c>
      <c r="N477">
        <v>1</v>
      </c>
      <c r="O477">
        <v>1058.1300000000001</v>
      </c>
      <c r="P477" s="1">
        <v>45600.341203703705</v>
      </c>
      <c r="Q477">
        <v>18</v>
      </c>
      <c r="R477" t="s">
        <v>47</v>
      </c>
      <c r="S477">
        <v>3.8832704575982699</v>
      </c>
      <c r="T477" t="b">
        <v>1</v>
      </c>
      <c r="U477" t="b">
        <v>0</v>
      </c>
      <c r="V477" t="b">
        <f t="shared" si="14"/>
        <v>1</v>
      </c>
      <c r="W477">
        <v>1</v>
      </c>
      <c r="Y477">
        <f t="shared" si="15"/>
        <v>1</v>
      </c>
    </row>
    <row r="478" spans="1:25" x14ac:dyDescent="0.3">
      <c r="A478" t="s">
        <v>1641</v>
      </c>
      <c r="B478" t="s">
        <v>711</v>
      </c>
      <c r="C478">
        <v>53.81</v>
      </c>
      <c r="D478" s="1">
        <v>45215.705370370371</v>
      </c>
      <c r="E478" t="s">
        <v>57</v>
      </c>
      <c r="F478" t="s">
        <v>50</v>
      </c>
      <c r="G478" t="s">
        <v>592</v>
      </c>
      <c r="H478" t="s">
        <v>1642</v>
      </c>
      <c r="I478" t="s">
        <v>1294</v>
      </c>
      <c r="J478" t="s">
        <v>30</v>
      </c>
      <c r="K478">
        <v>55</v>
      </c>
      <c r="L478" t="s">
        <v>89</v>
      </c>
      <c r="M478">
        <v>37</v>
      </c>
      <c r="N478">
        <v>2</v>
      </c>
      <c r="O478">
        <v>2564.62</v>
      </c>
      <c r="P478" s="1">
        <v>45600.341724537036</v>
      </c>
      <c r="Q478">
        <v>16</v>
      </c>
      <c r="R478" t="s">
        <v>47</v>
      </c>
      <c r="S478">
        <v>-0.83502967889505497</v>
      </c>
      <c r="T478" t="b">
        <v>0</v>
      </c>
      <c r="U478" t="b">
        <v>1</v>
      </c>
      <c r="V478" t="b">
        <f t="shared" si="14"/>
        <v>1</v>
      </c>
      <c r="W478">
        <v>1</v>
      </c>
      <c r="Y478">
        <f t="shared" si="15"/>
        <v>0</v>
      </c>
    </row>
    <row r="479" spans="1:25" x14ac:dyDescent="0.3">
      <c r="A479" t="s">
        <v>1643</v>
      </c>
      <c r="B479" t="s">
        <v>1644</v>
      </c>
      <c r="C479">
        <v>22.46</v>
      </c>
      <c r="D479" s="1">
        <v>45063.669340277775</v>
      </c>
      <c r="E479" t="s">
        <v>25</v>
      </c>
      <c r="F479" t="s">
        <v>216</v>
      </c>
      <c r="G479" t="s">
        <v>1375</v>
      </c>
      <c r="H479" t="s">
        <v>841</v>
      </c>
      <c r="I479" t="s">
        <v>356</v>
      </c>
      <c r="J479" t="s">
        <v>45</v>
      </c>
      <c r="K479">
        <v>54</v>
      </c>
      <c r="L479" t="s">
        <v>82</v>
      </c>
      <c r="M479">
        <v>78</v>
      </c>
      <c r="N479">
        <v>1</v>
      </c>
      <c r="O479">
        <v>6631.5</v>
      </c>
      <c r="P479" s="1">
        <v>45600.338726851849</v>
      </c>
      <c r="Q479">
        <v>16</v>
      </c>
      <c r="R479" t="s">
        <v>74</v>
      </c>
      <c r="S479">
        <v>-0.94241246154978697</v>
      </c>
      <c r="T479" t="b">
        <v>0</v>
      </c>
      <c r="U479" t="b">
        <v>0</v>
      </c>
      <c r="V479" t="b">
        <f t="shared" si="14"/>
        <v>1</v>
      </c>
      <c r="W479">
        <v>0</v>
      </c>
      <c r="Y479">
        <f t="shared" si="15"/>
        <v>0</v>
      </c>
    </row>
    <row r="480" spans="1:25" x14ac:dyDescent="0.3">
      <c r="A480" t="s">
        <v>1645</v>
      </c>
      <c r="B480" t="s">
        <v>109</v>
      </c>
      <c r="C480">
        <v>334.89</v>
      </c>
      <c r="D480" s="1">
        <v>45127.766122685185</v>
      </c>
      <c r="E480" t="s">
        <v>25</v>
      </c>
      <c r="F480" t="s">
        <v>170</v>
      </c>
      <c r="G480" t="s">
        <v>1646</v>
      </c>
      <c r="H480" t="s">
        <v>1015</v>
      </c>
      <c r="I480" t="s">
        <v>156</v>
      </c>
      <c r="J480" t="s">
        <v>45</v>
      </c>
      <c r="K480">
        <v>21</v>
      </c>
      <c r="L480" t="s">
        <v>46</v>
      </c>
      <c r="M480">
        <v>260</v>
      </c>
      <c r="N480">
        <v>1</v>
      </c>
      <c r="O480">
        <v>1661.68</v>
      </c>
      <c r="P480" s="1">
        <v>45600.339398148149</v>
      </c>
      <c r="Q480">
        <v>18</v>
      </c>
      <c r="R480" t="s">
        <v>141</v>
      </c>
      <c r="S480">
        <v>0.12775030670596099</v>
      </c>
      <c r="T480" t="b">
        <v>0</v>
      </c>
      <c r="U480" t="b">
        <v>0</v>
      </c>
      <c r="V480" t="b">
        <f t="shared" si="14"/>
        <v>1</v>
      </c>
      <c r="W480">
        <v>0</v>
      </c>
      <c r="Y480">
        <f t="shared" si="15"/>
        <v>0</v>
      </c>
    </row>
    <row r="481" spans="1:25" x14ac:dyDescent="0.3">
      <c r="A481" t="s">
        <v>1647</v>
      </c>
      <c r="B481" t="s">
        <v>1648</v>
      </c>
      <c r="C481">
        <v>319.27</v>
      </c>
      <c r="D481" s="1">
        <v>45127.707002314812</v>
      </c>
      <c r="E481" t="s">
        <v>57</v>
      </c>
      <c r="F481" t="s">
        <v>309</v>
      </c>
      <c r="G481" t="s">
        <v>1649</v>
      </c>
      <c r="H481" t="s">
        <v>1650</v>
      </c>
      <c r="I481" t="s">
        <v>1537</v>
      </c>
      <c r="J481" t="s">
        <v>45</v>
      </c>
      <c r="K481">
        <v>54</v>
      </c>
      <c r="L481" t="s">
        <v>82</v>
      </c>
      <c r="M481">
        <v>59</v>
      </c>
      <c r="N481">
        <v>1</v>
      </c>
      <c r="O481">
        <v>5504.01</v>
      </c>
      <c r="P481" s="1">
        <v>45600.337905092594</v>
      </c>
      <c r="Q481">
        <v>16</v>
      </c>
      <c r="R481" t="s">
        <v>141</v>
      </c>
      <c r="S481">
        <v>7.4247306225358897E-2</v>
      </c>
      <c r="T481" t="b">
        <v>0</v>
      </c>
      <c r="U481" t="b">
        <v>0</v>
      </c>
      <c r="V481" t="b">
        <f t="shared" si="14"/>
        <v>1</v>
      </c>
      <c r="W481">
        <v>0</v>
      </c>
      <c r="Y481">
        <f t="shared" si="15"/>
        <v>0</v>
      </c>
    </row>
    <row r="482" spans="1:25" x14ac:dyDescent="0.3">
      <c r="A482" t="s">
        <v>1651</v>
      </c>
      <c r="B482" t="s">
        <v>1192</v>
      </c>
      <c r="C482">
        <v>144.30000000000001</v>
      </c>
      <c r="D482" s="1">
        <v>45268.72550925926</v>
      </c>
      <c r="E482" t="s">
        <v>25</v>
      </c>
      <c r="F482" t="s">
        <v>64</v>
      </c>
      <c r="G482" t="s">
        <v>373</v>
      </c>
      <c r="H482" t="s">
        <v>985</v>
      </c>
      <c r="I482" t="s">
        <v>487</v>
      </c>
      <c r="J482" t="s">
        <v>30</v>
      </c>
      <c r="K482">
        <v>18</v>
      </c>
      <c r="L482" t="s">
        <v>46</v>
      </c>
      <c r="M482">
        <v>88</v>
      </c>
      <c r="N482">
        <v>1</v>
      </c>
      <c r="O482">
        <v>312.19</v>
      </c>
      <c r="P482" s="1">
        <v>45600.340729166666</v>
      </c>
      <c r="Q482">
        <v>17</v>
      </c>
      <c r="R482" t="s">
        <v>54</v>
      </c>
      <c r="S482">
        <v>-0.52507535664859095</v>
      </c>
      <c r="T482" t="b">
        <v>0</v>
      </c>
      <c r="U482" t="b">
        <v>0</v>
      </c>
      <c r="V482" t="b">
        <f t="shared" si="14"/>
        <v>1</v>
      </c>
      <c r="W482">
        <v>0</v>
      </c>
      <c r="Y482">
        <f t="shared" si="15"/>
        <v>0</v>
      </c>
    </row>
    <row r="483" spans="1:25" x14ac:dyDescent="0.3">
      <c r="A483" t="s">
        <v>1652</v>
      </c>
      <c r="B483" t="s">
        <v>1470</v>
      </c>
      <c r="C483">
        <v>348.7</v>
      </c>
      <c r="D483" s="1">
        <v>45048.717881944445</v>
      </c>
      <c r="E483" t="s">
        <v>57</v>
      </c>
      <c r="F483" t="s">
        <v>571</v>
      </c>
      <c r="G483" t="s">
        <v>1653</v>
      </c>
      <c r="H483" t="s">
        <v>1654</v>
      </c>
      <c r="I483" t="s">
        <v>665</v>
      </c>
      <c r="J483" t="s">
        <v>81</v>
      </c>
      <c r="K483">
        <v>69</v>
      </c>
      <c r="L483" t="s">
        <v>82</v>
      </c>
      <c r="M483">
        <v>149</v>
      </c>
      <c r="N483">
        <v>1</v>
      </c>
      <c r="O483">
        <v>2445.58</v>
      </c>
      <c r="P483" s="1">
        <v>45600.338171296295</v>
      </c>
      <c r="Q483">
        <v>17</v>
      </c>
      <c r="R483" t="s">
        <v>32</v>
      </c>
      <c r="S483">
        <v>0.175053535684011</v>
      </c>
      <c r="T483" t="b">
        <v>0</v>
      </c>
      <c r="U483" t="b">
        <v>0</v>
      </c>
      <c r="V483" t="b">
        <f t="shared" si="14"/>
        <v>1</v>
      </c>
      <c r="W483">
        <v>0</v>
      </c>
      <c r="Y483">
        <f t="shared" si="15"/>
        <v>0</v>
      </c>
    </row>
    <row r="484" spans="1:25" x14ac:dyDescent="0.3">
      <c r="A484" t="s">
        <v>1655</v>
      </c>
      <c r="B484" t="s">
        <v>1164</v>
      </c>
      <c r="C484">
        <v>366.21</v>
      </c>
      <c r="D484" s="1">
        <v>44938.747986111113</v>
      </c>
      <c r="E484" t="s">
        <v>25</v>
      </c>
      <c r="F484" t="s">
        <v>64</v>
      </c>
      <c r="G484" t="s">
        <v>1190</v>
      </c>
      <c r="H484" t="s">
        <v>712</v>
      </c>
      <c r="I484" t="s">
        <v>38</v>
      </c>
      <c r="J484" t="s">
        <v>30</v>
      </c>
      <c r="K484">
        <v>62</v>
      </c>
      <c r="L484" t="s">
        <v>31</v>
      </c>
      <c r="M484">
        <v>181</v>
      </c>
      <c r="N484">
        <v>1</v>
      </c>
      <c r="O484">
        <v>10862.99</v>
      </c>
      <c r="P484" s="1">
        <v>45600.34138888889</v>
      </c>
      <c r="Q484">
        <v>17</v>
      </c>
      <c r="R484" t="s">
        <v>141</v>
      </c>
      <c r="S484">
        <v>0.23503033071700399</v>
      </c>
      <c r="T484" t="b">
        <v>0</v>
      </c>
      <c r="U484" t="b">
        <v>0</v>
      </c>
      <c r="V484" t="b">
        <f t="shared" si="14"/>
        <v>1</v>
      </c>
      <c r="W484">
        <v>0</v>
      </c>
      <c r="Y484">
        <f t="shared" si="15"/>
        <v>0</v>
      </c>
    </row>
    <row r="485" spans="1:25" x14ac:dyDescent="0.3">
      <c r="A485" t="s">
        <v>1656</v>
      </c>
      <c r="B485" t="s">
        <v>1657</v>
      </c>
      <c r="C485">
        <v>99.11</v>
      </c>
      <c r="D485" s="1">
        <v>45047.707418981481</v>
      </c>
      <c r="E485" t="s">
        <v>25</v>
      </c>
      <c r="F485" t="s">
        <v>256</v>
      </c>
      <c r="G485" t="s">
        <v>1658</v>
      </c>
      <c r="H485" t="s">
        <v>320</v>
      </c>
      <c r="I485" t="s">
        <v>29</v>
      </c>
      <c r="J485" t="s">
        <v>45</v>
      </c>
      <c r="K485">
        <v>55</v>
      </c>
      <c r="L485" t="s">
        <v>82</v>
      </c>
      <c r="M485">
        <v>12</v>
      </c>
      <c r="N485">
        <v>1</v>
      </c>
      <c r="O485">
        <v>5414.87</v>
      </c>
      <c r="P485" s="1">
        <v>45600.339988425927</v>
      </c>
      <c r="Q485">
        <v>16</v>
      </c>
      <c r="R485" t="s">
        <v>47</v>
      </c>
      <c r="S485">
        <v>-0.67986412692506004</v>
      </c>
      <c r="T485" t="b">
        <v>0</v>
      </c>
      <c r="U485" t="b">
        <v>0</v>
      </c>
      <c r="V485" t="b">
        <f t="shared" si="14"/>
        <v>1</v>
      </c>
      <c r="W485">
        <v>0</v>
      </c>
      <c r="Y485">
        <f t="shared" si="15"/>
        <v>0</v>
      </c>
    </row>
    <row r="486" spans="1:25" x14ac:dyDescent="0.3">
      <c r="A486" t="s">
        <v>1659</v>
      </c>
      <c r="B486" t="s">
        <v>1404</v>
      </c>
      <c r="C486">
        <v>539.35</v>
      </c>
      <c r="D486" s="1">
        <v>45068.732523148145</v>
      </c>
      <c r="E486" t="s">
        <v>25</v>
      </c>
      <c r="F486" t="s">
        <v>191</v>
      </c>
      <c r="G486" t="s">
        <v>36</v>
      </c>
      <c r="H486" t="s">
        <v>709</v>
      </c>
      <c r="I486" t="s">
        <v>53</v>
      </c>
      <c r="J486" t="s">
        <v>30</v>
      </c>
      <c r="K486">
        <v>55</v>
      </c>
      <c r="L486" t="s">
        <v>82</v>
      </c>
      <c r="M486">
        <v>127</v>
      </c>
      <c r="N486">
        <v>1</v>
      </c>
      <c r="O486">
        <v>3919.44</v>
      </c>
      <c r="P486" s="1">
        <v>45600.341539351852</v>
      </c>
      <c r="Q486">
        <v>17</v>
      </c>
      <c r="R486" t="s">
        <v>47</v>
      </c>
      <c r="S486">
        <v>0.82808471632594205</v>
      </c>
      <c r="T486" t="b">
        <v>0</v>
      </c>
      <c r="U486" t="b">
        <v>0</v>
      </c>
      <c r="V486" t="b">
        <f t="shared" si="14"/>
        <v>1</v>
      </c>
      <c r="W486">
        <v>0</v>
      </c>
      <c r="Y486">
        <f t="shared" si="15"/>
        <v>0</v>
      </c>
    </row>
    <row r="487" spans="1:25" x14ac:dyDescent="0.3">
      <c r="A487" t="s">
        <v>1660</v>
      </c>
      <c r="B487" t="s">
        <v>1017</v>
      </c>
      <c r="C487">
        <v>188.99</v>
      </c>
      <c r="D487" s="1">
        <v>45085.696597222224</v>
      </c>
      <c r="E487" t="s">
        <v>25</v>
      </c>
      <c r="F487" t="s">
        <v>64</v>
      </c>
      <c r="G487" t="s">
        <v>973</v>
      </c>
      <c r="H487" t="s">
        <v>1427</v>
      </c>
      <c r="I487" t="s">
        <v>162</v>
      </c>
      <c r="J487" t="s">
        <v>81</v>
      </c>
      <c r="K487">
        <v>58</v>
      </c>
      <c r="L487" t="s">
        <v>89</v>
      </c>
      <c r="M487">
        <v>92</v>
      </c>
      <c r="N487">
        <v>1</v>
      </c>
      <c r="O487">
        <v>7315.34</v>
      </c>
      <c r="P487" s="1">
        <v>45600.338564814818</v>
      </c>
      <c r="Q487">
        <v>16</v>
      </c>
      <c r="R487" t="s">
        <v>141</v>
      </c>
      <c r="S487">
        <v>-0.371999230433601</v>
      </c>
      <c r="T487" t="b">
        <v>0</v>
      </c>
      <c r="U487" t="b">
        <v>0</v>
      </c>
      <c r="V487" t="b">
        <f t="shared" si="14"/>
        <v>1</v>
      </c>
      <c r="W487">
        <v>0</v>
      </c>
      <c r="Y487">
        <f t="shared" si="15"/>
        <v>0</v>
      </c>
    </row>
    <row r="488" spans="1:25" x14ac:dyDescent="0.3">
      <c r="A488" t="s">
        <v>1661</v>
      </c>
      <c r="B488" t="s">
        <v>1164</v>
      </c>
      <c r="C488">
        <v>1416.69</v>
      </c>
      <c r="D488" s="1">
        <v>44942.708460648151</v>
      </c>
      <c r="E488" t="s">
        <v>25</v>
      </c>
      <c r="F488" t="s">
        <v>92</v>
      </c>
      <c r="G488" t="s">
        <v>1662</v>
      </c>
      <c r="H488" t="s">
        <v>1490</v>
      </c>
      <c r="I488" t="s">
        <v>29</v>
      </c>
      <c r="J488" t="s">
        <v>30</v>
      </c>
      <c r="K488">
        <v>46</v>
      </c>
      <c r="L488" t="s">
        <v>89</v>
      </c>
      <c r="M488">
        <v>58</v>
      </c>
      <c r="N488">
        <v>1</v>
      </c>
      <c r="O488">
        <v>3740.73</v>
      </c>
      <c r="P488" s="1">
        <v>45600.341377314813</v>
      </c>
      <c r="Q488">
        <v>17</v>
      </c>
      <c r="R488" t="s">
        <v>47</v>
      </c>
      <c r="S488">
        <v>3.8332269981218601</v>
      </c>
      <c r="T488" t="b">
        <v>1</v>
      </c>
      <c r="U488" t="b">
        <v>0</v>
      </c>
      <c r="V488" t="b">
        <f t="shared" si="14"/>
        <v>1</v>
      </c>
      <c r="W488">
        <v>1</v>
      </c>
      <c r="Y488">
        <f t="shared" si="15"/>
        <v>1</v>
      </c>
    </row>
    <row r="489" spans="1:25" x14ac:dyDescent="0.3">
      <c r="A489" t="s">
        <v>1663</v>
      </c>
      <c r="B489" t="s">
        <v>24</v>
      </c>
      <c r="C489">
        <v>710.14</v>
      </c>
      <c r="D489" s="1">
        <v>44993.68105324074</v>
      </c>
      <c r="E489" t="s">
        <v>25</v>
      </c>
      <c r="F489" t="s">
        <v>519</v>
      </c>
      <c r="G489" t="s">
        <v>1664</v>
      </c>
      <c r="H489" t="s">
        <v>1217</v>
      </c>
      <c r="I489" t="s">
        <v>140</v>
      </c>
      <c r="J489" t="s">
        <v>30</v>
      </c>
      <c r="K489">
        <v>26</v>
      </c>
      <c r="L489" t="s">
        <v>46</v>
      </c>
      <c r="M489">
        <v>227</v>
      </c>
      <c r="N489">
        <v>1</v>
      </c>
      <c r="O489">
        <v>465.63</v>
      </c>
      <c r="P489" s="1">
        <v>45600.341898148145</v>
      </c>
      <c r="Q489">
        <v>16</v>
      </c>
      <c r="R489" t="s">
        <v>74</v>
      </c>
      <c r="S489">
        <v>1.4130896748459201</v>
      </c>
      <c r="T489" t="b">
        <v>0</v>
      </c>
      <c r="U489" t="b">
        <v>0</v>
      </c>
      <c r="V489" t="b">
        <f t="shared" si="14"/>
        <v>1</v>
      </c>
      <c r="W489">
        <v>0</v>
      </c>
      <c r="Y489">
        <f t="shared" si="15"/>
        <v>0</v>
      </c>
    </row>
    <row r="490" spans="1:25" x14ac:dyDescent="0.3">
      <c r="A490" t="s">
        <v>1665</v>
      </c>
      <c r="B490" t="s">
        <v>1666</v>
      </c>
      <c r="C490">
        <v>308.68</v>
      </c>
      <c r="D490" s="1">
        <v>44984.718171296299</v>
      </c>
      <c r="E490" t="s">
        <v>25</v>
      </c>
      <c r="F490" t="s">
        <v>191</v>
      </c>
      <c r="G490" t="s">
        <v>1336</v>
      </c>
      <c r="H490" t="s">
        <v>1221</v>
      </c>
      <c r="I490" t="s">
        <v>344</v>
      </c>
      <c r="J490" t="s">
        <v>45</v>
      </c>
      <c r="K490">
        <v>53</v>
      </c>
      <c r="L490" t="s">
        <v>31</v>
      </c>
      <c r="M490">
        <v>170</v>
      </c>
      <c r="N490">
        <v>1</v>
      </c>
      <c r="O490">
        <v>9992.36</v>
      </c>
      <c r="P490" s="1">
        <v>45600.340462962966</v>
      </c>
      <c r="Q490">
        <v>17</v>
      </c>
      <c r="R490" t="s">
        <v>47</v>
      </c>
      <c r="S490">
        <v>3.7973505003234397E-2</v>
      </c>
      <c r="T490" t="b">
        <v>0</v>
      </c>
      <c r="U490" t="b">
        <v>0</v>
      </c>
      <c r="V490" t="b">
        <f t="shared" si="14"/>
        <v>1</v>
      </c>
      <c r="W490">
        <v>0</v>
      </c>
      <c r="Y490">
        <f t="shared" si="15"/>
        <v>0</v>
      </c>
    </row>
    <row r="491" spans="1:25" x14ac:dyDescent="0.3">
      <c r="A491" t="s">
        <v>1667</v>
      </c>
      <c r="B491" t="s">
        <v>1668</v>
      </c>
      <c r="C491">
        <v>166.68</v>
      </c>
      <c r="D491" s="1">
        <v>45012.78328703704</v>
      </c>
      <c r="E491" t="s">
        <v>25</v>
      </c>
      <c r="F491" t="s">
        <v>41</v>
      </c>
      <c r="G491" t="s">
        <v>1669</v>
      </c>
      <c r="H491" t="s">
        <v>1670</v>
      </c>
      <c r="I491" t="s">
        <v>194</v>
      </c>
      <c r="J491" t="s">
        <v>30</v>
      </c>
      <c r="K491">
        <v>57</v>
      </c>
      <c r="L491" t="s">
        <v>82</v>
      </c>
      <c r="M491">
        <v>139</v>
      </c>
      <c r="N491">
        <v>1</v>
      </c>
      <c r="O491">
        <v>5141.1899999999996</v>
      </c>
      <c r="P491" s="1">
        <v>45600.341886574075</v>
      </c>
      <c r="Q491">
        <v>18</v>
      </c>
      <c r="R491" t="s">
        <v>47</v>
      </c>
      <c r="S491">
        <v>-0.44841740845679201</v>
      </c>
      <c r="T491" t="b">
        <v>0</v>
      </c>
      <c r="U491" t="b">
        <v>0</v>
      </c>
      <c r="V491" t="b">
        <f t="shared" si="14"/>
        <v>1</v>
      </c>
      <c r="W491">
        <v>0</v>
      </c>
      <c r="Y491">
        <f t="shared" si="15"/>
        <v>0</v>
      </c>
    </row>
    <row r="492" spans="1:25" x14ac:dyDescent="0.3">
      <c r="A492" t="s">
        <v>1671</v>
      </c>
      <c r="B492" t="s">
        <v>1672</v>
      </c>
      <c r="C492">
        <v>0.99</v>
      </c>
      <c r="D492" s="1">
        <v>45182.705023148148</v>
      </c>
      <c r="E492" t="s">
        <v>25</v>
      </c>
      <c r="F492" t="s">
        <v>153</v>
      </c>
      <c r="G492" t="s">
        <v>836</v>
      </c>
      <c r="H492" t="s">
        <v>212</v>
      </c>
      <c r="I492" t="s">
        <v>188</v>
      </c>
      <c r="J492" t="s">
        <v>30</v>
      </c>
      <c r="K492">
        <v>45</v>
      </c>
      <c r="L492" t="s">
        <v>89</v>
      </c>
      <c r="M492">
        <v>133</v>
      </c>
      <c r="N492">
        <v>1</v>
      </c>
      <c r="O492">
        <v>4317.8500000000004</v>
      </c>
      <c r="P492" s="1">
        <v>45600.339722222219</v>
      </c>
      <c r="Q492">
        <v>16</v>
      </c>
      <c r="R492" t="s">
        <v>74</v>
      </c>
      <c r="S492">
        <v>-1.0159533975496899</v>
      </c>
      <c r="T492" t="b">
        <v>0</v>
      </c>
      <c r="U492" t="b">
        <v>0</v>
      </c>
      <c r="V492" t="b">
        <f t="shared" si="14"/>
        <v>1</v>
      </c>
      <c r="W492">
        <v>0</v>
      </c>
      <c r="Y492">
        <f t="shared" si="15"/>
        <v>0</v>
      </c>
    </row>
    <row r="493" spans="1:25" x14ac:dyDescent="0.3">
      <c r="A493" t="s">
        <v>1673</v>
      </c>
      <c r="B493" t="s">
        <v>558</v>
      </c>
      <c r="C493">
        <v>505.19</v>
      </c>
      <c r="D493" s="1">
        <v>44999.684074074074</v>
      </c>
      <c r="E493" t="s">
        <v>25</v>
      </c>
      <c r="F493" t="s">
        <v>304</v>
      </c>
      <c r="G493" t="s">
        <v>1511</v>
      </c>
      <c r="H493" t="s">
        <v>264</v>
      </c>
      <c r="I493" t="s">
        <v>295</v>
      </c>
      <c r="J493" t="s">
        <v>30</v>
      </c>
      <c r="K493">
        <v>30</v>
      </c>
      <c r="L493" t="s">
        <v>31</v>
      </c>
      <c r="M493">
        <v>128</v>
      </c>
      <c r="N493">
        <v>5</v>
      </c>
      <c r="O493">
        <v>5326.68</v>
      </c>
      <c r="P493" s="1">
        <v>45600.340497685182</v>
      </c>
      <c r="Q493">
        <v>16</v>
      </c>
      <c r="R493" t="s">
        <v>32</v>
      </c>
      <c r="S493">
        <v>0.71107687404569897</v>
      </c>
      <c r="T493" t="b">
        <v>0</v>
      </c>
      <c r="U493" t="b">
        <v>1</v>
      </c>
      <c r="V493" t="b">
        <f t="shared" si="14"/>
        <v>1</v>
      </c>
      <c r="W493">
        <v>1</v>
      </c>
      <c r="Y493">
        <f t="shared" si="15"/>
        <v>0</v>
      </c>
    </row>
    <row r="494" spans="1:25" x14ac:dyDescent="0.3">
      <c r="A494" t="s">
        <v>1674</v>
      </c>
      <c r="B494" t="s">
        <v>1633</v>
      </c>
      <c r="C494">
        <v>66.58</v>
      </c>
      <c r="D494" s="1">
        <v>45264.712997685187</v>
      </c>
      <c r="E494" t="s">
        <v>25</v>
      </c>
      <c r="F494" t="s">
        <v>50</v>
      </c>
      <c r="G494" t="s">
        <v>1003</v>
      </c>
      <c r="H494" t="s">
        <v>1487</v>
      </c>
      <c r="I494" t="s">
        <v>156</v>
      </c>
      <c r="J494" t="s">
        <v>81</v>
      </c>
      <c r="K494">
        <v>23</v>
      </c>
      <c r="L494" t="s">
        <v>46</v>
      </c>
      <c r="M494">
        <v>79</v>
      </c>
      <c r="N494">
        <v>1</v>
      </c>
      <c r="O494">
        <v>1636.32</v>
      </c>
      <c r="P494" s="1">
        <v>45600.339444444442</v>
      </c>
      <c r="Q494">
        <v>17</v>
      </c>
      <c r="R494" t="s">
        <v>47</v>
      </c>
      <c r="S494">
        <v>-0.79128874956488204</v>
      </c>
      <c r="T494" t="b">
        <v>0</v>
      </c>
      <c r="U494" t="b">
        <v>0</v>
      </c>
      <c r="V494" t="b">
        <f t="shared" si="14"/>
        <v>1</v>
      </c>
      <c r="W494">
        <v>0</v>
      </c>
      <c r="Y494">
        <f t="shared" si="15"/>
        <v>0</v>
      </c>
    </row>
    <row r="495" spans="1:25" x14ac:dyDescent="0.3">
      <c r="A495" t="s">
        <v>1675</v>
      </c>
      <c r="B495" t="s">
        <v>522</v>
      </c>
      <c r="C495">
        <v>223.43</v>
      </c>
      <c r="D495" s="1">
        <v>44965.749791666669</v>
      </c>
      <c r="E495" t="s">
        <v>25</v>
      </c>
      <c r="F495" t="s">
        <v>336</v>
      </c>
      <c r="G495" t="s">
        <v>1341</v>
      </c>
      <c r="H495" t="s">
        <v>338</v>
      </c>
      <c r="I495" t="s">
        <v>61</v>
      </c>
      <c r="J495" t="s">
        <v>81</v>
      </c>
      <c r="K495">
        <v>77</v>
      </c>
      <c r="L495" t="s">
        <v>82</v>
      </c>
      <c r="M495">
        <v>178</v>
      </c>
      <c r="N495">
        <v>1</v>
      </c>
      <c r="O495">
        <v>7932.41</v>
      </c>
      <c r="P495" s="1">
        <v>45600.34002314815</v>
      </c>
      <c r="Q495">
        <v>17</v>
      </c>
      <c r="R495" t="s">
        <v>74</v>
      </c>
      <c r="S495">
        <v>-0.25403230747892902</v>
      </c>
      <c r="T495" t="b">
        <v>0</v>
      </c>
      <c r="U495" t="b">
        <v>0</v>
      </c>
      <c r="V495" t="b">
        <f t="shared" si="14"/>
        <v>1</v>
      </c>
      <c r="W495">
        <v>0</v>
      </c>
      <c r="Y495">
        <f t="shared" si="15"/>
        <v>0</v>
      </c>
    </row>
    <row r="496" spans="1:25" x14ac:dyDescent="0.3">
      <c r="A496" t="s">
        <v>1676</v>
      </c>
      <c r="B496" t="s">
        <v>582</v>
      </c>
      <c r="C496">
        <v>659.95</v>
      </c>
      <c r="D496" s="1">
        <v>45189.70815972222</v>
      </c>
      <c r="E496" t="s">
        <v>25</v>
      </c>
      <c r="F496" t="s">
        <v>85</v>
      </c>
      <c r="G496" t="s">
        <v>1677</v>
      </c>
      <c r="H496" t="s">
        <v>1678</v>
      </c>
      <c r="I496" t="s">
        <v>265</v>
      </c>
      <c r="J496" t="s">
        <v>45</v>
      </c>
      <c r="K496">
        <v>60</v>
      </c>
      <c r="L496" t="s">
        <v>89</v>
      </c>
      <c r="M496">
        <v>114</v>
      </c>
      <c r="N496">
        <v>1</v>
      </c>
      <c r="O496">
        <v>3927.69</v>
      </c>
      <c r="P496" s="1">
        <v>45600.337800925925</v>
      </c>
      <c r="Q496">
        <v>16</v>
      </c>
      <c r="R496" t="s">
        <v>74</v>
      </c>
      <c r="S496">
        <v>1.24117446395466</v>
      </c>
      <c r="T496" t="b">
        <v>0</v>
      </c>
      <c r="U496" t="b">
        <v>0</v>
      </c>
      <c r="V496" t="b">
        <f t="shared" si="14"/>
        <v>1</v>
      </c>
      <c r="W496">
        <v>0</v>
      </c>
      <c r="Y496">
        <f t="shared" si="15"/>
        <v>0</v>
      </c>
    </row>
    <row r="497" spans="1:25" x14ac:dyDescent="0.3">
      <c r="A497" t="s">
        <v>1679</v>
      </c>
      <c r="B497" t="s">
        <v>1451</v>
      </c>
      <c r="C497">
        <v>634.86</v>
      </c>
      <c r="D497" s="1">
        <v>45148.686747685184</v>
      </c>
      <c r="E497" t="s">
        <v>25</v>
      </c>
      <c r="F497" t="s">
        <v>278</v>
      </c>
      <c r="G497" t="s">
        <v>1227</v>
      </c>
      <c r="H497" t="s">
        <v>1680</v>
      </c>
      <c r="I497" t="s">
        <v>44</v>
      </c>
      <c r="J497" t="s">
        <v>30</v>
      </c>
      <c r="K497">
        <v>27</v>
      </c>
      <c r="L497" t="s">
        <v>46</v>
      </c>
      <c r="M497">
        <v>45</v>
      </c>
      <c r="N497">
        <v>1</v>
      </c>
      <c r="O497">
        <v>588.5</v>
      </c>
      <c r="P497" s="1">
        <v>45600.338888888888</v>
      </c>
      <c r="Q497">
        <v>16</v>
      </c>
      <c r="R497" t="s">
        <v>141</v>
      </c>
      <c r="S497">
        <v>1.15523398494965</v>
      </c>
      <c r="T497" t="b">
        <v>0</v>
      </c>
      <c r="U497" t="b">
        <v>0</v>
      </c>
      <c r="V497" t="b">
        <f t="shared" si="14"/>
        <v>1</v>
      </c>
      <c r="W497">
        <v>0</v>
      </c>
      <c r="Y497">
        <f t="shared" si="15"/>
        <v>0</v>
      </c>
    </row>
    <row r="498" spans="1:25" x14ac:dyDescent="0.3">
      <c r="A498" t="s">
        <v>1681</v>
      </c>
      <c r="B498" t="s">
        <v>673</v>
      </c>
      <c r="C498">
        <v>286.5</v>
      </c>
      <c r="D498" s="1">
        <v>45222.706990740742</v>
      </c>
      <c r="E498" t="s">
        <v>57</v>
      </c>
      <c r="F498" t="s">
        <v>401</v>
      </c>
      <c r="G498" t="s">
        <v>1375</v>
      </c>
      <c r="H498" t="s">
        <v>1682</v>
      </c>
      <c r="I498" t="s">
        <v>361</v>
      </c>
      <c r="J498" t="s">
        <v>81</v>
      </c>
      <c r="K498">
        <v>30</v>
      </c>
      <c r="L498" t="s">
        <v>89</v>
      </c>
      <c r="M498">
        <v>60</v>
      </c>
      <c r="N498">
        <v>1</v>
      </c>
      <c r="O498">
        <v>8517.9500000000007</v>
      </c>
      <c r="P498" s="1">
        <v>45600.339780092596</v>
      </c>
      <c r="Q498">
        <v>16</v>
      </c>
      <c r="R498" t="s">
        <v>47</v>
      </c>
      <c r="S498">
        <v>-3.7999385563972601E-2</v>
      </c>
      <c r="T498" t="b">
        <v>0</v>
      </c>
      <c r="U498" t="b">
        <v>0</v>
      </c>
      <c r="V498" t="b">
        <f t="shared" si="14"/>
        <v>1</v>
      </c>
      <c r="W498">
        <v>0</v>
      </c>
      <c r="Y498">
        <f t="shared" si="15"/>
        <v>0</v>
      </c>
    </row>
    <row r="499" spans="1:25" x14ac:dyDescent="0.3">
      <c r="A499" t="s">
        <v>1683</v>
      </c>
      <c r="B499" t="s">
        <v>1446</v>
      </c>
      <c r="C499">
        <v>322.95999999999998</v>
      </c>
      <c r="D499" s="1">
        <v>45257.681481481479</v>
      </c>
      <c r="E499" t="s">
        <v>57</v>
      </c>
      <c r="F499" t="s">
        <v>256</v>
      </c>
      <c r="G499" t="s">
        <v>1684</v>
      </c>
      <c r="H499" t="s">
        <v>1068</v>
      </c>
      <c r="I499" t="s">
        <v>463</v>
      </c>
      <c r="J499" t="s">
        <v>81</v>
      </c>
      <c r="K499">
        <v>76</v>
      </c>
      <c r="L499" t="s">
        <v>82</v>
      </c>
      <c r="M499">
        <v>168</v>
      </c>
      <c r="N499">
        <v>1</v>
      </c>
      <c r="O499">
        <v>2401.59</v>
      </c>
      <c r="P499" s="1">
        <v>45600.341249999998</v>
      </c>
      <c r="Q499">
        <v>16</v>
      </c>
      <c r="R499" t="s">
        <v>47</v>
      </c>
      <c r="S499">
        <v>8.6886619399073703E-2</v>
      </c>
      <c r="T499" t="b">
        <v>0</v>
      </c>
      <c r="U499" t="b">
        <v>0</v>
      </c>
      <c r="V499" t="b">
        <f t="shared" si="14"/>
        <v>1</v>
      </c>
      <c r="W499">
        <v>0</v>
      </c>
      <c r="Y499">
        <f t="shared" si="15"/>
        <v>0</v>
      </c>
    </row>
    <row r="500" spans="1:25" x14ac:dyDescent="0.3">
      <c r="A500" t="s">
        <v>1685</v>
      </c>
      <c r="B500" t="s">
        <v>1686</v>
      </c>
      <c r="C500">
        <v>654.48</v>
      </c>
      <c r="D500" s="1">
        <v>45145.692430555559</v>
      </c>
      <c r="E500" t="s">
        <v>25</v>
      </c>
      <c r="F500" t="s">
        <v>137</v>
      </c>
      <c r="G500" t="s">
        <v>1419</v>
      </c>
      <c r="H500" t="s">
        <v>1687</v>
      </c>
      <c r="I500" t="s">
        <v>491</v>
      </c>
      <c r="J500" t="s">
        <v>81</v>
      </c>
      <c r="K500">
        <v>19</v>
      </c>
      <c r="L500" t="s">
        <v>46</v>
      </c>
      <c r="M500">
        <v>114</v>
      </c>
      <c r="N500">
        <v>1</v>
      </c>
      <c r="O500">
        <v>6776.41</v>
      </c>
      <c r="P500" s="1">
        <v>45600.340474537035</v>
      </c>
      <c r="Q500">
        <v>16</v>
      </c>
      <c r="R500" t="s">
        <v>47</v>
      </c>
      <c r="S500">
        <v>1.2224381379220799</v>
      </c>
      <c r="T500" t="b">
        <v>0</v>
      </c>
      <c r="U500" t="b">
        <v>0</v>
      </c>
      <c r="V500" t="b">
        <f t="shared" si="14"/>
        <v>1</v>
      </c>
      <c r="W500">
        <v>0</v>
      </c>
      <c r="Y500">
        <f t="shared" si="15"/>
        <v>0</v>
      </c>
    </row>
    <row r="501" spans="1:25" x14ac:dyDescent="0.3">
      <c r="A501" t="s">
        <v>1688</v>
      </c>
      <c r="B501" t="s">
        <v>363</v>
      </c>
      <c r="C501">
        <v>157.97</v>
      </c>
      <c r="D501" s="1">
        <v>45098.667256944442</v>
      </c>
      <c r="E501" t="s">
        <v>25</v>
      </c>
      <c r="F501" t="s">
        <v>256</v>
      </c>
      <c r="G501" t="s">
        <v>650</v>
      </c>
      <c r="H501" t="s">
        <v>1689</v>
      </c>
      <c r="I501" t="s">
        <v>44</v>
      </c>
      <c r="J501" t="s">
        <v>81</v>
      </c>
      <c r="K501">
        <v>48</v>
      </c>
      <c r="L501" t="s">
        <v>31</v>
      </c>
      <c r="M501">
        <v>140</v>
      </c>
      <c r="N501">
        <v>1</v>
      </c>
      <c r="O501">
        <v>5529.92</v>
      </c>
      <c r="P501" s="1">
        <v>45600.34034722222</v>
      </c>
      <c r="Q501">
        <v>16</v>
      </c>
      <c r="R501" t="s">
        <v>74</v>
      </c>
      <c r="S501">
        <v>-0.47825166800775598</v>
      </c>
      <c r="T501" t="b">
        <v>0</v>
      </c>
      <c r="U501" t="b">
        <v>0</v>
      </c>
      <c r="V501" t="b">
        <f t="shared" si="14"/>
        <v>1</v>
      </c>
      <c r="W501">
        <v>0</v>
      </c>
      <c r="Y501">
        <f t="shared" si="15"/>
        <v>0</v>
      </c>
    </row>
    <row r="502" spans="1:25" x14ac:dyDescent="0.3">
      <c r="A502" t="s">
        <v>1690</v>
      </c>
      <c r="B502" t="s">
        <v>1691</v>
      </c>
      <c r="C502">
        <v>120.9</v>
      </c>
      <c r="D502" s="1">
        <v>45119.678784722222</v>
      </c>
      <c r="E502" t="s">
        <v>25</v>
      </c>
      <c r="F502" t="s">
        <v>268</v>
      </c>
      <c r="G502" t="s">
        <v>1658</v>
      </c>
      <c r="H502" t="s">
        <v>1427</v>
      </c>
      <c r="I502" t="s">
        <v>239</v>
      </c>
      <c r="J502" t="s">
        <v>81</v>
      </c>
      <c r="K502">
        <v>40</v>
      </c>
      <c r="L502" t="s">
        <v>31</v>
      </c>
      <c r="M502">
        <v>52</v>
      </c>
      <c r="N502">
        <v>1</v>
      </c>
      <c r="O502">
        <v>9009.42</v>
      </c>
      <c r="P502" s="1">
        <v>45600.339108796295</v>
      </c>
      <c r="Q502">
        <v>16</v>
      </c>
      <c r="R502" t="s">
        <v>74</v>
      </c>
      <c r="S502">
        <v>-0.60522709872580704</v>
      </c>
      <c r="T502" t="b">
        <v>0</v>
      </c>
      <c r="U502" t="b">
        <v>0</v>
      </c>
      <c r="V502" t="b">
        <f t="shared" si="14"/>
        <v>1</v>
      </c>
      <c r="W502">
        <v>0</v>
      </c>
      <c r="Y502">
        <f t="shared" si="15"/>
        <v>0</v>
      </c>
    </row>
    <row r="503" spans="1:25" x14ac:dyDescent="0.3">
      <c r="A503" t="s">
        <v>1692</v>
      </c>
      <c r="B503" t="s">
        <v>617</v>
      </c>
      <c r="C503">
        <v>254.77</v>
      </c>
      <c r="D503" s="1">
        <v>44944.699641203704</v>
      </c>
      <c r="E503" t="s">
        <v>25</v>
      </c>
      <c r="F503" t="s">
        <v>126</v>
      </c>
      <c r="G503" t="s">
        <v>1693</v>
      </c>
      <c r="H503" t="s">
        <v>1682</v>
      </c>
      <c r="I503" t="s">
        <v>1013</v>
      </c>
      <c r="J503" t="s">
        <v>81</v>
      </c>
      <c r="K503">
        <v>57</v>
      </c>
      <c r="L503" t="s">
        <v>89</v>
      </c>
      <c r="M503">
        <v>57</v>
      </c>
      <c r="N503">
        <v>1</v>
      </c>
      <c r="O503">
        <v>5994.87</v>
      </c>
      <c r="P503" s="1">
        <v>45600.338275462964</v>
      </c>
      <c r="Q503">
        <v>16</v>
      </c>
      <c r="R503" t="s">
        <v>74</v>
      </c>
      <c r="S503">
        <v>-0.14668377770542801</v>
      </c>
      <c r="T503" t="b">
        <v>0</v>
      </c>
      <c r="U503" t="b">
        <v>0</v>
      </c>
      <c r="V503" t="b">
        <f t="shared" si="14"/>
        <v>1</v>
      </c>
      <c r="W503">
        <v>0</v>
      </c>
      <c r="Y503">
        <f t="shared" si="15"/>
        <v>0</v>
      </c>
    </row>
    <row r="504" spans="1:25" x14ac:dyDescent="0.3">
      <c r="A504" t="s">
        <v>1694</v>
      </c>
      <c r="B504" t="s">
        <v>1695</v>
      </c>
      <c r="C504">
        <v>795.96</v>
      </c>
      <c r="D504" s="1">
        <v>45197.745636574073</v>
      </c>
      <c r="E504" t="s">
        <v>25</v>
      </c>
      <c r="F504" t="s">
        <v>50</v>
      </c>
      <c r="G504" t="s">
        <v>1315</v>
      </c>
      <c r="H504" t="s">
        <v>1696</v>
      </c>
      <c r="I504" t="s">
        <v>253</v>
      </c>
      <c r="J504" t="s">
        <v>45</v>
      </c>
      <c r="K504">
        <v>65</v>
      </c>
      <c r="L504" t="s">
        <v>82</v>
      </c>
      <c r="M504">
        <v>119</v>
      </c>
      <c r="N504">
        <v>1</v>
      </c>
      <c r="O504">
        <v>5468.58</v>
      </c>
      <c r="P504" s="1">
        <v>45600.339189814818</v>
      </c>
      <c r="Q504">
        <v>17</v>
      </c>
      <c r="R504" t="s">
        <v>141</v>
      </c>
      <c r="S504">
        <v>1.7070479015581701</v>
      </c>
      <c r="T504" t="b">
        <v>0</v>
      </c>
      <c r="U504" t="b">
        <v>0</v>
      </c>
      <c r="V504" t="b">
        <f t="shared" si="14"/>
        <v>1</v>
      </c>
      <c r="W504">
        <v>0</v>
      </c>
      <c r="Y504">
        <f t="shared" si="15"/>
        <v>0</v>
      </c>
    </row>
    <row r="505" spans="1:25" x14ac:dyDescent="0.3">
      <c r="A505" t="s">
        <v>1697</v>
      </c>
      <c r="B505" t="s">
        <v>1549</v>
      </c>
      <c r="C505">
        <v>149.25</v>
      </c>
      <c r="D505" s="1">
        <v>45026.693576388891</v>
      </c>
      <c r="E505" t="s">
        <v>25</v>
      </c>
      <c r="F505" t="s">
        <v>309</v>
      </c>
      <c r="G505" t="s">
        <v>1698</v>
      </c>
      <c r="H505" t="s">
        <v>1699</v>
      </c>
      <c r="I505" t="s">
        <v>665</v>
      </c>
      <c r="J505" t="s">
        <v>30</v>
      </c>
      <c r="K505">
        <v>39</v>
      </c>
      <c r="L505" t="s">
        <v>89</v>
      </c>
      <c r="M505">
        <v>142</v>
      </c>
      <c r="N505">
        <v>1</v>
      </c>
      <c r="O505">
        <v>5677.52</v>
      </c>
      <c r="P505" s="1">
        <v>45600.33866898148</v>
      </c>
      <c r="Q505">
        <v>16</v>
      </c>
      <c r="R505" t="s">
        <v>47</v>
      </c>
      <c r="S505">
        <v>-0.508120180439949</v>
      </c>
      <c r="T505" t="b">
        <v>0</v>
      </c>
      <c r="U505" t="b">
        <v>0</v>
      </c>
      <c r="V505" t="b">
        <f t="shared" si="14"/>
        <v>1</v>
      </c>
      <c r="W505">
        <v>0</v>
      </c>
      <c r="Y505">
        <f t="shared" si="15"/>
        <v>0</v>
      </c>
    </row>
    <row r="506" spans="1:25" x14ac:dyDescent="0.3">
      <c r="A506" t="s">
        <v>1700</v>
      </c>
      <c r="B506" t="s">
        <v>1701</v>
      </c>
      <c r="C506">
        <v>3.42</v>
      </c>
      <c r="D506" s="1">
        <v>45194.676793981482</v>
      </c>
      <c r="E506" t="s">
        <v>57</v>
      </c>
      <c r="F506" t="s">
        <v>250</v>
      </c>
      <c r="G506" t="s">
        <v>1128</v>
      </c>
      <c r="H506" t="s">
        <v>1702</v>
      </c>
      <c r="I506" t="s">
        <v>199</v>
      </c>
      <c r="J506" t="s">
        <v>45</v>
      </c>
      <c r="K506">
        <v>43</v>
      </c>
      <c r="L506" t="s">
        <v>31</v>
      </c>
      <c r="M506">
        <v>158</v>
      </c>
      <c r="N506">
        <v>1</v>
      </c>
      <c r="O506">
        <v>14180.21</v>
      </c>
      <c r="P506" s="1">
        <v>45600.339444444442</v>
      </c>
      <c r="Q506">
        <v>16</v>
      </c>
      <c r="R506" t="s">
        <v>47</v>
      </c>
      <c r="S506">
        <v>-1.0076299474109001</v>
      </c>
      <c r="T506" t="b">
        <v>0</v>
      </c>
      <c r="U506" t="b">
        <v>0</v>
      </c>
      <c r="V506" t="b">
        <f t="shared" si="14"/>
        <v>1</v>
      </c>
      <c r="W506">
        <v>0</v>
      </c>
      <c r="Y506">
        <f t="shared" si="15"/>
        <v>0</v>
      </c>
    </row>
    <row r="507" spans="1:25" x14ac:dyDescent="0.3">
      <c r="A507" t="s">
        <v>1703</v>
      </c>
      <c r="B507" t="s">
        <v>164</v>
      </c>
      <c r="C507">
        <v>68.19</v>
      </c>
      <c r="D507" s="1">
        <v>44999.671898148146</v>
      </c>
      <c r="E507" t="s">
        <v>57</v>
      </c>
      <c r="F507" t="s">
        <v>571</v>
      </c>
      <c r="G507" t="s">
        <v>105</v>
      </c>
      <c r="H507" t="s">
        <v>221</v>
      </c>
      <c r="I507" t="s">
        <v>620</v>
      </c>
      <c r="J507" t="s">
        <v>45</v>
      </c>
      <c r="K507">
        <v>40</v>
      </c>
      <c r="L507" t="s">
        <v>31</v>
      </c>
      <c r="M507">
        <v>189</v>
      </c>
      <c r="N507">
        <v>1</v>
      </c>
      <c r="O507">
        <v>9895.1</v>
      </c>
      <c r="P507" s="1">
        <v>45600.338773148149</v>
      </c>
      <c r="Q507">
        <v>16</v>
      </c>
      <c r="R507" t="s">
        <v>32</v>
      </c>
      <c r="S507">
        <v>-0.78577403568691995</v>
      </c>
      <c r="T507" t="b">
        <v>0</v>
      </c>
      <c r="U507" t="b">
        <v>0</v>
      </c>
      <c r="V507" t="b">
        <f t="shared" si="14"/>
        <v>1</v>
      </c>
      <c r="W507">
        <v>0</v>
      </c>
      <c r="Y507">
        <f t="shared" si="15"/>
        <v>0</v>
      </c>
    </row>
    <row r="508" spans="1:25" x14ac:dyDescent="0.3">
      <c r="A508" t="s">
        <v>1704</v>
      </c>
      <c r="B508" t="s">
        <v>1370</v>
      </c>
      <c r="C508">
        <v>493.42</v>
      </c>
      <c r="D508" s="1">
        <v>45091.723287037035</v>
      </c>
      <c r="E508" t="s">
        <v>25</v>
      </c>
      <c r="F508" t="s">
        <v>210</v>
      </c>
      <c r="G508" t="s">
        <v>1705</v>
      </c>
      <c r="H508" t="s">
        <v>934</v>
      </c>
      <c r="I508" t="s">
        <v>150</v>
      </c>
      <c r="J508" t="s">
        <v>81</v>
      </c>
      <c r="K508">
        <v>39</v>
      </c>
      <c r="L508" t="s">
        <v>89</v>
      </c>
      <c r="M508">
        <v>111</v>
      </c>
      <c r="N508">
        <v>1</v>
      </c>
      <c r="O508">
        <v>2232.84</v>
      </c>
      <c r="P508" s="1">
        <v>45600.340289351851</v>
      </c>
      <c r="Q508">
        <v>17</v>
      </c>
      <c r="R508" t="s">
        <v>74</v>
      </c>
      <c r="S508">
        <v>0.67076123283848399</v>
      </c>
      <c r="T508" t="b">
        <v>0</v>
      </c>
      <c r="U508" t="b">
        <v>0</v>
      </c>
      <c r="V508" t="b">
        <f t="shared" si="14"/>
        <v>1</v>
      </c>
      <c r="W508">
        <v>0</v>
      </c>
      <c r="Y508">
        <f t="shared" si="15"/>
        <v>0</v>
      </c>
    </row>
    <row r="509" spans="1:25" x14ac:dyDescent="0.3">
      <c r="A509" t="s">
        <v>1706</v>
      </c>
      <c r="B509" t="s">
        <v>1707</v>
      </c>
      <c r="C509">
        <v>37.57</v>
      </c>
      <c r="D509" s="1">
        <v>45042.774884259263</v>
      </c>
      <c r="E509" t="s">
        <v>25</v>
      </c>
      <c r="F509" t="s">
        <v>519</v>
      </c>
      <c r="G509" t="s">
        <v>1635</v>
      </c>
      <c r="H509" t="s">
        <v>270</v>
      </c>
      <c r="I509" t="s">
        <v>134</v>
      </c>
      <c r="J509" t="s">
        <v>30</v>
      </c>
      <c r="K509">
        <v>57</v>
      </c>
      <c r="L509" t="s">
        <v>82</v>
      </c>
      <c r="M509">
        <v>42</v>
      </c>
      <c r="N509">
        <v>1</v>
      </c>
      <c r="O509">
        <v>7739.54</v>
      </c>
      <c r="P509" s="1">
        <v>45600.339826388888</v>
      </c>
      <c r="Q509">
        <v>18</v>
      </c>
      <c r="R509" t="s">
        <v>74</v>
      </c>
      <c r="S509">
        <v>-0.89065635801189202</v>
      </c>
      <c r="T509" t="b">
        <v>0</v>
      </c>
      <c r="U509" t="b">
        <v>0</v>
      </c>
      <c r="V509" t="b">
        <f t="shared" si="14"/>
        <v>1</v>
      </c>
      <c r="W509">
        <v>0</v>
      </c>
      <c r="Y509">
        <f t="shared" si="15"/>
        <v>0</v>
      </c>
    </row>
    <row r="510" spans="1:25" x14ac:dyDescent="0.3">
      <c r="A510" t="s">
        <v>1708</v>
      </c>
      <c r="B510" t="s">
        <v>1709</v>
      </c>
      <c r="C510">
        <v>127</v>
      </c>
      <c r="D510" s="1">
        <v>45184.715057870373</v>
      </c>
      <c r="E510" t="s">
        <v>57</v>
      </c>
      <c r="F510" t="s">
        <v>92</v>
      </c>
      <c r="G510" t="s">
        <v>1710</v>
      </c>
      <c r="H510" t="s">
        <v>1711</v>
      </c>
      <c r="I510" t="s">
        <v>29</v>
      </c>
      <c r="J510" t="s">
        <v>81</v>
      </c>
      <c r="K510">
        <v>19</v>
      </c>
      <c r="L510" t="s">
        <v>46</v>
      </c>
      <c r="M510">
        <v>68</v>
      </c>
      <c r="N510">
        <v>5</v>
      </c>
      <c r="O510">
        <v>431.16</v>
      </c>
      <c r="P510" s="1">
        <v>45600.340416666666</v>
      </c>
      <c r="Q510">
        <v>17</v>
      </c>
      <c r="R510" t="s">
        <v>54</v>
      </c>
      <c r="S510">
        <v>-0.58433284117576401</v>
      </c>
      <c r="T510" t="b">
        <v>0</v>
      </c>
      <c r="U510" t="b">
        <v>1</v>
      </c>
      <c r="V510" t="b">
        <f t="shared" si="14"/>
        <v>1</v>
      </c>
      <c r="W510">
        <v>1</v>
      </c>
      <c r="Y510">
        <f t="shared" si="15"/>
        <v>0</v>
      </c>
    </row>
    <row r="511" spans="1:25" x14ac:dyDescent="0.3">
      <c r="A511" t="s">
        <v>1712</v>
      </c>
      <c r="B511" t="s">
        <v>1713</v>
      </c>
      <c r="C511">
        <v>96.89</v>
      </c>
      <c r="D511" s="1">
        <v>45001.668067129627</v>
      </c>
      <c r="E511" t="s">
        <v>25</v>
      </c>
      <c r="F511" t="s">
        <v>298</v>
      </c>
      <c r="G511" t="s">
        <v>406</v>
      </c>
      <c r="H511" t="s">
        <v>1714</v>
      </c>
      <c r="I511" t="s">
        <v>275</v>
      </c>
      <c r="J511" t="s">
        <v>30</v>
      </c>
      <c r="K511">
        <v>59</v>
      </c>
      <c r="L511" t="s">
        <v>82</v>
      </c>
      <c r="M511">
        <v>53</v>
      </c>
      <c r="N511">
        <v>1</v>
      </c>
      <c r="O511">
        <v>6044.93</v>
      </c>
      <c r="P511" s="1">
        <v>45600.341041666667</v>
      </c>
      <c r="Q511">
        <v>16</v>
      </c>
      <c r="R511" t="s">
        <v>141</v>
      </c>
      <c r="S511">
        <v>-0.68746826655802695</v>
      </c>
      <c r="T511" t="b">
        <v>0</v>
      </c>
      <c r="U511" t="b">
        <v>0</v>
      </c>
      <c r="V511" t="b">
        <f t="shared" si="14"/>
        <v>1</v>
      </c>
      <c r="W511">
        <v>0</v>
      </c>
      <c r="Y511">
        <f t="shared" si="15"/>
        <v>0</v>
      </c>
    </row>
    <row r="512" spans="1:25" x14ac:dyDescent="0.3">
      <c r="A512" t="s">
        <v>1715</v>
      </c>
      <c r="B512" t="s">
        <v>1716</v>
      </c>
      <c r="C512">
        <v>448.33</v>
      </c>
      <c r="D512" s="1">
        <v>45047.674953703703</v>
      </c>
      <c r="E512" t="s">
        <v>25</v>
      </c>
      <c r="F512" t="s">
        <v>58</v>
      </c>
      <c r="G512" t="s">
        <v>1717</v>
      </c>
      <c r="H512" t="s">
        <v>1718</v>
      </c>
      <c r="I512" t="s">
        <v>1013</v>
      </c>
      <c r="J512" t="s">
        <v>30</v>
      </c>
      <c r="K512">
        <v>25</v>
      </c>
      <c r="L512" t="s">
        <v>46</v>
      </c>
      <c r="M512">
        <v>161</v>
      </c>
      <c r="N512">
        <v>1</v>
      </c>
      <c r="O512">
        <v>922.19</v>
      </c>
      <c r="P512" s="1">
        <v>45600.340092592596</v>
      </c>
      <c r="Q512">
        <v>16</v>
      </c>
      <c r="R512" t="s">
        <v>47</v>
      </c>
      <c r="S512">
        <v>0.51631499137431003</v>
      </c>
      <c r="T512" t="b">
        <v>0</v>
      </c>
      <c r="U512" t="b">
        <v>0</v>
      </c>
      <c r="V512" t="b">
        <f t="shared" si="14"/>
        <v>1</v>
      </c>
      <c r="W512">
        <v>0</v>
      </c>
      <c r="Y512">
        <f t="shared" si="15"/>
        <v>0</v>
      </c>
    </row>
    <row r="513" spans="1:25" x14ac:dyDescent="0.3">
      <c r="A513" t="s">
        <v>1719</v>
      </c>
      <c r="B513" t="s">
        <v>1720</v>
      </c>
      <c r="C513">
        <v>1116.48</v>
      </c>
      <c r="D513" s="1">
        <v>45187.73946759259</v>
      </c>
      <c r="E513" t="s">
        <v>25</v>
      </c>
      <c r="F513" t="s">
        <v>26</v>
      </c>
      <c r="G513" t="s">
        <v>1721</v>
      </c>
      <c r="H513" t="s">
        <v>1117</v>
      </c>
      <c r="I513" t="s">
        <v>112</v>
      </c>
      <c r="J513" t="s">
        <v>30</v>
      </c>
      <c r="K513">
        <v>51</v>
      </c>
      <c r="L513" t="s">
        <v>89</v>
      </c>
      <c r="M513">
        <v>55</v>
      </c>
      <c r="N513">
        <v>1</v>
      </c>
      <c r="O513">
        <v>447.53</v>
      </c>
      <c r="P513" s="1">
        <v>45600.341377314813</v>
      </c>
      <c r="Q513">
        <v>17</v>
      </c>
      <c r="R513" t="s">
        <v>47</v>
      </c>
      <c r="S513">
        <v>2.8049212507286501</v>
      </c>
      <c r="T513" t="b">
        <v>1</v>
      </c>
      <c r="U513" t="b">
        <v>0</v>
      </c>
      <c r="V513" t="b">
        <f t="shared" si="14"/>
        <v>1</v>
      </c>
      <c r="W513">
        <v>1</v>
      </c>
      <c r="Y513">
        <f t="shared" si="15"/>
        <v>1</v>
      </c>
    </row>
    <row r="514" spans="1:25" x14ac:dyDescent="0.3">
      <c r="A514" t="s">
        <v>1722</v>
      </c>
      <c r="B514" t="s">
        <v>1723</v>
      </c>
      <c r="C514">
        <v>8.65</v>
      </c>
      <c r="D514" s="1">
        <v>45082.714317129627</v>
      </c>
      <c r="E514" t="s">
        <v>25</v>
      </c>
      <c r="F514" t="s">
        <v>159</v>
      </c>
      <c r="G514" t="s">
        <v>121</v>
      </c>
      <c r="H514" t="s">
        <v>1427</v>
      </c>
      <c r="I514" t="s">
        <v>993</v>
      </c>
      <c r="J514" t="s">
        <v>45</v>
      </c>
      <c r="K514">
        <v>48</v>
      </c>
      <c r="L514" t="s">
        <v>31</v>
      </c>
      <c r="M514">
        <v>273</v>
      </c>
      <c r="N514">
        <v>1</v>
      </c>
      <c r="O514">
        <v>10778.35</v>
      </c>
      <c r="P514" s="1">
        <v>45600.339618055557</v>
      </c>
      <c r="Q514">
        <v>17</v>
      </c>
      <c r="R514" t="s">
        <v>47</v>
      </c>
      <c r="S514">
        <v>-0.98971569052783603</v>
      </c>
      <c r="T514" t="b">
        <v>0</v>
      </c>
      <c r="U514" t="b">
        <v>0</v>
      </c>
      <c r="V514" t="b">
        <f t="shared" si="14"/>
        <v>1</v>
      </c>
      <c r="W514">
        <v>0</v>
      </c>
      <c r="Y514">
        <f t="shared" si="15"/>
        <v>0</v>
      </c>
    </row>
    <row r="515" spans="1:25" x14ac:dyDescent="0.3">
      <c r="A515" t="s">
        <v>1724</v>
      </c>
      <c r="B515" t="s">
        <v>1725</v>
      </c>
      <c r="C515">
        <v>65.569999999999993</v>
      </c>
      <c r="D515" s="1">
        <v>45022.725185185183</v>
      </c>
      <c r="E515" t="s">
        <v>25</v>
      </c>
      <c r="F515" t="s">
        <v>185</v>
      </c>
      <c r="G515" t="s">
        <v>1726</v>
      </c>
      <c r="H515" t="s">
        <v>333</v>
      </c>
      <c r="I515" t="s">
        <v>150</v>
      </c>
      <c r="J515" t="s">
        <v>45</v>
      </c>
      <c r="K515">
        <v>41</v>
      </c>
      <c r="L515" t="s">
        <v>89</v>
      </c>
      <c r="M515">
        <v>82</v>
      </c>
      <c r="N515">
        <v>1</v>
      </c>
      <c r="O515">
        <v>7513.79</v>
      </c>
      <c r="P515" s="1">
        <v>45600.337800925925</v>
      </c>
      <c r="Q515">
        <v>17</v>
      </c>
      <c r="R515" t="s">
        <v>141</v>
      </c>
      <c r="S515">
        <v>-0.79474829056907004</v>
      </c>
      <c r="T515" t="b">
        <v>0</v>
      </c>
      <c r="U515" t="b">
        <v>0</v>
      </c>
      <c r="V515" t="b">
        <f t="shared" ref="V515:V578" si="16">ISLOGICAL(T515)</f>
        <v>1</v>
      </c>
      <c r="W515">
        <v>0</v>
      </c>
      <c r="Y515">
        <f t="shared" ref="Y515:Y578" si="17">--T515</f>
        <v>0</v>
      </c>
    </row>
    <row r="516" spans="1:25" x14ac:dyDescent="0.3">
      <c r="A516" t="s">
        <v>1727</v>
      </c>
      <c r="B516" t="s">
        <v>1728</v>
      </c>
      <c r="C516">
        <v>539.80999999999995</v>
      </c>
      <c r="D516" s="1">
        <v>44978.676574074074</v>
      </c>
      <c r="E516" t="s">
        <v>25</v>
      </c>
      <c r="F516" t="s">
        <v>225</v>
      </c>
      <c r="G516" t="s">
        <v>1729</v>
      </c>
      <c r="H516" t="s">
        <v>1730</v>
      </c>
      <c r="I516" t="s">
        <v>344</v>
      </c>
      <c r="J516" t="s">
        <v>45</v>
      </c>
      <c r="K516">
        <v>46</v>
      </c>
      <c r="L516" t="s">
        <v>89</v>
      </c>
      <c r="M516">
        <v>177</v>
      </c>
      <c r="N516">
        <v>1</v>
      </c>
      <c r="O516">
        <v>2051.25</v>
      </c>
      <c r="P516" s="1">
        <v>45600.339641203704</v>
      </c>
      <c r="Q516">
        <v>16</v>
      </c>
      <c r="R516" t="s">
        <v>32</v>
      </c>
      <c r="S516">
        <v>0.82966034886250195</v>
      </c>
      <c r="T516" t="b">
        <v>0</v>
      </c>
      <c r="U516" t="b">
        <v>0</v>
      </c>
      <c r="V516" t="b">
        <f t="shared" si="16"/>
        <v>1</v>
      </c>
      <c r="W516">
        <v>0</v>
      </c>
      <c r="Y516">
        <f t="shared" si="17"/>
        <v>0</v>
      </c>
    </row>
    <row r="517" spans="1:25" x14ac:dyDescent="0.3">
      <c r="A517" t="s">
        <v>1731</v>
      </c>
      <c r="B517" t="s">
        <v>255</v>
      </c>
      <c r="C517">
        <v>363.53</v>
      </c>
      <c r="D517" s="1">
        <v>44944.711041666669</v>
      </c>
      <c r="E517" t="s">
        <v>25</v>
      </c>
      <c r="F517" t="s">
        <v>304</v>
      </c>
      <c r="G517" t="s">
        <v>1732</v>
      </c>
      <c r="H517" t="s">
        <v>221</v>
      </c>
      <c r="I517" t="s">
        <v>1537</v>
      </c>
      <c r="J517" t="s">
        <v>30</v>
      </c>
      <c r="K517">
        <v>63</v>
      </c>
      <c r="L517" t="s">
        <v>82</v>
      </c>
      <c r="M517">
        <v>142</v>
      </c>
      <c r="N517">
        <v>1</v>
      </c>
      <c r="O517">
        <v>1038.9100000000001</v>
      </c>
      <c r="P517" s="1">
        <v>45600.340937499997</v>
      </c>
      <c r="Q517">
        <v>17</v>
      </c>
      <c r="R517" t="s">
        <v>74</v>
      </c>
      <c r="S517">
        <v>0.22585055854747699</v>
      </c>
      <c r="T517" t="b">
        <v>0</v>
      </c>
      <c r="U517" t="b">
        <v>0</v>
      </c>
      <c r="V517" t="b">
        <f t="shared" si="16"/>
        <v>1</v>
      </c>
      <c r="W517">
        <v>0</v>
      </c>
      <c r="Y517">
        <f t="shared" si="17"/>
        <v>0</v>
      </c>
    </row>
    <row r="518" spans="1:25" x14ac:dyDescent="0.3">
      <c r="A518" t="s">
        <v>1733</v>
      </c>
      <c r="B518" t="s">
        <v>591</v>
      </c>
      <c r="C518">
        <v>64.900000000000006</v>
      </c>
      <c r="D518" s="1">
        <v>44971.68309027778</v>
      </c>
      <c r="E518" t="s">
        <v>57</v>
      </c>
      <c r="F518" t="s">
        <v>85</v>
      </c>
      <c r="G518" t="s">
        <v>1734</v>
      </c>
      <c r="H518" t="s">
        <v>1735</v>
      </c>
      <c r="I518" t="s">
        <v>182</v>
      </c>
      <c r="J518" t="s">
        <v>81</v>
      </c>
      <c r="K518">
        <v>51</v>
      </c>
      <c r="L518" t="s">
        <v>82</v>
      </c>
      <c r="M518">
        <v>72</v>
      </c>
      <c r="N518">
        <v>1</v>
      </c>
      <c r="O518">
        <v>6854.61</v>
      </c>
      <c r="P518" s="1">
        <v>45600.340486111112</v>
      </c>
      <c r="Q518">
        <v>16</v>
      </c>
      <c r="R518" t="s">
        <v>32</v>
      </c>
      <c r="S518">
        <v>-0.79704323361145102</v>
      </c>
      <c r="T518" t="b">
        <v>0</v>
      </c>
      <c r="U518" t="b">
        <v>0</v>
      </c>
      <c r="V518" t="b">
        <f t="shared" si="16"/>
        <v>1</v>
      </c>
      <c r="W518">
        <v>0</v>
      </c>
      <c r="Y518">
        <f t="shared" si="17"/>
        <v>0</v>
      </c>
    </row>
    <row r="519" spans="1:25" x14ac:dyDescent="0.3">
      <c r="A519" t="s">
        <v>1736</v>
      </c>
      <c r="B519" t="s">
        <v>1574</v>
      </c>
      <c r="C519">
        <v>358.18</v>
      </c>
      <c r="D519" s="1">
        <v>45026.697824074072</v>
      </c>
      <c r="E519" t="s">
        <v>25</v>
      </c>
      <c r="F519" t="s">
        <v>401</v>
      </c>
      <c r="G519" t="s">
        <v>1737</v>
      </c>
      <c r="H519" t="s">
        <v>1738</v>
      </c>
      <c r="I519" t="s">
        <v>178</v>
      </c>
      <c r="J519" t="s">
        <v>30</v>
      </c>
      <c r="K519">
        <v>18</v>
      </c>
      <c r="L519" t="s">
        <v>46</v>
      </c>
      <c r="M519">
        <v>157</v>
      </c>
      <c r="N519">
        <v>1</v>
      </c>
      <c r="O519">
        <v>619.86</v>
      </c>
      <c r="P519" s="1">
        <v>45600.338865740741</v>
      </c>
      <c r="Q519">
        <v>16</v>
      </c>
      <c r="R519" t="s">
        <v>47</v>
      </c>
      <c r="S519">
        <v>0.20752526708965199</v>
      </c>
      <c r="T519" t="b">
        <v>0</v>
      </c>
      <c r="U519" t="b">
        <v>0</v>
      </c>
      <c r="V519" t="b">
        <f t="shared" si="16"/>
        <v>1</v>
      </c>
      <c r="W519">
        <v>0</v>
      </c>
      <c r="Y519">
        <f t="shared" si="17"/>
        <v>0</v>
      </c>
    </row>
    <row r="520" spans="1:25" x14ac:dyDescent="0.3">
      <c r="A520" t="s">
        <v>1739</v>
      </c>
      <c r="B520" t="s">
        <v>1206</v>
      </c>
      <c r="C520">
        <v>167.2</v>
      </c>
      <c r="D520" s="1">
        <v>44944.745567129627</v>
      </c>
      <c r="E520" t="s">
        <v>25</v>
      </c>
      <c r="F520" t="s">
        <v>250</v>
      </c>
      <c r="G520" t="s">
        <v>1740</v>
      </c>
      <c r="H520" t="s">
        <v>1741</v>
      </c>
      <c r="I520" t="s">
        <v>321</v>
      </c>
      <c r="J520" t="s">
        <v>81</v>
      </c>
      <c r="K520">
        <v>30</v>
      </c>
      <c r="L520" t="s">
        <v>31</v>
      </c>
      <c r="M520">
        <v>84</v>
      </c>
      <c r="N520">
        <v>1</v>
      </c>
      <c r="O520">
        <v>11320.83</v>
      </c>
      <c r="P520" s="1">
        <v>45600.338101851848</v>
      </c>
      <c r="Q520">
        <v>17</v>
      </c>
      <c r="R520" t="s">
        <v>74</v>
      </c>
      <c r="S520">
        <v>-0.446636258632854</v>
      </c>
      <c r="T520" t="b">
        <v>0</v>
      </c>
      <c r="U520" t="b">
        <v>0</v>
      </c>
      <c r="V520" t="b">
        <f t="shared" si="16"/>
        <v>1</v>
      </c>
      <c r="W520">
        <v>0</v>
      </c>
      <c r="Y520">
        <f t="shared" si="17"/>
        <v>0</v>
      </c>
    </row>
    <row r="521" spans="1:25" x14ac:dyDescent="0.3">
      <c r="A521" t="s">
        <v>1742</v>
      </c>
      <c r="B521" t="s">
        <v>158</v>
      </c>
      <c r="C521">
        <v>121.91</v>
      </c>
      <c r="D521" s="1">
        <v>45103.777685185189</v>
      </c>
      <c r="E521" t="s">
        <v>25</v>
      </c>
      <c r="F521" t="s">
        <v>278</v>
      </c>
      <c r="G521" t="s">
        <v>1561</v>
      </c>
      <c r="H521" t="s">
        <v>1068</v>
      </c>
      <c r="I521" t="s">
        <v>29</v>
      </c>
      <c r="J521" t="s">
        <v>81</v>
      </c>
      <c r="K521">
        <v>60</v>
      </c>
      <c r="L521" t="s">
        <v>31</v>
      </c>
      <c r="M521">
        <v>133</v>
      </c>
      <c r="N521">
        <v>1</v>
      </c>
      <c r="O521">
        <v>14510.8</v>
      </c>
      <c r="P521" s="1">
        <v>45600.339571759258</v>
      </c>
      <c r="Q521">
        <v>18</v>
      </c>
      <c r="R521" t="s">
        <v>47</v>
      </c>
      <c r="S521">
        <v>-0.60176755772161905</v>
      </c>
      <c r="T521" t="b">
        <v>0</v>
      </c>
      <c r="U521" t="b">
        <v>0</v>
      </c>
      <c r="V521" t="b">
        <f t="shared" si="16"/>
        <v>1</v>
      </c>
      <c r="W521">
        <v>0</v>
      </c>
      <c r="Y521">
        <f t="shared" si="17"/>
        <v>0</v>
      </c>
    </row>
    <row r="522" spans="1:25" x14ac:dyDescent="0.3">
      <c r="A522" t="s">
        <v>1743</v>
      </c>
      <c r="B522" t="s">
        <v>455</v>
      </c>
      <c r="C522">
        <v>137.57</v>
      </c>
      <c r="D522" s="1">
        <v>45271.726643518516</v>
      </c>
      <c r="E522" t="s">
        <v>25</v>
      </c>
      <c r="F522" t="s">
        <v>120</v>
      </c>
      <c r="G522" t="s">
        <v>1744</v>
      </c>
      <c r="H522" t="s">
        <v>1745</v>
      </c>
      <c r="I522" t="s">
        <v>665</v>
      </c>
      <c r="J522" t="s">
        <v>45</v>
      </c>
      <c r="K522">
        <v>54</v>
      </c>
      <c r="L522" t="s">
        <v>89</v>
      </c>
      <c r="M522">
        <v>70</v>
      </c>
      <c r="N522">
        <v>1</v>
      </c>
      <c r="O522">
        <v>5103.67</v>
      </c>
      <c r="P522" s="1">
        <v>45600.341226851851</v>
      </c>
      <c r="Q522">
        <v>17</v>
      </c>
      <c r="R522" t="s">
        <v>47</v>
      </c>
      <c r="S522">
        <v>-0.54812754571609801</v>
      </c>
      <c r="T522" t="b">
        <v>0</v>
      </c>
      <c r="U522" t="b">
        <v>0</v>
      </c>
      <c r="V522" t="b">
        <f t="shared" si="16"/>
        <v>1</v>
      </c>
      <c r="W522">
        <v>0</v>
      </c>
      <c r="Y522">
        <f t="shared" si="17"/>
        <v>0</v>
      </c>
    </row>
    <row r="523" spans="1:25" x14ac:dyDescent="0.3">
      <c r="A523" t="s">
        <v>1746</v>
      </c>
      <c r="B523" t="s">
        <v>981</v>
      </c>
      <c r="C523">
        <v>534.62</v>
      </c>
      <c r="D523" s="1">
        <v>45265.744074074071</v>
      </c>
      <c r="E523" t="s">
        <v>25</v>
      </c>
      <c r="F523" t="s">
        <v>64</v>
      </c>
      <c r="G523" t="s">
        <v>1747</v>
      </c>
      <c r="H523" t="s">
        <v>969</v>
      </c>
      <c r="I523" t="s">
        <v>95</v>
      </c>
      <c r="J523" t="s">
        <v>45</v>
      </c>
      <c r="K523">
        <v>55</v>
      </c>
      <c r="L523" t="s">
        <v>31</v>
      </c>
      <c r="M523">
        <v>45</v>
      </c>
      <c r="N523">
        <v>1</v>
      </c>
      <c r="O523">
        <v>13793.53</v>
      </c>
      <c r="P523" s="1">
        <v>45600.337905092594</v>
      </c>
      <c r="Q523">
        <v>17</v>
      </c>
      <c r="R523" t="s">
        <v>32</v>
      </c>
      <c r="S523">
        <v>0.811883103504351</v>
      </c>
      <c r="T523" t="b">
        <v>0</v>
      </c>
      <c r="U523" t="b">
        <v>0</v>
      </c>
      <c r="V523" t="b">
        <f t="shared" si="16"/>
        <v>1</v>
      </c>
      <c r="W523">
        <v>0</v>
      </c>
      <c r="Y523">
        <f t="shared" si="17"/>
        <v>0</v>
      </c>
    </row>
    <row r="524" spans="1:25" x14ac:dyDescent="0.3">
      <c r="A524" t="s">
        <v>1748</v>
      </c>
      <c r="B524" t="s">
        <v>1749</v>
      </c>
      <c r="C524">
        <v>463.92</v>
      </c>
      <c r="D524" s="1">
        <v>44998.695277777777</v>
      </c>
      <c r="E524" t="s">
        <v>25</v>
      </c>
      <c r="F524" t="s">
        <v>41</v>
      </c>
      <c r="G524" t="s">
        <v>1750</v>
      </c>
      <c r="H524" t="s">
        <v>1480</v>
      </c>
      <c r="I524" t="s">
        <v>765</v>
      </c>
      <c r="J524" t="s">
        <v>45</v>
      </c>
      <c r="K524">
        <v>50</v>
      </c>
      <c r="L524" t="s">
        <v>89</v>
      </c>
      <c r="M524">
        <v>199</v>
      </c>
      <c r="N524">
        <v>1</v>
      </c>
      <c r="O524">
        <v>2403.39</v>
      </c>
      <c r="P524" s="1">
        <v>45600.339745370373</v>
      </c>
      <c r="Q524">
        <v>16</v>
      </c>
      <c r="R524" t="s">
        <v>47</v>
      </c>
      <c r="S524">
        <v>0.56971523321122497</v>
      </c>
      <c r="T524" t="b">
        <v>0</v>
      </c>
      <c r="U524" t="b">
        <v>0</v>
      </c>
      <c r="V524" t="b">
        <f t="shared" si="16"/>
        <v>1</v>
      </c>
      <c r="W524">
        <v>0</v>
      </c>
      <c r="Y524">
        <f t="shared" si="17"/>
        <v>0</v>
      </c>
    </row>
    <row r="525" spans="1:25" x14ac:dyDescent="0.3">
      <c r="A525" t="s">
        <v>1751</v>
      </c>
      <c r="B525" t="s">
        <v>1752</v>
      </c>
      <c r="C525">
        <v>320.14</v>
      </c>
      <c r="D525" s="1">
        <v>44957.707430555558</v>
      </c>
      <c r="E525" t="s">
        <v>25</v>
      </c>
      <c r="F525" t="s">
        <v>191</v>
      </c>
      <c r="G525" t="s">
        <v>474</v>
      </c>
      <c r="H525" t="s">
        <v>1753</v>
      </c>
      <c r="I525" t="s">
        <v>1050</v>
      </c>
      <c r="J525" t="s">
        <v>45</v>
      </c>
      <c r="K525">
        <v>60</v>
      </c>
      <c r="L525" t="s">
        <v>82</v>
      </c>
      <c r="M525">
        <v>96</v>
      </c>
      <c r="N525">
        <v>1</v>
      </c>
      <c r="O525">
        <v>3075.97</v>
      </c>
      <c r="P525" s="1">
        <v>45600.33865740741</v>
      </c>
      <c r="Q525">
        <v>16</v>
      </c>
      <c r="R525" t="s">
        <v>32</v>
      </c>
      <c r="S525">
        <v>7.7227306892332301E-2</v>
      </c>
      <c r="T525" t="b">
        <v>0</v>
      </c>
      <c r="U525" t="b">
        <v>0</v>
      </c>
      <c r="V525" t="b">
        <f t="shared" si="16"/>
        <v>1</v>
      </c>
      <c r="W525">
        <v>0</v>
      </c>
      <c r="Y525">
        <f t="shared" si="17"/>
        <v>0</v>
      </c>
    </row>
    <row r="526" spans="1:25" x14ac:dyDescent="0.3">
      <c r="A526" t="s">
        <v>1754</v>
      </c>
      <c r="B526" t="s">
        <v>594</v>
      </c>
      <c r="C526">
        <v>214.93</v>
      </c>
      <c r="D526" s="1">
        <v>45061.70989583333</v>
      </c>
      <c r="E526" t="s">
        <v>25</v>
      </c>
      <c r="F526" t="s">
        <v>98</v>
      </c>
      <c r="G526" t="s">
        <v>246</v>
      </c>
      <c r="H526" t="s">
        <v>1755</v>
      </c>
      <c r="I526" t="s">
        <v>871</v>
      </c>
      <c r="J526" t="s">
        <v>45</v>
      </c>
      <c r="K526">
        <v>28</v>
      </c>
      <c r="L526" t="s">
        <v>46</v>
      </c>
      <c r="M526">
        <v>52</v>
      </c>
      <c r="N526">
        <v>1</v>
      </c>
      <c r="O526">
        <v>7835.4</v>
      </c>
      <c r="P526" s="1">
        <v>45600.339479166665</v>
      </c>
      <c r="Q526">
        <v>17</v>
      </c>
      <c r="R526" t="s">
        <v>47</v>
      </c>
      <c r="S526">
        <v>-0.28314725652407202</v>
      </c>
      <c r="T526" t="b">
        <v>0</v>
      </c>
      <c r="U526" t="b">
        <v>0</v>
      </c>
      <c r="V526" t="b">
        <f t="shared" si="16"/>
        <v>1</v>
      </c>
      <c r="W526">
        <v>0</v>
      </c>
      <c r="Y526">
        <f t="shared" si="17"/>
        <v>0</v>
      </c>
    </row>
    <row r="527" spans="1:25" x14ac:dyDescent="0.3">
      <c r="A527" t="s">
        <v>1756</v>
      </c>
      <c r="B527" t="s">
        <v>201</v>
      </c>
      <c r="C527">
        <v>660.02</v>
      </c>
      <c r="D527" s="1">
        <v>45211.706666666665</v>
      </c>
      <c r="E527" t="s">
        <v>25</v>
      </c>
      <c r="F527" t="s">
        <v>92</v>
      </c>
      <c r="G527" t="s">
        <v>332</v>
      </c>
      <c r="H527" t="s">
        <v>555</v>
      </c>
      <c r="I527" t="s">
        <v>213</v>
      </c>
      <c r="J527" t="s">
        <v>81</v>
      </c>
      <c r="K527">
        <v>20</v>
      </c>
      <c r="L527" t="s">
        <v>46</v>
      </c>
      <c r="M527">
        <v>84</v>
      </c>
      <c r="N527">
        <v>1</v>
      </c>
      <c r="O527">
        <v>414.43</v>
      </c>
      <c r="P527" s="1">
        <v>45600.33929398148</v>
      </c>
      <c r="Q527">
        <v>16</v>
      </c>
      <c r="R527" t="s">
        <v>141</v>
      </c>
      <c r="S527">
        <v>1.2414142341232699</v>
      </c>
      <c r="T527" t="b">
        <v>0</v>
      </c>
      <c r="U527" t="b">
        <v>0</v>
      </c>
      <c r="V527" t="b">
        <f t="shared" si="16"/>
        <v>1</v>
      </c>
      <c r="W527">
        <v>0</v>
      </c>
      <c r="Y527">
        <f t="shared" si="17"/>
        <v>0</v>
      </c>
    </row>
    <row r="528" spans="1:25" x14ac:dyDescent="0.3">
      <c r="A528" t="s">
        <v>1757</v>
      </c>
      <c r="B528" t="s">
        <v>1758</v>
      </c>
      <c r="C528">
        <v>345.81</v>
      </c>
      <c r="D528" s="1">
        <v>45103.674270833333</v>
      </c>
      <c r="E528" t="s">
        <v>25</v>
      </c>
      <c r="F528" t="s">
        <v>50</v>
      </c>
      <c r="G528" t="s">
        <v>1000</v>
      </c>
      <c r="H528" t="s">
        <v>172</v>
      </c>
      <c r="I528" t="s">
        <v>527</v>
      </c>
      <c r="J528" t="s">
        <v>81</v>
      </c>
      <c r="K528">
        <v>40</v>
      </c>
      <c r="L528" t="s">
        <v>89</v>
      </c>
      <c r="M528">
        <v>135</v>
      </c>
      <c r="N528">
        <v>1</v>
      </c>
      <c r="O528">
        <v>6116.8</v>
      </c>
      <c r="P528" s="1">
        <v>45600.341828703706</v>
      </c>
      <c r="Q528">
        <v>16</v>
      </c>
      <c r="R528" t="s">
        <v>47</v>
      </c>
      <c r="S528">
        <v>0.16515445300866199</v>
      </c>
      <c r="T528" t="b">
        <v>0</v>
      </c>
      <c r="U528" t="b">
        <v>0</v>
      </c>
      <c r="V528" t="b">
        <f t="shared" si="16"/>
        <v>1</v>
      </c>
      <c r="W528">
        <v>0</v>
      </c>
      <c r="Y528">
        <f t="shared" si="17"/>
        <v>0</v>
      </c>
    </row>
    <row r="529" spans="1:25" x14ac:dyDescent="0.3">
      <c r="A529" t="s">
        <v>1759</v>
      </c>
      <c r="B529" t="s">
        <v>1760</v>
      </c>
      <c r="C529">
        <v>143.54</v>
      </c>
      <c r="D529" s="1">
        <v>45215.670891203707</v>
      </c>
      <c r="E529" t="s">
        <v>25</v>
      </c>
      <c r="F529" t="s">
        <v>256</v>
      </c>
      <c r="G529" t="s">
        <v>138</v>
      </c>
      <c r="H529" t="s">
        <v>1217</v>
      </c>
      <c r="I529" t="s">
        <v>1300</v>
      </c>
      <c r="J529" t="s">
        <v>30</v>
      </c>
      <c r="K529">
        <v>71</v>
      </c>
      <c r="L529" t="s">
        <v>82</v>
      </c>
      <c r="M529">
        <v>80</v>
      </c>
      <c r="N529">
        <v>1</v>
      </c>
      <c r="O529">
        <v>6067.62</v>
      </c>
      <c r="P529" s="1">
        <v>45600.339143518519</v>
      </c>
      <c r="Q529">
        <v>16</v>
      </c>
      <c r="R529" t="s">
        <v>47</v>
      </c>
      <c r="S529">
        <v>-0.52767857562203901</v>
      </c>
      <c r="T529" t="b">
        <v>0</v>
      </c>
      <c r="U529" t="b">
        <v>0</v>
      </c>
      <c r="V529" t="b">
        <f t="shared" si="16"/>
        <v>1</v>
      </c>
      <c r="W529">
        <v>0</v>
      </c>
      <c r="Y529">
        <f t="shared" si="17"/>
        <v>0</v>
      </c>
    </row>
    <row r="530" spans="1:25" x14ac:dyDescent="0.3">
      <c r="A530" t="s">
        <v>1761</v>
      </c>
      <c r="B530" t="s">
        <v>902</v>
      </c>
      <c r="C530">
        <v>42.55</v>
      </c>
      <c r="D530" s="1">
        <v>45016.789710648147</v>
      </c>
      <c r="E530" t="s">
        <v>25</v>
      </c>
      <c r="F530" t="s">
        <v>70</v>
      </c>
      <c r="G530" t="s">
        <v>1762</v>
      </c>
      <c r="H530" t="s">
        <v>910</v>
      </c>
      <c r="I530" t="s">
        <v>772</v>
      </c>
      <c r="J530" t="s">
        <v>81</v>
      </c>
      <c r="K530">
        <v>53</v>
      </c>
      <c r="L530" t="s">
        <v>89</v>
      </c>
      <c r="M530">
        <v>29</v>
      </c>
      <c r="N530">
        <v>1</v>
      </c>
      <c r="O530">
        <v>7341.43</v>
      </c>
      <c r="P530" s="1">
        <v>45600.340648148151</v>
      </c>
      <c r="Q530">
        <v>18</v>
      </c>
      <c r="R530" t="s">
        <v>54</v>
      </c>
      <c r="S530">
        <v>-0.87359842315956104</v>
      </c>
      <c r="T530" t="b">
        <v>0</v>
      </c>
      <c r="U530" t="b">
        <v>0</v>
      </c>
      <c r="V530" t="b">
        <f t="shared" si="16"/>
        <v>1</v>
      </c>
      <c r="W530">
        <v>0</v>
      </c>
      <c r="Y530">
        <f t="shared" si="17"/>
        <v>0</v>
      </c>
    </row>
    <row r="531" spans="1:25" x14ac:dyDescent="0.3">
      <c r="A531" t="s">
        <v>1763</v>
      </c>
      <c r="B531" t="s">
        <v>409</v>
      </c>
      <c r="C531">
        <v>1063.25</v>
      </c>
      <c r="D531" s="1">
        <v>44943.700115740743</v>
      </c>
      <c r="E531" t="s">
        <v>57</v>
      </c>
      <c r="F531" t="s">
        <v>309</v>
      </c>
      <c r="G531" t="s">
        <v>960</v>
      </c>
      <c r="H531" t="s">
        <v>1764</v>
      </c>
      <c r="I531" t="s">
        <v>285</v>
      </c>
      <c r="J531" t="s">
        <v>45</v>
      </c>
      <c r="K531">
        <v>21</v>
      </c>
      <c r="L531" t="s">
        <v>46</v>
      </c>
      <c r="M531">
        <v>128</v>
      </c>
      <c r="N531">
        <v>1</v>
      </c>
      <c r="O531">
        <v>1240.71</v>
      </c>
      <c r="P531" s="1">
        <v>45600.338645833333</v>
      </c>
      <c r="Q531">
        <v>16</v>
      </c>
      <c r="R531" t="s">
        <v>32</v>
      </c>
      <c r="S531">
        <v>2.6225931639436002</v>
      </c>
      <c r="T531" t="b">
        <v>1</v>
      </c>
      <c r="U531" t="b">
        <v>0</v>
      </c>
      <c r="V531" t="b">
        <f t="shared" si="16"/>
        <v>1</v>
      </c>
      <c r="W531">
        <v>1</v>
      </c>
      <c r="Y531">
        <f t="shared" si="17"/>
        <v>1</v>
      </c>
    </row>
    <row r="532" spans="1:25" x14ac:dyDescent="0.3">
      <c r="A532" t="s">
        <v>1765</v>
      </c>
      <c r="B532" t="s">
        <v>1766</v>
      </c>
      <c r="C532">
        <v>541.79</v>
      </c>
      <c r="D532" s="1">
        <v>45149.697048611109</v>
      </c>
      <c r="E532" t="s">
        <v>25</v>
      </c>
      <c r="F532" t="s">
        <v>41</v>
      </c>
      <c r="G532" t="s">
        <v>1767</v>
      </c>
      <c r="H532" t="s">
        <v>1456</v>
      </c>
      <c r="I532" t="s">
        <v>647</v>
      </c>
      <c r="J532" t="s">
        <v>30</v>
      </c>
      <c r="K532">
        <v>22</v>
      </c>
      <c r="L532" t="s">
        <v>46</v>
      </c>
      <c r="M532">
        <v>125</v>
      </c>
      <c r="N532">
        <v>1</v>
      </c>
      <c r="O532">
        <v>1454.08</v>
      </c>
      <c r="P532" s="1">
        <v>45600.341307870367</v>
      </c>
      <c r="Q532">
        <v>16</v>
      </c>
      <c r="R532" t="s">
        <v>54</v>
      </c>
      <c r="S532">
        <v>0.83644241934595898</v>
      </c>
      <c r="T532" t="b">
        <v>0</v>
      </c>
      <c r="U532" t="b">
        <v>0</v>
      </c>
      <c r="V532" t="b">
        <f t="shared" si="16"/>
        <v>1</v>
      </c>
      <c r="W532">
        <v>0</v>
      </c>
      <c r="Y532">
        <f t="shared" si="17"/>
        <v>0</v>
      </c>
    </row>
    <row r="533" spans="1:25" x14ac:dyDescent="0.3">
      <c r="A533" t="s">
        <v>1768</v>
      </c>
      <c r="B533" t="s">
        <v>1138</v>
      </c>
      <c r="C533">
        <v>40.57</v>
      </c>
      <c r="D533" s="1">
        <v>44970.710034722222</v>
      </c>
      <c r="E533" t="s">
        <v>25</v>
      </c>
      <c r="F533" t="s">
        <v>137</v>
      </c>
      <c r="G533" t="s">
        <v>27</v>
      </c>
      <c r="H533" t="s">
        <v>1331</v>
      </c>
      <c r="I533" t="s">
        <v>1300</v>
      </c>
      <c r="J533" t="s">
        <v>81</v>
      </c>
      <c r="K533">
        <v>26</v>
      </c>
      <c r="L533" t="s">
        <v>46</v>
      </c>
      <c r="M533">
        <v>63</v>
      </c>
      <c r="N533">
        <v>1</v>
      </c>
      <c r="O533">
        <v>1476.91</v>
      </c>
      <c r="P533" s="1">
        <v>45600.33792824074</v>
      </c>
      <c r="Q533">
        <v>17</v>
      </c>
      <c r="R533" t="s">
        <v>47</v>
      </c>
      <c r="S533">
        <v>-0.88038049364301796</v>
      </c>
      <c r="T533" t="b">
        <v>0</v>
      </c>
      <c r="U533" t="b">
        <v>0</v>
      </c>
      <c r="V533" t="b">
        <f t="shared" si="16"/>
        <v>1</v>
      </c>
      <c r="W533">
        <v>0</v>
      </c>
      <c r="Y533">
        <f t="shared" si="17"/>
        <v>0</v>
      </c>
    </row>
    <row r="534" spans="1:25" x14ac:dyDescent="0.3">
      <c r="A534" t="s">
        <v>1769</v>
      </c>
      <c r="B534" t="s">
        <v>817</v>
      </c>
      <c r="C534">
        <v>120.24</v>
      </c>
      <c r="D534" s="1">
        <v>45166.703032407408</v>
      </c>
      <c r="E534" t="s">
        <v>25</v>
      </c>
      <c r="F534" t="s">
        <v>191</v>
      </c>
      <c r="G534" t="s">
        <v>1770</v>
      </c>
      <c r="H534" t="s">
        <v>243</v>
      </c>
      <c r="I534" t="s">
        <v>356</v>
      </c>
      <c r="J534" t="s">
        <v>81</v>
      </c>
      <c r="K534">
        <v>18</v>
      </c>
      <c r="L534" t="s">
        <v>46</v>
      </c>
      <c r="M534">
        <v>131</v>
      </c>
      <c r="N534">
        <v>2</v>
      </c>
      <c r="O534">
        <v>1943.13</v>
      </c>
      <c r="P534" s="1">
        <v>45600.339120370372</v>
      </c>
      <c r="Q534">
        <v>16</v>
      </c>
      <c r="R534" t="s">
        <v>47</v>
      </c>
      <c r="S534">
        <v>-0.60748778888695898</v>
      </c>
      <c r="T534" t="b">
        <v>0</v>
      </c>
      <c r="U534" t="b">
        <v>1</v>
      </c>
      <c r="V534" t="b">
        <f t="shared" si="16"/>
        <v>1</v>
      </c>
      <c r="W534">
        <v>1</v>
      </c>
      <c r="Y534">
        <f t="shared" si="17"/>
        <v>0</v>
      </c>
    </row>
    <row r="535" spans="1:25" x14ac:dyDescent="0.3">
      <c r="A535" t="s">
        <v>1771</v>
      </c>
      <c r="B535" t="s">
        <v>473</v>
      </c>
      <c r="C535">
        <v>498.67</v>
      </c>
      <c r="D535" s="1">
        <v>45265.680127314816</v>
      </c>
      <c r="E535" t="s">
        <v>25</v>
      </c>
      <c r="F535" t="s">
        <v>185</v>
      </c>
      <c r="G535" t="s">
        <v>86</v>
      </c>
      <c r="H535" t="s">
        <v>1176</v>
      </c>
      <c r="I535" t="s">
        <v>321</v>
      </c>
      <c r="J535" t="s">
        <v>45</v>
      </c>
      <c r="K535">
        <v>28</v>
      </c>
      <c r="L535" t="s">
        <v>46</v>
      </c>
      <c r="M535">
        <v>244</v>
      </c>
      <c r="N535">
        <v>1</v>
      </c>
      <c r="O535">
        <v>1719.97</v>
      </c>
      <c r="P535" s="1">
        <v>45600.339166666665</v>
      </c>
      <c r="Q535">
        <v>16</v>
      </c>
      <c r="R535" t="s">
        <v>32</v>
      </c>
      <c r="S535">
        <v>0.68874399548401299</v>
      </c>
      <c r="T535" t="b">
        <v>0</v>
      </c>
      <c r="U535" t="b">
        <v>0</v>
      </c>
      <c r="V535" t="b">
        <f t="shared" si="16"/>
        <v>1</v>
      </c>
      <c r="W535">
        <v>0</v>
      </c>
      <c r="Y535">
        <f t="shared" si="17"/>
        <v>0</v>
      </c>
    </row>
    <row r="536" spans="1:25" x14ac:dyDescent="0.3">
      <c r="A536" t="s">
        <v>1772</v>
      </c>
      <c r="B536" t="s">
        <v>1773</v>
      </c>
      <c r="C536">
        <v>227.22</v>
      </c>
      <c r="D536" s="1">
        <v>45012.786157407405</v>
      </c>
      <c r="E536" t="s">
        <v>25</v>
      </c>
      <c r="F536" t="s">
        <v>519</v>
      </c>
      <c r="G536" t="s">
        <v>1774</v>
      </c>
      <c r="H536" t="s">
        <v>1338</v>
      </c>
      <c r="I536" t="s">
        <v>239</v>
      </c>
      <c r="J536" t="s">
        <v>30</v>
      </c>
      <c r="K536">
        <v>53</v>
      </c>
      <c r="L536" t="s">
        <v>31</v>
      </c>
      <c r="M536">
        <v>220</v>
      </c>
      <c r="N536">
        <v>1</v>
      </c>
      <c r="O536">
        <v>832.82</v>
      </c>
      <c r="P536" s="1">
        <v>45600.341620370367</v>
      </c>
      <c r="Q536">
        <v>18</v>
      </c>
      <c r="R536" t="s">
        <v>47</v>
      </c>
      <c r="S536">
        <v>-0.241050465492919</v>
      </c>
      <c r="T536" t="b">
        <v>0</v>
      </c>
      <c r="U536" t="b">
        <v>0</v>
      </c>
      <c r="V536" t="b">
        <f t="shared" si="16"/>
        <v>1</v>
      </c>
      <c r="W536">
        <v>0</v>
      </c>
      <c r="Y536">
        <f t="shared" si="17"/>
        <v>0</v>
      </c>
    </row>
    <row r="537" spans="1:25" x14ac:dyDescent="0.3">
      <c r="A537" t="s">
        <v>1775</v>
      </c>
      <c r="B537" t="s">
        <v>692</v>
      </c>
      <c r="C537">
        <v>1182.8599999999999</v>
      </c>
      <c r="D537" s="1">
        <v>45271.671423611115</v>
      </c>
      <c r="E537" t="s">
        <v>25</v>
      </c>
      <c r="F537" t="s">
        <v>268</v>
      </c>
      <c r="G537" t="s">
        <v>575</v>
      </c>
      <c r="H537" t="s">
        <v>1776</v>
      </c>
      <c r="I537" t="s">
        <v>1358</v>
      </c>
      <c r="J537" t="s">
        <v>45</v>
      </c>
      <c r="K537">
        <v>30</v>
      </c>
      <c r="L537" t="s">
        <v>89</v>
      </c>
      <c r="M537">
        <v>34</v>
      </c>
      <c r="N537">
        <v>1</v>
      </c>
      <c r="O537">
        <v>7696.16</v>
      </c>
      <c r="P537" s="1">
        <v>45600.339560185188</v>
      </c>
      <c r="Q537">
        <v>16</v>
      </c>
      <c r="R537" t="s">
        <v>47</v>
      </c>
      <c r="S537">
        <v>3.0322918763305999</v>
      </c>
      <c r="T537" t="b">
        <v>1</v>
      </c>
      <c r="U537" t="b">
        <v>0</v>
      </c>
      <c r="V537" t="b">
        <f t="shared" si="16"/>
        <v>1</v>
      </c>
      <c r="W537">
        <v>1</v>
      </c>
      <c r="Y537">
        <f t="shared" si="17"/>
        <v>1</v>
      </c>
    </row>
    <row r="538" spans="1:25" x14ac:dyDescent="0.3">
      <c r="A538" t="s">
        <v>1777</v>
      </c>
      <c r="B538" t="s">
        <v>1778</v>
      </c>
      <c r="C538">
        <v>56.94</v>
      </c>
      <c r="D538" s="1">
        <v>45271.703321759262</v>
      </c>
      <c r="E538" t="s">
        <v>57</v>
      </c>
      <c r="F538" t="s">
        <v>262</v>
      </c>
      <c r="G538" t="s">
        <v>1779</v>
      </c>
      <c r="H538" t="s">
        <v>600</v>
      </c>
      <c r="I538" t="s">
        <v>182</v>
      </c>
      <c r="J538" t="s">
        <v>45</v>
      </c>
      <c r="K538">
        <v>76</v>
      </c>
      <c r="L538" t="s">
        <v>82</v>
      </c>
      <c r="M538">
        <v>74</v>
      </c>
      <c r="N538">
        <v>1</v>
      </c>
      <c r="O538">
        <v>7004.63</v>
      </c>
      <c r="P538" s="1">
        <v>45600.338680555556</v>
      </c>
      <c r="Q538">
        <v>16</v>
      </c>
      <c r="R538" t="s">
        <v>47</v>
      </c>
      <c r="S538">
        <v>-0.82430852707019697</v>
      </c>
      <c r="T538" t="b">
        <v>0</v>
      </c>
      <c r="U538" t="b">
        <v>0</v>
      </c>
      <c r="V538" t="b">
        <f t="shared" si="16"/>
        <v>1</v>
      </c>
      <c r="W538">
        <v>0</v>
      </c>
      <c r="Y538">
        <f t="shared" si="17"/>
        <v>0</v>
      </c>
    </row>
    <row r="539" spans="1:25" x14ac:dyDescent="0.3">
      <c r="A539" t="s">
        <v>1780</v>
      </c>
      <c r="B539" t="s">
        <v>602</v>
      </c>
      <c r="C539">
        <v>629.82000000000005</v>
      </c>
      <c r="D539" s="1">
        <v>45124.682210648149</v>
      </c>
      <c r="E539" t="s">
        <v>25</v>
      </c>
      <c r="F539" t="s">
        <v>534</v>
      </c>
      <c r="G539" t="s">
        <v>263</v>
      </c>
      <c r="H539" t="s">
        <v>1781</v>
      </c>
      <c r="I539" t="s">
        <v>695</v>
      </c>
      <c r="J539" t="s">
        <v>30</v>
      </c>
      <c r="K539">
        <v>68</v>
      </c>
      <c r="L539" t="s">
        <v>82</v>
      </c>
      <c r="M539">
        <v>159</v>
      </c>
      <c r="N539">
        <v>1</v>
      </c>
      <c r="O539">
        <v>6385.69</v>
      </c>
      <c r="P539" s="1">
        <v>45600.34165509259</v>
      </c>
      <c r="Q539">
        <v>16</v>
      </c>
      <c r="R539" t="s">
        <v>47</v>
      </c>
      <c r="S539">
        <v>1.1379705328099401</v>
      </c>
      <c r="T539" t="b">
        <v>0</v>
      </c>
      <c r="U539" t="b">
        <v>0</v>
      </c>
      <c r="V539" t="b">
        <f t="shared" si="16"/>
        <v>1</v>
      </c>
      <c r="W539">
        <v>0</v>
      </c>
      <c r="Y539">
        <f t="shared" si="17"/>
        <v>0</v>
      </c>
    </row>
    <row r="540" spans="1:25" x14ac:dyDescent="0.3">
      <c r="A540" t="s">
        <v>1782</v>
      </c>
      <c r="B540" t="s">
        <v>1783</v>
      </c>
      <c r="C540">
        <v>59.44</v>
      </c>
      <c r="D540" s="1">
        <v>45090.745092592595</v>
      </c>
      <c r="E540" t="s">
        <v>25</v>
      </c>
      <c r="F540" t="s">
        <v>278</v>
      </c>
      <c r="G540" t="s">
        <v>1784</v>
      </c>
      <c r="H540" t="s">
        <v>1785</v>
      </c>
      <c r="I540" t="s">
        <v>53</v>
      </c>
      <c r="J540" t="s">
        <v>45</v>
      </c>
      <c r="K540">
        <v>35</v>
      </c>
      <c r="L540" t="s">
        <v>89</v>
      </c>
      <c r="M540">
        <v>176</v>
      </c>
      <c r="N540">
        <v>1</v>
      </c>
      <c r="O540">
        <v>5472.03</v>
      </c>
      <c r="P540" s="1">
        <v>45600.337893518517</v>
      </c>
      <c r="Q540">
        <v>17</v>
      </c>
      <c r="R540" t="s">
        <v>32</v>
      </c>
      <c r="S540">
        <v>-0.81574530676280199</v>
      </c>
      <c r="T540" t="b">
        <v>0</v>
      </c>
      <c r="U540" t="b">
        <v>0</v>
      </c>
      <c r="V540" t="b">
        <f t="shared" si="16"/>
        <v>1</v>
      </c>
      <c r="W540">
        <v>0</v>
      </c>
      <c r="Y540">
        <f t="shared" si="17"/>
        <v>0</v>
      </c>
    </row>
    <row r="541" spans="1:25" x14ac:dyDescent="0.3">
      <c r="A541" t="s">
        <v>1786</v>
      </c>
      <c r="B541" t="s">
        <v>1582</v>
      </c>
      <c r="C541">
        <v>186.69</v>
      </c>
      <c r="D541" s="1">
        <v>45289.693298611113</v>
      </c>
      <c r="E541" t="s">
        <v>25</v>
      </c>
      <c r="F541" t="s">
        <v>216</v>
      </c>
      <c r="G541" t="s">
        <v>1787</v>
      </c>
      <c r="H541" t="s">
        <v>1788</v>
      </c>
      <c r="I541" t="s">
        <v>29</v>
      </c>
      <c r="J541" t="s">
        <v>81</v>
      </c>
      <c r="K541">
        <v>30</v>
      </c>
      <c r="L541" t="s">
        <v>89</v>
      </c>
      <c r="M541">
        <v>54</v>
      </c>
      <c r="N541">
        <v>1</v>
      </c>
      <c r="O541">
        <v>8602.2199999999993</v>
      </c>
      <c r="P541" s="1">
        <v>45600.33902777778</v>
      </c>
      <c r="Q541">
        <v>16</v>
      </c>
      <c r="R541" t="s">
        <v>54</v>
      </c>
      <c r="S541">
        <v>-0.37987739311640401</v>
      </c>
      <c r="T541" t="b">
        <v>0</v>
      </c>
      <c r="U541" t="b">
        <v>0</v>
      </c>
      <c r="V541" t="b">
        <f t="shared" si="16"/>
        <v>1</v>
      </c>
      <c r="W541">
        <v>0</v>
      </c>
      <c r="Y541">
        <f t="shared" si="17"/>
        <v>0</v>
      </c>
    </row>
    <row r="542" spans="1:25" x14ac:dyDescent="0.3">
      <c r="A542" t="s">
        <v>1789</v>
      </c>
      <c r="B542" t="s">
        <v>1150</v>
      </c>
      <c r="C542">
        <v>230.46</v>
      </c>
      <c r="D542" s="1">
        <v>45041.731562499997</v>
      </c>
      <c r="E542" t="s">
        <v>25</v>
      </c>
      <c r="F542" t="s">
        <v>41</v>
      </c>
      <c r="G542" t="s">
        <v>1790</v>
      </c>
      <c r="H542" t="s">
        <v>161</v>
      </c>
      <c r="I542" t="s">
        <v>375</v>
      </c>
      <c r="J542" t="s">
        <v>45</v>
      </c>
      <c r="K542">
        <v>19</v>
      </c>
      <c r="L542" t="s">
        <v>46</v>
      </c>
      <c r="M542">
        <v>179</v>
      </c>
      <c r="N542">
        <v>1</v>
      </c>
      <c r="O542">
        <v>162.53</v>
      </c>
      <c r="P542" s="1">
        <v>45600.339467592596</v>
      </c>
      <c r="Q542">
        <v>17</v>
      </c>
      <c r="R542" t="s">
        <v>32</v>
      </c>
      <c r="S542">
        <v>-0.229952531974535</v>
      </c>
      <c r="T542" t="b">
        <v>0</v>
      </c>
      <c r="U542" t="b">
        <v>0</v>
      </c>
      <c r="V542" t="b">
        <f t="shared" si="16"/>
        <v>1</v>
      </c>
      <c r="W542">
        <v>0</v>
      </c>
      <c r="Y542">
        <f t="shared" si="17"/>
        <v>0</v>
      </c>
    </row>
    <row r="543" spans="1:25" x14ac:dyDescent="0.3">
      <c r="A543" t="s">
        <v>1791</v>
      </c>
      <c r="B543" t="s">
        <v>959</v>
      </c>
      <c r="C543">
        <v>65.09</v>
      </c>
      <c r="D543" s="1">
        <v>44985.74863425926</v>
      </c>
      <c r="E543" t="s">
        <v>57</v>
      </c>
      <c r="F543" t="s">
        <v>70</v>
      </c>
      <c r="G543" t="s">
        <v>599</v>
      </c>
      <c r="H543" t="s">
        <v>1792</v>
      </c>
      <c r="I543" t="s">
        <v>399</v>
      </c>
      <c r="J543" t="s">
        <v>45</v>
      </c>
      <c r="K543">
        <v>44</v>
      </c>
      <c r="L543" t="s">
        <v>89</v>
      </c>
      <c r="M543">
        <v>159</v>
      </c>
      <c r="N543">
        <v>1</v>
      </c>
      <c r="O543">
        <v>9370.9</v>
      </c>
      <c r="P543" s="1">
        <v>45600.340057870373</v>
      </c>
      <c r="Q543">
        <v>17</v>
      </c>
      <c r="R543" t="s">
        <v>32</v>
      </c>
      <c r="S543">
        <v>-0.79639242886808903</v>
      </c>
      <c r="T543" t="b">
        <v>0</v>
      </c>
      <c r="U543" t="b">
        <v>0</v>
      </c>
      <c r="V543" t="b">
        <f t="shared" si="16"/>
        <v>1</v>
      </c>
      <c r="W543">
        <v>0</v>
      </c>
      <c r="Y543">
        <f t="shared" si="17"/>
        <v>0</v>
      </c>
    </row>
    <row r="544" spans="1:25" x14ac:dyDescent="0.3">
      <c r="A544" t="s">
        <v>1793</v>
      </c>
      <c r="B544" t="s">
        <v>1794</v>
      </c>
      <c r="C544">
        <v>457.09</v>
      </c>
      <c r="D544" s="1">
        <v>45071.7034375</v>
      </c>
      <c r="E544" t="s">
        <v>57</v>
      </c>
      <c r="F544" t="s">
        <v>92</v>
      </c>
      <c r="G544" t="s">
        <v>1131</v>
      </c>
      <c r="H544" t="s">
        <v>444</v>
      </c>
      <c r="I544" t="s">
        <v>463</v>
      </c>
      <c r="J544" t="s">
        <v>45</v>
      </c>
      <c r="K544">
        <v>55</v>
      </c>
      <c r="L544" t="s">
        <v>89</v>
      </c>
      <c r="M544">
        <v>63</v>
      </c>
      <c r="N544">
        <v>1</v>
      </c>
      <c r="O544">
        <v>8570.82</v>
      </c>
      <c r="P544" s="1">
        <v>45600.339409722219</v>
      </c>
      <c r="Q544">
        <v>16</v>
      </c>
      <c r="R544" t="s">
        <v>141</v>
      </c>
      <c r="S544">
        <v>0.54632051533142201</v>
      </c>
      <c r="T544" t="b">
        <v>0</v>
      </c>
      <c r="U544" t="b">
        <v>0</v>
      </c>
      <c r="V544" t="b">
        <f t="shared" si="16"/>
        <v>1</v>
      </c>
      <c r="W544">
        <v>0</v>
      </c>
      <c r="Y544">
        <f t="shared" si="17"/>
        <v>0</v>
      </c>
    </row>
    <row r="545" spans="1:25" x14ac:dyDescent="0.3">
      <c r="A545" t="s">
        <v>1795</v>
      </c>
      <c r="B545" t="s">
        <v>1269</v>
      </c>
      <c r="C545">
        <v>552.02</v>
      </c>
      <c r="D545" s="1">
        <v>45260.702615740738</v>
      </c>
      <c r="E545" t="s">
        <v>57</v>
      </c>
      <c r="F545" t="s">
        <v>278</v>
      </c>
      <c r="G545" t="s">
        <v>788</v>
      </c>
      <c r="H545" t="s">
        <v>414</v>
      </c>
      <c r="I545" t="s">
        <v>134</v>
      </c>
      <c r="J545" t="s">
        <v>30</v>
      </c>
      <c r="K545">
        <v>44</v>
      </c>
      <c r="L545" t="s">
        <v>89</v>
      </c>
      <c r="M545">
        <v>100</v>
      </c>
      <c r="N545">
        <v>1</v>
      </c>
      <c r="O545">
        <v>522.08000000000004</v>
      </c>
      <c r="P545" s="1">
        <v>45600.339872685188</v>
      </c>
      <c r="Q545">
        <v>16</v>
      </c>
      <c r="R545" t="s">
        <v>141</v>
      </c>
      <c r="S545">
        <v>0.87148311684381896</v>
      </c>
      <c r="T545" t="b">
        <v>0</v>
      </c>
      <c r="U545" t="b">
        <v>0</v>
      </c>
      <c r="V545" t="b">
        <f t="shared" si="16"/>
        <v>1</v>
      </c>
      <c r="W545">
        <v>0</v>
      </c>
      <c r="Y545">
        <f t="shared" si="17"/>
        <v>0</v>
      </c>
    </row>
    <row r="546" spans="1:25" x14ac:dyDescent="0.3">
      <c r="A546" t="s">
        <v>1796</v>
      </c>
      <c r="B546" t="s">
        <v>1459</v>
      </c>
      <c r="C546">
        <v>377.12</v>
      </c>
      <c r="D546" s="1">
        <v>45152.716979166667</v>
      </c>
      <c r="E546" t="s">
        <v>25</v>
      </c>
      <c r="F546" t="s">
        <v>35</v>
      </c>
      <c r="G546" t="s">
        <v>515</v>
      </c>
      <c r="H546" t="s">
        <v>1122</v>
      </c>
      <c r="I546" t="s">
        <v>487</v>
      </c>
      <c r="J546" t="s">
        <v>30</v>
      </c>
      <c r="K546">
        <v>34</v>
      </c>
      <c r="L546" t="s">
        <v>89</v>
      </c>
      <c r="M546">
        <v>61</v>
      </c>
      <c r="N546">
        <v>1</v>
      </c>
      <c r="O546">
        <v>836.67</v>
      </c>
      <c r="P546" s="1">
        <v>45600.341435185182</v>
      </c>
      <c r="Q546">
        <v>17</v>
      </c>
      <c r="R546" t="s">
        <v>47</v>
      </c>
      <c r="S546">
        <v>0.27240022413847498</v>
      </c>
      <c r="T546" t="b">
        <v>0</v>
      </c>
      <c r="U546" t="b">
        <v>0</v>
      </c>
      <c r="V546" t="b">
        <f t="shared" si="16"/>
        <v>1</v>
      </c>
      <c r="W546">
        <v>0</v>
      </c>
      <c r="Y546">
        <f t="shared" si="17"/>
        <v>0</v>
      </c>
    </row>
    <row r="547" spans="1:25" x14ac:dyDescent="0.3">
      <c r="A547" t="s">
        <v>1797</v>
      </c>
      <c r="B547" t="s">
        <v>1798</v>
      </c>
      <c r="C547">
        <v>204.56</v>
      </c>
      <c r="D547" s="1">
        <v>45180.743946759256</v>
      </c>
      <c r="E547" t="s">
        <v>57</v>
      </c>
      <c r="F547" t="s">
        <v>26</v>
      </c>
      <c r="G547" t="s">
        <v>1799</v>
      </c>
      <c r="H547" t="s">
        <v>560</v>
      </c>
      <c r="I547" t="s">
        <v>772</v>
      </c>
      <c r="J547" t="s">
        <v>81</v>
      </c>
      <c r="K547">
        <v>18</v>
      </c>
      <c r="L547" t="s">
        <v>46</v>
      </c>
      <c r="M547">
        <v>179</v>
      </c>
      <c r="N547">
        <v>1</v>
      </c>
      <c r="O547">
        <v>364.72</v>
      </c>
      <c r="P547" s="1">
        <v>45600.340578703705</v>
      </c>
      <c r="Q547">
        <v>17</v>
      </c>
      <c r="R547" t="s">
        <v>47</v>
      </c>
      <c r="S547">
        <v>-0.31866749435914599</v>
      </c>
      <c r="T547" t="b">
        <v>0</v>
      </c>
      <c r="U547" t="b">
        <v>0</v>
      </c>
      <c r="V547" t="b">
        <f t="shared" si="16"/>
        <v>1</v>
      </c>
      <c r="W547">
        <v>0</v>
      </c>
      <c r="Y547">
        <f t="shared" si="17"/>
        <v>0</v>
      </c>
    </row>
    <row r="548" spans="1:25" x14ac:dyDescent="0.3">
      <c r="A548" t="s">
        <v>1800</v>
      </c>
      <c r="B548" t="s">
        <v>856</v>
      </c>
      <c r="C548">
        <v>420.28</v>
      </c>
      <c r="D548" s="1">
        <v>45063.728067129632</v>
      </c>
      <c r="E548" t="s">
        <v>25</v>
      </c>
      <c r="F548" t="s">
        <v>466</v>
      </c>
      <c r="G548" t="s">
        <v>1801</v>
      </c>
      <c r="H548" t="s">
        <v>764</v>
      </c>
      <c r="I548" t="s">
        <v>53</v>
      </c>
      <c r="J548" t="s">
        <v>81</v>
      </c>
      <c r="K548">
        <v>35</v>
      </c>
      <c r="L548" t="s">
        <v>31</v>
      </c>
      <c r="M548">
        <v>144</v>
      </c>
      <c r="N548">
        <v>1</v>
      </c>
      <c r="O548">
        <v>8557.32</v>
      </c>
      <c r="P548" s="1">
        <v>45600.339594907404</v>
      </c>
      <c r="Q548">
        <v>17</v>
      </c>
      <c r="R548" t="s">
        <v>74</v>
      </c>
      <c r="S548">
        <v>0.42023565952533998</v>
      </c>
      <c r="T548" t="b">
        <v>0</v>
      </c>
      <c r="U548" t="b">
        <v>0</v>
      </c>
      <c r="V548" t="b">
        <f t="shared" si="16"/>
        <v>1</v>
      </c>
      <c r="W548">
        <v>0</v>
      </c>
      <c r="Y548">
        <f t="shared" si="17"/>
        <v>0</v>
      </c>
    </row>
    <row r="549" spans="1:25" x14ac:dyDescent="0.3">
      <c r="A549" t="s">
        <v>1802</v>
      </c>
      <c r="B549" t="s">
        <v>335</v>
      </c>
      <c r="C549">
        <v>97.09</v>
      </c>
      <c r="D549" s="1">
        <v>45026.768703703703</v>
      </c>
      <c r="E549" t="s">
        <v>25</v>
      </c>
      <c r="F549" t="s">
        <v>170</v>
      </c>
      <c r="G549" t="s">
        <v>525</v>
      </c>
      <c r="H549" t="s">
        <v>1803</v>
      </c>
      <c r="I549" t="s">
        <v>38</v>
      </c>
      <c r="J549" t="s">
        <v>30</v>
      </c>
      <c r="K549">
        <v>24</v>
      </c>
      <c r="L549" t="s">
        <v>46</v>
      </c>
      <c r="M549">
        <v>202</v>
      </c>
      <c r="N549">
        <v>4</v>
      </c>
      <c r="O549">
        <v>1579.57</v>
      </c>
      <c r="P549" s="1">
        <v>45600.337881944448</v>
      </c>
      <c r="Q549">
        <v>18</v>
      </c>
      <c r="R549" t="s">
        <v>47</v>
      </c>
      <c r="S549">
        <v>-0.68678320893343503</v>
      </c>
      <c r="T549" t="b">
        <v>0</v>
      </c>
      <c r="U549" t="b">
        <v>1</v>
      </c>
      <c r="V549" t="b">
        <f t="shared" si="16"/>
        <v>1</v>
      </c>
      <c r="W549">
        <v>1</v>
      </c>
      <c r="Y549">
        <f t="shared" si="17"/>
        <v>0</v>
      </c>
    </row>
    <row r="550" spans="1:25" x14ac:dyDescent="0.3">
      <c r="A550" t="s">
        <v>1804</v>
      </c>
      <c r="B550" t="s">
        <v>180</v>
      </c>
      <c r="C550">
        <v>124.59</v>
      </c>
      <c r="D550" s="1">
        <v>45051.730763888889</v>
      </c>
      <c r="E550" t="s">
        <v>25</v>
      </c>
      <c r="F550" t="s">
        <v>262</v>
      </c>
      <c r="G550" t="s">
        <v>609</v>
      </c>
      <c r="H550" t="s">
        <v>1129</v>
      </c>
      <c r="I550" t="s">
        <v>117</v>
      </c>
      <c r="J550" t="s">
        <v>81</v>
      </c>
      <c r="K550">
        <v>27</v>
      </c>
      <c r="L550" t="s">
        <v>46</v>
      </c>
      <c r="M550">
        <v>171</v>
      </c>
      <c r="N550">
        <v>1</v>
      </c>
      <c r="O550">
        <v>129.29</v>
      </c>
      <c r="P550" s="1">
        <v>45600.339826388888</v>
      </c>
      <c r="Q550">
        <v>17</v>
      </c>
      <c r="R550" t="s">
        <v>54</v>
      </c>
      <c r="S550">
        <v>-0.59258778555209202</v>
      </c>
      <c r="T550" t="b">
        <v>0</v>
      </c>
      <c r="U550" t="b">
        <v>0</v>
      </c>
      <c r="V550" t="b">
        <f t="shared" si="16"/>
        <v>1</v>
      </c>
      <c r="W550">
        <v>0</v>
      </c>
      <c r="Y550">
        <f t="shared" si="17"/>
        <v>0</v>
      </c>
    </row>
    <row r="551" spans="1:25" x14ac:dyDescent="0.3">
      <c r="A551" t="s">
        <v>1805</v>
      </c>
      <c r="B551" t="s">
        <v>742</v>
      </c>
      <c r="C551">
        <v>73.88</v>
      </c>
      <c r="D551" s="1">
        <v>44928.685624999998</v>
      </c>
      <c r="E551" t="s">
        <v>25</v>
      </c>
      <c r="F551" t="s">
        <v>262</v>
      </c>
      <c r="G551" t="s">
        <v>1076</v>
      </c>
      <c r="H551" t="s">
        <v>1718</v>
      </c>
      <c r="I551" t="s">
        <v>29</v>
      </c>
      <c r="J551" t="s">
        <v>45</v>
      </c>
      <c r="K551">
        <v>39</v>
      </c>
      <c r="L551" t="s">
        <v>31</v>
      </c>
      <c r="M551">
        <v>34</v>
      </c>
      <c r="N551">
        <v>1</v>
      </c>
      <c r="O551">
        <v>6474.41</v>
      </c>
      <c r="P551" s="1">
        <v>45600.339687500003</v>
      </c>
      <c r="Q551">
        <v>16</v>
      </c>
      <c r="R551" t="s">
        <v>47</v>
      </c>
      <c r="S551">
        <v>-0.76628414626728902</v>
      </c>
      <c r="T551" t="b">
        <v>0</v>
      </c>
      <c r="U551" t="b">
        <v>0</v>
      </c>
      <c r="V551" t="b">
        <f t="shared" si="16"/>
        <v>1</v>
      </c>
      <c r="W551">
        <v>0</v>
      </c>
      <c r="Y551">
        <f t="shared" si="17"/>
        <v>0</v>
      </c>
    </row>
    <row r="552" spans="1:25" x14ac:dyDescent="0.3">
      <c r="A552" t="s">
        <v>1806</v>
      </c>
      <c r="B552" t="s">
        <v>1807</v>
      </c>
      <c r="C552">
        <v>77.430000000000007</v>
      </c>
      <c r="D552" s="1">
        <v>44945.674444444441</v>
      </c>
      <c r="E552" t="s">
        <v>25</v>
      </c>
      <c r="F552" t="s">
        <v>50</v>
      </c>
      <c r="G552" t="s">
        <v>1638</v>
      </c>
      <c r="H552" t="s">
        <v>1238</v>
      </c>
      <c r="I552" t="s">
        <v>491</v>
      </c>
      <c r="J552" t="s">
        <v>45</v>
      </c>
      <c r="K552">
        <v>21</v>
      </c>
      <c r="L552" t="s">
        <v>46</v>
      </c>
      <c r="M552">
        <v>169</v>
      </c>
      <c r="N552">
        <v>1</v>
      </c>
      <c r="O552">
        <v>1380.21</v>
      </c>
      <c r="P552" s="1">
        <v>45600.337881944448</v>
      </c>
      <c r="Q552">
        <v>16</v>
      </c>
      <c r="R552" t="s">
        <v>141</v>
      </c>
      <c r="S552">
        <v>-0.75412437343078897</v>
      </c>
      <c r="T552" t="b">
        <v>0</v>
      </c>
      <c r="U552" t="b">
        <v>0</v>
      </c>
      <c r="V552" t="b">
        <f t="shared" si="16"/>
        <v>1</v>
      </c>
      <c r="W552">
        <v>0</v>
      </c>
      <c r="Y552">
        <f t="shared" si="17"/>
        <v>0</v>
      </c>
    </row>
    <row r="553" spans="1:25" x14ac:dyDescent="0.3">
      <c r="A553" t="s">
        <v>1808</v>
      </c>
      <c r="B553" t="s">
        <v>1809</v>
      </c>
      <c r="C553">
        <v>106.16</v>
      </c>
      <c r="D553" s="1">
        <v>45030.72347222222</v>
      </c>
      <c r="E553" t="s">
        <v>25</v>
      </c>
      <c r="F553" t="s">
        <v>438</v>
      </c>
      <c r="G553" t="s">
        <v>575</v>
      </c>
      <c r="H553" t="s">
        <v>1810</v>
      </c>
      <c r="I553" t="s">
        <v>647</v>
      </c>
      <c r="J553" t="s">
        <v>30</v>
      </c>
      <c r="K553">
        <v>56</v>
      </c>
      <c r="L553" t="s">
        <v>31</v>
      </c>
      <c r="M553">
        <v>277</v>
      </c>
      <c r="N553">
        <v>4</v>
      </c>
      <c r="O553">
        <v>7487.79</v>
      </c>
      <c r="P553" s="1">
        <v>45600.339479166665</v>
      </c>
      <c r="Q553">
        <v>17</v>
      </c>
      <c r="R553" t="s">
        <v>54</v>
      </c>
      <c r="S553">
        <v>-0.65571584565820695</v>
      </c>
      <c r="T553" t="b">
        <v>0</v>
      </c>
      <c r="U553" t="b">
        <v>1</v>
      </c>
      <c r="V553" t="b">
        <f t="shared" si="16"/>
        <v>1</v>
      </c>
      <c r="W553">
        <v>1</v>
      </c>
      <c r="Y553">
        <f t="shared" si="17"/>
        <v>0</v>
      </c>
    </row>
    <row r="554" spans="1:25" x14ac:dyDescent="0.3">
      <c r="A554" t="s">
        <v>1811</v>
      </c>
      <c r="B554" t="s">
        <v>1812</v>
      </c>
      <c r="C554">
        <v>245.93</v>
      </c>
      <c r="D554" s="1">
        <v>45083.787210648145</v>
      </c>
      <c r="E554" t="s">
        <v>25</v>
      </c>
      <c r="F554" t="s">
        <v>571</v>
      </c>
      <c r="G554" t="s">
        <v>1813</v>
      </c>
      <c r="H554" t="s">
        <v>1490</v>
      </c>
      <c r="I554" t="s">
        <v>67</v>
      </c>
      <c r="J554" t="s">
        <v>81</v>
      </c>
      <c r="K554">
        <v>54</v>
      </c>
      <c r="L554" t="s">
        <v>89</v>
      </c>
      <c r="M554">
        <v>172</v>
      </c>
      <c r="N554">
        <v>1</v>
      </c>
      <c r="O554">
        <v>7986.63</v>
      </c>
      <c r="P554" s="1">
        <v>45600.341643518521</v>
      </c>
      <c r="Q554">
        <v>18</v>
      </c>
      <c r="R554" t="s">
        <v>32</v>
      </c>
      <c r="S554">
        <v>-0.176963324712376</v>
      </c>
      <c r="T554" t="b">
        <v>0</v>
      </c>
      <c r="U554" t="b">
        <v>0</v>
      </c>
      <c r="V554" t="b">
        <f t="shared" si="16"/>
        <v>1</v>
      </c>
      <c r="W554">
        <v>0</v>
      </c>
      <c r="Y554">
        <f t="shared" si="17"/>
        <v>0</v>
      </c>
    </row>
    <row r="555" spans="1:25" x14ac:dyDescent="0.3">
      <c r="A555" t="s">
        <v>1814</v>
      </c>
      <c r="B555" t="s">
        <v>1815</v>
      </c>
      <c r="C555">
        <v>622.41</v>
      </c>
      <c r="D555" s="1">
        <v>45271.706724537034</v>
      </c>
      <c r="E555" t="s">
        <v>25</v>
      </c>
      <c r="F555" t="s">
        <v>77</v>
      </c>
      <c r="G555" t="s">
        <v>1426</v>
      </c>
      <c r="H555" t="s">
        <v>513</v>
      </c>
      <c r="I555" t="s">
        <v>753</v>
      </c>
      <c r="J555" t="s">
        <v>30</v>
      </c>
      <c r="K555">
        <v>64</v>
      </c>
      <c r="L555" t="s">
        <v>31</v>
      </c>
      <c r="M555">
        <v>125</v>
      </c>
      <c r="N555">
        <v>1</v>
      </c>
      <c r="O555">
        <v>7322.01</v>
      </c>
      <c r="P555" s="1">
        <v>45600.338750000003</v>
      </c>
      <c r="Q555">
        <v>16</v>
      </c>
      <c r="R555" t="s">
        <v>47</v>
      </c>
      <c r="S555">
        <v>1.1125891478188199</v>
      </c>
      <c r="T555" t="b">
        <v>0</v>
      </c>
      <c r="U555" t="b">
        <v>0</v>
      </c>
      <c r="V555" t="b">
        <f t="shared" si="16"/>
        <v>1</v>
      </c>
      <c r="W555">
        <v>0</v>
      </c>
      <c r="Y555">
        <f t="shared" si="17"/>
        <v>0</v>
      </c>
    </row>
    <row r="556" spans="1:25" x14ac:dyDescent="0.3">
      <c r="A556" t="s">
        <v>1816</v>
      </c>
      <c r="B556" t="s">
        <v>1381</v>
      </c>
      <c r="C556">
        <v>43.73</v>
      </c>
      <c r="D556" s="1">
        <v>45019.696863425925</v>
      </c>
      <c r="E556" t="s">
        <v>25</v>
      </c>
      <c r="F556" t="s">
        <v>309</v>
      </c>
      <c r="G556" t="s">
        <v>846</v>
      </c>
      <c r="H556" t="s">
        <v>862</v>
      </c>
      <c r="I556" t="s">
        <v>1362</v>
      </c>
      <c r="J556" t="s">
        <v>30</v>
      </c>
      <c r="K556">
        <v>34</v>
      </c>
      <c r="L556" t="s">
        <v>31</v>
      </c>
      <c r="M556">
        <v>145</v>
      </c>
      <c r="N556">
        <v>1</v>
      </c>
      <c r="O556">
        <v>9929.43</v>
      </c>
      <c r="P556" s="1">
        <v>45600.34065972222</v>
      </c>
      <c r="Q556">
        <v>16</v>
      </c>
      <c r="R556" t="s">
        <v>47</v>
      </c>
      <c r="S556">
        <v>-0.86955658317447104</v>
      </c>
      <c r="T556" t="b">
        <v>0</v>
      </c>
      <c r="U556" t="b">
        <v>0</v>
      </c>
      <c r="V556" t="b">
        <f t="shared" si="16"/>
        <v>1</v>
      </c>
      <c r="W556">
        <v>0</v>
      </c>
      <c r="Y556">
        <f t="shared" si="17"/>
        <v>0</v>
      </c>
    </row>
    <row r="557" spans="1:25" x14ac:dyDescent="0.3">
      <c r="A557" t="s">
        <v>1817</v>
      </c>
      <c r="B557" t="s">
        <v>1691</v>
      </c>
      <c r="C557">
        <v>1282.8599999999999</v>
      </c>
      <c r="D557" s="1">
        <v>45061.703240740739</v>
      </c>
      <c r="E557" t="s">
        <v>25</v>
      </c>
      <c r="F557" t="s">
        <v>131</v>
      </c>
      <c r="G557" t="s">
        <v>1074</v>
      </c>
      <c r="H557" t="s">
        <v>651</v>
      </c>
      <c r="I557" t="s">
        <v>285</v>
      </c>
      <c r="J557" t="s">
        <v>81</v>
      </c>
      <c r="K557">
        <v>19</v>
      </c>
      <c r="L557" t="s">
        <v>46</v>
      </c>
      <c r="M557">
        <v>68</v>
      </c>
      <c r="N557">
        <v>1</v>
      </c>
      <c r="O557">
        <v>1830.98</v>
      </c>
      <c r="P557" s="1">
        <v>45600.338564814818</v>
      </c>
      <c r="Q557">
        <v>16</v>
      </c>
      <c r="R557" t="s">
        <v>47</v>
      </c>
      <c r="S557">
        <v>3.3748206886263898</v>
      </c>
      <c r="T557" t="b">
        <v>1</v>
      </c>
      <c r="U557" t="b">
        <v>0</v>
      </c>
      <c r="V557" t="b">
        <f t="shared" si="16"/>
        <v>1</v>
      </c>
      <c r="W557">
        <v>1</v>
      </c>
      <c r="Y557">
        <f t="shared" si="17"/>
        <v>1</v>
      </c>
    </row>
    <row r="558" spans="1:25" x14ac:dyDescent="0.3">
      <c r="A558" t="s">
        <v>1818</v>
      </c>
      <c r="B558" t="s">
        <v>1819</v>
      </c>
      <c r="C558">
        <v>2.0299999999999998</v>
      </c>
      <c r="D558" s="1">
        <v>45292.671585648146</v>
      </c>
      <c r="E558" t="s">
        <v>57</v>
      </c>
      <c r="F558" t="s">
        <v>85</v>
      </c>
      <c r="G558" t="s">
        <v>1521</v>
      </c>
      <c r="H558" t="s">
        <v>1328</v>
      </c>
      <c r="I558" t="s">
        <v>458</v>
      </c>
      <c r="J558" t="s">
        <v>30</v>
      </c>
      <c r="K558">
        <v>33</v>
      </c>
      <c r="L558" t="s">
        <v>89</v>
      </c>
      <c r="M558">
        <v>28</v>
      </c>
      <c r="N558">
        <v>1</v>
      </c>
      <c r="O558">
        <v>3012.31</v>
      </c>
      <c r="P558" s="1">
        <v>45600.339467592596</v>
      </c>
      <c r="Q558">
        <v>16</v>
      </c>
      <c r="R558" t="s">
        <v>47</v>
      </c>
      <c r="S558">
        <v>-1.01239109790181</v>
      </c>
      <c r="T558" t="b">
        <v>0</v>
      </c>
      <c r="U558" t="b">
        <v>0</v>
      </c>
      <c r="V558" t="b">
        <f t="shared" si="16"/>
        <v>1</v>
      </c>
      <c r="W558">
        <v>0</v>
      </c>
      <c r="Y558">
        <f t="shared" si="17"/>
        <v>0</v>
      </c>
    </row>
    <row r="559" spans="1:25" x14ac:dyDescent="0.3">
      <c r="A559" t="s">
        <v>1820</v>
      </c>
      <c r="B559" t="s">
        <v>1821</v>
      </c>
      <c r="C559">
        <v>770.65</v>
      </c>
      <c r="D559" s="1">
        <v>45112.742662037039</v>
      </c>
      <c r="E559" t="s">
        <v>25</v>
      </c>
      <c r="F559" t="s">
        <v>405</v>
      </c>
      <c r="G559" t="s">
        <v>1822</v>
      </c>
      <c r="H559" t="s">
        <v>924</v>
      </c>
      <c r="I559" t="s">
        <v>1823</v>
      </c>
      <c r="J559" t="s">
        <v>45</v>
      </c>
      <c r="K559">
        <v>31</v>
      </c>
      <c r="L559" t="s">
        <v>31</v>
      </c>
      <c r="M559">
        <v>137</v>
      </c>
      <c r="N559">
        <v>1</v>
      </c>
      <c r="O559">
        <v>7198.8</v>
      </c>
      <c r="P559" s="1">
        <v>45600.339594907404</v>
      </c>
      <c r="Q559">
        <v>17</v>
      </c>
      <c r="R559" t="s">
        <v>74</v>
      </c>
      <c r="S559">
        <v>1.62035385916611</v>
      </c>
      <c r="T559" t="b">
        <v>0</v>
      </c>
      <c r="U559" t="b">
        <v>0</v>
      </c>
      <c r="V559" t="b">
        <f t="shared" si="16"/>
        <v>1</v>
      </c>
      <c r="W559">
        <v>0</v>
      </c>
      <c r="Y559">
        <f t="shared" si="17"/>
        <v>0</v>
      </c>
    </row>
    <row r="560" spans="1:25" x14ac:dyDescent="0.3">
      <c r="A560" t="s">
        <v>1824</v>
      </c>
      <c r="B560" t="s">
        <v>130</v>
      </c>
      <c r="C560">
        <v>260.31</v>
      </c>
      <c r="D560" s="1">
        <v>44985.699247685188</v>
      </c>
      <c r="E560" t="s">
        <v>25</v>
      </c>
      <c r="F560" t="s">
        <v>131</v>
      </c>
      <c r="G560" t="s">
        <v>1825</v>
      </c>
      <c r="H560" t="s">
        <v>619</v>
      </c>
      <c r="I560" t="s">
        <v>162</v>
      </c>
      <c r="J560" t="s">
        <v>81</v>
      </c>
      <c r="K560">
        <v>63</v>
      </c>
      <c r="L560" t="s">
        <v>31</v>
      </c>
      <c r="M560">
        <v>113</v>
      </c>
      <c r="N560">
        <v>1</v>
      </c>
      <c r="O560">
        <v>10980.38</v>
      </c>
      <c r="P560" s="1">
        <v>45600.34170138889</v>
      </c>
      <c r="Q560">
        <v>16</v>
      </c>
      <c r="R560" t="s">
        <v>32</v>
      </c>
      <c r="S560">
        <v>-0.127707681504241</v>
      </c>
      <c r="T560" t="b">
        <v>0</v>
      </c>
      <c r="U560" t="b">
        <v>0</v>
      </c>
      <c r="V560" t="b">
        <f t="shared" si="16"/>
        <v>1</v>
      </c>
      <c r="W560">
        <v>0</v>
      </c>
      <c r="Y560">
        <f t="shared" si="17"/>
        <v>0</v>
      </c>
    </row>
    <row r="561" spans="1:25" x14ac:dyDescent="0.3">
      <c r="A561" t="s">
        <v>1826</v>
      </c>
      <c r="B561" t="s">
        <v>1827</v>
      </c>
      <c r="C561">
        <v>356.1</v>
      </c>
      <c r="D561" s="1">
        <v>45224.676145833335</v>
      </c>
      <c r="E561" t="s">
        <v>57</v>
      </c>
      <c r="F561" t="s">
        <v>170</v>
      </c>
      <c r="G561" t="s">
        <v>1828</v>
      </c>
      <c r="H561" t="s">
        <v>1516</v>
      </c>
      <c r="I561" t="s">
        <v>182</v>
      </c>
      <c r="J561" t="s">
        <v>81</v>
      </c>
      <c r="K561">
        <v>26</v>
      </c>
      <c r="L561" t="s">
        <v>46</v>
      </c>
      <c r="M561">
        <v>187</v>
      </c>
      <c r="N561">
        <v>1</v>
      </c>
      <c r="O561">
        <v>868.35</v>
      </c>
      <c r="P561" s="1">
        <v>45600.340995370374</v>
      </c>
      <c r="Q561">
        <v>16</v>
      </c>
      <c r="R561" t="s">
        <v>74</v>
      </c>
      <c r="S561">
        <v>0.20040066779389901</v>
      </c>
      <c r="T561" t="b">
        <v>0</v>
      </c>
      <c r="U561" t="b">
        <v>0</v>
      </c>
      <c r="V561" t="b">
        <f t="shared" si="16"/>
        <v>1</v>
      </c>
      <c r="W561">
        <v>0</v>
      </c>
      <c r="Y561">
        <f t="shared" si="17"/>
        <v>0</v>
      </c>
    </row>
    <row r="562" spans="1:25" x14ac:dyDescent="0.3">
      <c r="A562" t="s">
        <v>1829</v>
      </c>
      <c r="B562" t="s">
        <v>673</v>
      </c>
      <c r="C562">
        <v>27.07</v>
      </c>
      <c r="D562" s="1">
        <v>44991.73542824074</v>
      </c>
      <c r="E562" t="s">
        <v>57</v>
      </c>
      <c r="F562" t="s">
        <v>314</v>
      </c>
      <c r="G562" t="s">
        <v>186</v>
      </c>
      <c r="H562" t="s">
        <v>1830</v>
      </c>
      <c r="I562" t="s">
        <v>445</v>
      </c>
      <c r="J562" t="s">
        <v>81</v>
      </c>
      <c r="K562">
        <v>80</v>
      </c>
      <c r="L562" t="s">
        <v>82</v>
      </c>
      <c r="M562">
        <v>39</v>
      </c>
      <c r="N562">
        <v>1</v>
      </c>
      <c r="O562">
        <v>3773.29</v>
      </c>
      <c r="P562" s="1">
        <v>45600.340243055558</v>
      </c>
      <c r="Q562">
        <v>17</v>
      </c>
      <c r="R562" t="s">
        <v>47</v>
      </c>
      <c r="S562">
        <v>-0.92662188330295003</v>
      </c>
      <c r="T562" t="b">
        <v>0</v>
      </c>
      <c r="U562" t="b">
        <v>0</v>
      </c>
      <c r="V562" t="b">
        <f t="shared" si="16"/>
        <v>1</v>
      </c>
      <c r="W562">
        <v>0</v>
      </c>
      <c r="Y562">
        <f t="shared" si="17"/>
        <v>0</v>
      </c>
    </row>
    <row r="563" spans="1:25" x14ac:dyDescent="0.3">
      <c r="A563" t="s">
        <v>1831</v>
      </c>
      <c r="B563" t="s">
        <v>912</v>
      </c>
      <c r="C563">
        <v>119.89</v>
      </c>
      <c r="D563" s="1">
        <v>45279.716331018521</v>
      </c>
      <c r="E563" t="s">
        <v>25</v>
      </c>
      <c r="F563" t="s">
        <v>268</v>
      </c>
      <c r="G563" t="s">
        <v>328</v>
      </c>
      <c r="H563" t="s">
        <v>1832</v>
      </c>
      <c r="I563" t="s">
        <v>445</v>
      </c>
      <c r="J563" t="s">
        <v>30</v>
      </c>
      <c r="K563">
        <v>67</v>
      </c>
      <c r="L563" t="s">
        <v>31</v>
      </c>
      <c r="M563">
        <v>60</v>
      </c>
      <c r="N563">
        <v>1</v>
      </c>
      <c r="O563">
        <v>6697.77</v>
      </c>
      <c r="P563" s="1">
        <v>45600.339606481481</v>
      </c>
      <c r="Q563">
        <v>17</v>
      </c>
      <c r="R563" t="s">
        <v>32</v>
      </c>
      <c r="S563">
        <v>-0.60868663972999404</v>
      </c>
      <c r="T563" t="b">
        <v>0</v>
      </c>
      <c r="U563" t="b">
        <v>0</v>
      </c>
      <c r="V563" t="b">
        <f t="shared" si="16"/>
        <v>1</v>
      </c>
      <c r="W563">
        <v>0</v>
      </c>
      <c r="Y563">
        <f t="shared" si="17"/>
        <v>0</v>
      </c>
    </row>
    <row r="564" spans="1:25" x14ac:dyDescent="0.3">
      <c r="A564" t="s">
        <v>1833</v>
      </c>
      <c r="B564" t="s">
        <v>1834</v>
      </c>
      <c r="C564">
        <v>106.39</v>
      </c>
      <c r="D564" s="1">
        <v>44970.779270833336</v>
      </c>
      <c r="E564" t="s">
        <v>25</v>
      </c>
      <c r="F564" t="s">
        <v>314</v>
      </c>
      <c r="G564" t="s">
        <v>979</v>
      </c>
      <c r="H564" t="s">
        <v>1096</v>
      </c>
      <c r="I564" t="s">
        <v>375</v>
      </c>
      <c r="J564" t="s">
        <v>45</v>
      </c>
      <c r="K564">
        <v>37</v>
      </c>
      <c r="L564" t="s">
        <v>31</v>
      </c>
      <c r="M564">
        <v>281</v>
      </c>
      <c r="N564">
        <v>1</v>
      </c>
      <c r="O564">
        <v>9410.99</v>
      </c>
      <c r="P564" s="1">
        <v>45600.340648148151</v>
      </c>
      <c r="Q564">
        <v>18</v>
      </c>
      <c r="R564" t="s">
        <v>47</v>
      </c>
      <c r="S564">
        <v>-0.654928029389927</v>
      </c>
      <c r="T564" t="b">
        <v>0</v>
      </c>
      <c r="U564" t="b">
        <v>0</v>
      </c>
      <c r="V564" t="b">
        <f t="shared" si="16"/>
        <v>1</v>
      </c>
      <c r="W564">
        <v>0</v>
      </c>
      <c r="Y564">
        <f t="shared" si="17"/>
        <v>0</v>
      </c>
    </row>
    <row r="565" spans="1:25" x14ac:dyDescent="0.3">
      <c r="A565" t="s">
        <v>1835</v>
      </c>
      <c r="B565" t="s">
        <v>1836</v>
      </c>
      <c r="C565">
        <v>12.04</v>
      </c>
      <c r="D565" s="1">
        <v>45245.672824074078</v>
      </c>
      <c r="E565" t="s">
        <v>25</v>
      </c>
      <c r="F565" t="s">
        <v>170</v>
      </c>
      <c r="G565" t="s">
        <v>1837</v>
      </c>
      <c r="H565" t="s">
        <v>870</v>
      </c>
      <c r="I565" t="s">
        <v>213</v>
      </c>
      <c r="J565" t="s">
        <v>45</v>
      </c>
      <c r="K565">
        <v>37</v>
      </c>
      <c r="L565" t="s">
        <v>89</v>
      </c>
      <c r="M565">
        <v>58</v>
      </c>
      <c r="N565">
        <v>1</v>
      </c>
      <c r="O565">
        <v>6213.32</v>
      </c>
      <c r="P565" s="1">
        <v>45600.339178240742</v>
      </c>
      <c r="Q565">
        <v>16</v>
      </c>
      <c r="R565" t="s">
        <v>74</v>
      </c>
      <c r="S565">
        <v>-0.97810396379100795</v>
      </c>
      <c r="T565" t="b">
        <v>0</v>
      </c>
      <c r="U565" t="b">
        <v>0</v>
      </c>
      <c r="V565" t="b">
        <f t="shared" si="16"/>
        <v>1</v>
      </c>
      <c r="W565">
        <v>0</v>
      </c>
      <c r="Y565">
        <f t="shared" si="17"/>
        <v>0</v>
      </c>
    </row>
    <row r="566" spans="1:25" x14ac:dyDescent="0.3">
      <c r="A566" t="s">
        <v>1838</v>
      </c>
      <c r="B566" t="s">
        <v>1839</v>
      </c>
      <c r="C566">
        <v>365.7</v>
      </c>
      <c r="D566" s="1">
        <v>44953.691435185188</v>
      </c>
      <c r="E566" t="s">
        <v>25</v>
      </c>
      <c r="F566" t="s">
        <v>35</v>
      </c>
      <c r="G566" t="s">
        <v>36</v>
      </c>
      <c r="H566" t="s">
        <v>181</v>
      </c>
      <c r="I566" t="s">
        <v>427</v>
      </c>
      <c r="J566" t="s">
        <v>81</v>
      </c>
      <c r="K566">
        <v>21</v>
      </c>
      <c r="L566" t="s">
        <v>46</v>
      </c>
      <c r="M566">
        <v>115</v>
      </c>
      <c r="N566">
        <v>2</v>
      </c>
      <c r="O566">
        <v>368.78</v>
      </c>
      <c r="P566" s="1">
        <v>45600.340474537035</v>
      </c>
      <c r="Q566">
        <v>16</v>
      </c>
      <c r="R566" t="s">
        <v>54</v>
      </c>
      <c r="S566">
        <v>0.233283433774296</v>
      </c>
      <c r="T566" t="b">
        <v>0</v>
      </c>
      <c r="U566" t="b">
        <v>1</v>
      </c>
      <c r="V566" t="b">
        <f t="shared" si="16"/>
        <v>1</v>
      </c>
      <c r="W566">
        <v>1</v>
      </c>
      <c r="Y566">
        <f t="shared" si="17"/>
        <v>0</v>
      </c>
    </row>
    <row r="567" spans="1:25" x14ac:dyDescent="0.3">
      <c r="A567" t="s">
        <v>1840</v>
      </c>
      <c r="B567" t="s">
        <v>1815</v>
      </c>
      <c r="C567">
        <v>29.38</v>
      </c>
      <c r="D567" s="1">
        <v>44972.687604166669</v>
      </c>
      <c r="E567" t="s">
        <v>57</v>
      </c>
      <c r="F567" t="s">
        <v>210</v>
      </c>
      <c r="G567" t="s">
        <v>1841</v>
      </c>
      <c r="H567" t="s">
        <v>306</v>
      </c>
      <c r="I567" t="s">
        <v>344</v>
      </c>
      <c r="J567" t="s">
        <v>81</v>
      </c>
      <c r="K567">
        <v>28</v>
      </c>
      <c r="L567" t="s">
        <v>46</v>
      </c>
      <c r="M567">
        <v>63</v>
      </c>
      <c r="N567">
        <v>1</v>
      </c>
      <c r="O567">
        <v>1663.31</v>
      </c>
      <c r="P567" s="1">
        <v>45600.341064814813</v>
      </c>
      <c r="Q567">
        <v>16</v>
      </c>
      <c r="R567" t="s">
        <v>74</v>
      </c>
      <c r="S567">
        <v>-0.91870946773891804</v>
      </c>
      <c r="T567" t="b">
        <v>0</v>
      </c>
      <c r="U567" t="b">
        <v>0</v>
      </c>
      <c r="V567" t="b">
        <f t="shared" si="16"/>
        <v>1</v>
      </c>
      <c r="W567">
        <v>0</v>
      </c>
      <c r="Y567">
        <f t="shared" si="17"/>
        <v>0</v>
      </c>
    </row>
    <row r="568" spans="1:25" x14ac:dyDescent="0.3">
      <c r="A568" t="s">
        <v>1842</v>
      </c>
      <c r="B568" t="s">
        <v>1834</v>
      </c>
      <c r="C568">
        <v>319.85000000000002</v>
      </c>
      <c r="D568" s="1">
        <v>45133.697476851848</v>
      </c>
      <c r="E568" t="s">
        <v>25</v>
      </c>
      <c r="F568" t="s">
        <v>126</v>
      </c>
      <c r="G568" t="s">
        <v>105</v>
      </c>
      <c r="H568" t="s">
        <v>1843</v>
      </c>
      <c r="I568" t="s">
        <v>173</v>
      </c>
      <c r="J568" t="s">
        <v>30</v>
      </c>
      <c r="K568">
        <v>60</v>
      </c>
      <c r="L568" t="s">
        <v>31</v>
      </c>
      <c r="M568">
        <v>148</v>
      </c>
      <c r="N568">
        <v>1</v>
      </c>
      <c r="O568">
        <v>711.66</v>
      </c>
      <c r="P568" s="1">
        <v>45600.33871527778</v>
      </c>
      <c r="Q568">
        <v>16</v>
      </c>
      <c r="R568" t="s">
        <v>74</v>
      </c>
      <c r="S568">
        <v>7.6233973336674601E-2</v>
      </c>
      <c r="T568" t="b">
        <v>0</v>
      </c>
      <c r="U568" t="b">
        <v>0</v>
      </c>
      <c r="V568" t="b">
        <f t="shared" si="16"/>
        <v>1</v>
      </c>
      <c r="W568">
        <v>0</v>
      </c>
      <c r="Y568">
        <f t="shared" si="17"/>
        <v>0</v>
      </c>
    </row>
    <row r="569" spans="1:25" x14ac:dyDescent="0.3">
      <c r="A569" t="s">
        <v>1844</v>
      </c>
      <c r="B569" t="s">
        <v>1845</v>
      </c>
      <c r="C569">
        <v>350.14</v>
      </c>
      <c r="D569" s="1">
        <v>45009.785208333335</v>
      </c>
      <c r="E569" t="s">
        <v>57</v>
      </c>
      <c r="F569" t="s">
        <v>153</v>
      </c>
      <c r="G569" t="s">
        <v>539</v>
      </c>
      <c r="H569" t="s">
        <v>748</v>
      </c>
      <c r="I569" t="s">
        <v>134</v>
      </c>
      <c r="J569" t="s">
        <v>45</v>
      </c>
      <c r="K569">
        <v>75</v>
      </c>
      <c r="L569" t="s">
        <v>82</v>
      </c>
      <c r="M569">
        <v>38</v>
      </c>
      <c r="N569">
        <v>1</v>
      </c>
      <c r="O569">
        <v>2403.25</v>
      </c>
      <c r="P569" s="1">
        <v>45600.33935185185</v>
      </c>
      <c r="Q569">
        <v>18</v>
      </c>
      <c r="R569" t="s">
        <v>54</v>
      </c>
      <c r="S569">
        <v>0.17998595058107</v>
      </c>
      <c r="T569" t="b">
        <v>0</v>
      </c>
      <c r="U569" t="b">
        <v>0</v>
      </c>
      <c r="V569" t="b">
        <f t="shared" si="16"/>
        <v>1</v>
      </c>
      <c r="W569">
        <v>0</v>
      </c>
      <c r="Y569">
        <f t="shared" si="17"/>
        <v>0</v>
      </c>
    </row>
    <row r="570" spans="1:25" x14ac:dyDescent="0.3">
      <c r="A570" t="s">
        <v>1846</v>
      </c>
      <c r="B570" t="s">
        <v>784</v>
      </c>
      <c r="C570">
        <v>163.94</v>
      </c>
      <c r="D570" s="1">
        <v>45141.784456018519</v>
      </c>
      <c r="E570" t="s">
        <v>57</v>
      </c>
      <c r="F570" t="s">
        <v>314</v>
      </c>
      <c r="G570" t="s">
        <v>1847</v>
      </c>
      <c r="H570" t="s">
        <v>1848</v>
      </c>
      <c r="I570" t="s">
        <v>589</v>
      </c>
      <c r="J570" t="s">
        <v>81</v>
      </c>
      <c r="K570">
        <v>52</v>
      </c>
      <c r="L570" t="s">
        <v>82</v>
      </c>
      <c r="M570">
        <v>73</v>
      </c>
      <c r="N570">
        <v>1</v>
      </c>
      <c r="O570">
        <v>5957.37</v>
      </c>
      <c r="P570" s="1">
        <v>45600.340173611112</v>
      </c>
      <c r="Q570">
        <v>18</v>
      </c>
      <c r="R570" t="s">
        <v>141</v>
      </c>
      <c r="S570">
        <v>-0.45780269791369699</v>
      </c>
      <c r="T570" t="b">
        <v>0</v>
      </c>
      <c r="U570" t="b">
        <v>0</v>
      </c>
      <c r="V570" t="b">
        <f t="shared" si="16"/>
        <v>1</v>
      </c>
      <c r="W570">
        <v>0</v>
      </c>
      <c r="Y570">
        <f t="shared" si="17"/>
        <v>0</v>
      </c>
    </row>
    <row r="571" spans="1:25" x14ac:dyDescent="0.3">
      <c r="A571" t="s">
        <v>1849</v>
      </c>
      <c r="B571" t="s">
        <v>380</v>
      </c>
      <c r="C571">
        <v>170.53</v>
      </c>
      <c r="D571" s="1">
        <v>44963.791481481479</v>
      </c>
      <c r="E571" t="s">
        <v>25</v>
      </c>
      <c r="F571" t="s">
        <v>64</v>
      </c>
      <c r="G571" t="s">
        <v>1539</v>
      </c>
      <c r="H571" t="s">
        <v>1152</v>
      </c>
      <c r="I571" t="s">
        <v>561</v>
      </c>
      <c r="J571" t="s">
        <v>81</v>
      </c>
      <c r="K571">
        <v>24</v>
      </c>
      <c r="L571" t="s">
        <v>46</v>
      </c>
      <c r="M571">
        <v>58</v>
      </c>
      <c r="N571">
        <v>1</v>
      </c>
      <c r="O571">
        <v>801.01</v>
      </c>
      <c r="P571" s="1">
        <v>45600.340150462966</v>
      </c>
      <c r="Q571">
        <v>18</v>
      </c>
      <c r="R571" t="s">
        <v>47</v>
      </c>
      <c r="S571">
        <v>-0.43523004918340402</v>
      </c>
      <c r="T571" t="b">
        <v>0</v>
      </c>
      <c r="U571" t="b">
        <v>0</v>
      </c>
      <c r="V571" t="b">
        <f t="shared" si="16"/>
        <v>1</v>
      </c>
      <c r="W571">
        <v>0</v>
      </c>
      <c r="Y571">
        <f t="shared" si="17"/>
        <v>0</v>
      </c>
    </row>
    <row r="572" spans="1:25" x14ac:dyDescent="0.3">
      <c r="A572" t="s">
        <v>1850</v>
      </c>
      <c r="B572" t="s">
        <v>1087</v>
      </c>
      <c r="C572">
        <v>262.22000000000003</v>
      </c>
      <c r="D572" s="1">
        <v>45120.741944444446</v>
      </c>
      <c r="E572" t="s">
        <v>57</v>
      </c>
      <c r="F572" t="s">
        <v>210</v>
      </c>
      <c r="G572" t="s">
        <v>1851</v>
      </c>
      <c r="H572" t="s">
        <v>806</v>
      </c>
      <c r="I572" t="s">
        <v>1027</v>
      </c>
      <c r="J572" t="s">
        <v>30</v>
      </c>
      <c r="K572">
        <v>40</v>
      </c>
      <c r="L572" t="s">
        <v>89</v>
      </c>
      <c r="M572">
        <v>136</v>
      </c>
      <c r="N572">
        <v>1</v>
      </c>
      <c r="O572">
        <v>5711.71</v>
      </c>
      <c r="P572" s="1">
        <v>45600.341805555552</v>
      </c>
      <c r="Q572">
        <v>17</v>
      </c>
      <c r="R572" t="s">
        <v>141</v>
      </c>
      <c r="S572">
        <v>-0.12116538118939101</v>
      </c>
      <c r="T572" t="b">
        <v>0</v>
      </c>
      <c r="U572" t="b">
        <v>0</v>
      </c>
      <c r="V572" t="b">
        <f t="shared" si="16"/>
        <v>1</v>
      </c>
      <c r="W572">
        <v>0</v>
      </c>
      <c r="Y572">
        <f t="shared" si="17"/>
        <v>0</v>
      </c>
    </row>
    <row r="573" spans="1:25" x14ac:dyDescent="0.3">
      <c r="A573" t="s">
        <v>1852</v>
      </c>
      <c r="B573" t="s">
        <v>368</v>
      </c>
      <c r="C573">
        <v>41.49</v>
      </c>
      <c r="D573" s="1">
        <v>45040.699537037035</v>
      </c>
      <c r="E573" t="s">
        <v>25</v>
      </c>
      <c r="F573" t="s">
        <v>98</v>
      </c>
      <c r="G573" t="s">
        <v>1635</v>
      </c>
      <c r="H573" t="s">
        <v>1531</v>
      </c>
      <c r="I573" t="s">
        <v>1575</v>
      </c>
      <c r="J573" t="s">
        <v>45</v>
      </c>
      <c r="K573">
        <v>24</v>
      </c>
      <c r="L573" t="s">
        <v>46</v>
      </c>
      <c r="M573">
        <v>13</v>
      </c>
      <c r="N573">
        <v>1</v>
      </c>
      <c r="O573">
        <v>928.33</v>
      </c>
      <c r="P573" s="1">
        <v>45600.34170138889</v>
      </c>
      <c r="Q573">
        <v>16</v>
      </c>
      <c r="R573" t="s">
        <v>47</v>
      </c>
      <c r="S573">
        <v>-0.87722922856989705</v>
      </c>
      <c r="T573" t="b">
        <v>0</v>
      </c>
      <c r="U573" t="b">
        <v>0</v>
      </c>
      <c r="V573" t="b">
        <f t="shared" si="16"/>
        <v>1</v>
      </c>
      <c r="W573">
        <v>0</v>
      </c>
      <c r="Y573">
        <f t="shared" si="17"/>
        <v>0</v>
      </c>
    </row>
    <row r="574" spans="1:25" x14ac:dyDescent="0.3">
      <c r="A574" t="s">
        <v>1853</v>
      </c>
      <c r="B574" t="s">
        <v>297</v>
      </c>
      <c r="C574">
        <v>121.43</v>
      </c>
      <c r="D574" s="1">
        <v>45006.680937500001</v>
      </c>
      <c r="E574" t="s">
        <v>57</v>
      </c>
      <c r="F574" t="s">
        <v>298</v>
      </c>
      <c r="G574" t="s">
        <v>1382</v>
      </c>
      <c r="H574" t="s">
        <v>1168</v>
      </c>
      <c r="I574" t="s">
        <v>632</v>
      </c>
      <c r="J574" t="s">
        <v>81</v>
      </c>
      <c r="K574">
        <v>52</v>
      </c>
      <c r="L574" t="s">
        <v>89</v>
      </c>
      <c r="M574">
        <v>243</v>
      </c>
      <c r="N574">
        <v>1</v>
      </c>
      <c r="O574">
        <v>7365.28</v>
      </c>
      <c r="P574" s="1">
        <v>45600.338518518518</v>
      </c>
      <c r="Q574">
        <v>16</v>
      </c>
      <c r="R574" t="s">
        <v>32</v>
      </c>
      <c r="S574">
        <v>-0.60341169602063904</v>
      </c>
      <c r="T574" t="b">
        <v>0</v>
      </c>
      <c r="U574" t="b">
        <v>0</v>
      </c>
      <c r="V574" t="b">
        <f t="shared" si="16"/>
        <v>1</v>
      </c>
      <c r="W574">
        <v>0</v>
      </c>
      <c r="Y574">
        <f t="shared" si="17"/>
        <v>0</v>
      </c>
    </row>
    <row r="575" spans="1:25" x14ac:dyDescent="0.3">
      <c r="A575" t="s">
        <v>1854</v>
      </c>
      <c r="B575" t="s">
        <v>385</v>
      </c>
      <c r="C575">
        <v>350.46</v>
      </c>
      <c r="D575" s="1">
        <v>45268.677800925929</v>
      </c>
      <c r="E575" t="s">
        <v>25</v>
      </c>
      <c r="F575" t="s">
        <v>92</v>
      </c>
      <c r="G575" t="s">
        <v>1588</v>
      </c>
      <c r="H575" t="s">
        <v>198</v>
      </c>
      <c r="I575" t="s">
        <v>295</v>
      </c>
      <c r="J575" t="s">
        <v>81</v>
      </c>
      <c r="K575">
        <v>51</v>
      </c>
      <c r="L575" t="s">
        <v>82</v>
      </c>
      <c r="M575">
        <v>165</v>
      </c>
      <c r="N575">
        <v>1</v>
      </c>
      <c r="O575">
        <v>5839.38</v>
      </c>
      <c r="P575" s="1">
        <v>45600.337870370371</v>
      </c>
      <c r="Q575">
        <v>16</v>
      </c>
      <c r="R575" t="s">
        <v>54</v>
      </c>
      <c r="S575">
        <v>0.18108204278041701</v>
      </c>
      <c r="T575" t="b">
        <v>0</v>
      </c>
      <c r="U575" t="b">
        <v>0</v>
      </c>
      <c r="V575" t="b">
        <f t="shared" si="16"/>
        <v>1</v>
      </c>
      <c r="W575">
        <v>0</v>
      </c>
      <c r="Y575">
        <f t="shared" si="17"/>
        <v>0</v>
      </c>
    </row>
    <row r="576" spans="1:25" x14ac:dyDescent="0.3">
      <c r="A576" t="s">
        <v>1855</v>
      </c>
      <c r="B576" t="s">
        <v>1411</v>
      </c>
      <c r="C576">
        <v>220.41</v>
      </c>
      <c r="D576" s="1">
        <v>45173.696400462963</v>
      </c>
      <c r="E576" t="s">
        <v>57</v>
      </c>
      <c r="F576" t="s">
        <v>519</v>
      </c>
      <c r="G576" t="s">
        <v>456</v>
      </c>
      <c r="H576" t="s">
        <v>482</v>
      </c>
      <c r="I576" t="s">
        <v>140</v>
      </c>
      <c r="J576" t="s">
        <v>45</v>
      </c>
      <c r="K576">
        <v>26</v>
      </c>
      <c r="L576" t="s">
        <v>89</v>
      </c>
      <c r="M576">
        <v>155</v>
      </c>
      <c r="N576">
        <v>1</v>
      </c>
      <c r="O576">
        <v>5116.9799999999996</v>
      </c>
      <c r="P576" s="1">
        <v>45600.340324074074</v>
      </c>
      <c r="Q576">
        <v>16</v>
      </c>
      <c r="R576" t="s">
        <v>47</v>
      </c>
      <c r="S576">
        <v>-0.26437667761026201</v>
      </c>
      <c r="T576" t="b">
        <v>0</v>
      </c>
      <c r="U576" t="b">
        <v>0</v>
      </c>
      <c r="V576" t="b">
        <f t="shared" si="16"/>
        <v>1</v>
      </c>
      <c r="W576">
        <v>0</v>
      </c>
      <c r="Y576">
        <f t="shared" si="17"/>
        <v>0</v>
      </c>
    </row>
    <row r="577" spans="1:25" x14ac:dyDescent="0.3">
      <c r="A577" t="s">
        <v>1856</v>
      </c>
      <c r="B577" t="s">
        <v>538</v>
      </c>
      <c r="C577">
        <v>33.46</v>
      </c>
      <c r="D577" s="1">
        <v>44977.7028125</v>
      </c>
      <c r="E577" t="s">
        <v>25</v>
      </c>
      <c r="F577" t="s">
        <v>70</v>
      </c>
      <c r="G577" t="s">
        <v>1857</v>
      </c>
      <c r="H577" t="s">
        <v>1858</v>
      </c>
      <c r="I577" t="s">
        <v>375</v>
      </c>
      <c r="J577" t="s">
        <v>30</v>
      </c>
      <c r="K577">
        <v>72</v>
      </c>
      <c r="L577" t="s">
        <v>82</v>
      </c>
      <c r="M577">
        <v>111</v>
      </c>
      <c r="N577">
        <v>1</v>
      </c>
      <c r="O577">
        <v>3641.07</v>
      </c>
      <c r="P577" s="1">
        <v>45600.339722222219</v>
      </c>
      <c r="Q577">
        <v>16</v>
      </c>
      <c r="R577" t="s">
        <v>47</v>
      </c>
      <c r="S577">
        <v>-0.90473429219724899</v>
      </c>
      <c r="T577" t="b">
        <v>0</v>
      </c>
      <c r="U577" t="b">
        <v>0</v>
      </c>
      <c r="V577" t="b">
        <f t="shared" si="16"/>
        <v>1</v>
      </c>
      <c r="W577">
        <v>0</v>
      </c>
      <c r="Y577">
        <f t="shared" si="17"/>
        <v>0</v>
      </c>
    </row>
    <row r="578" spans="1:25" x14ac:dyDescent="0.3">
      <c r="A578" t="s">
        <v>1859</v>
      </c>
      <c r="B578" t="s">
        <v>981</v>
      </c>
      <c r="C578">
        <v>104.79</v>
      </c>
      <c r="D578" s="1">
        <v>45145.671203703707</v>
      </c>
      <c r="E578" t="s">
        <v>25</v>
      </c>
      <c r="F578" t="s">
        <v>126</v>
      </c>
      <c r="G578" t="s">
        <v>915</v>
      </c>
      <c r="H578" t="s">
        <v>1860</v>
      </c>
      <c r="I578" t="s">
        <v>150</v>
      </c>
      <c r="J578" t="s">
        <v>30</v>
      </c>
      <c r="K578">
        <v>70</v>
      </c>
      <c r="L578" t="s">
        <v>31</v>
      </c>
      <c r="M578">
        <v>223</v>
      </c>
      <c r="N578">
        <v>1</v>
      </c>
      <c r="O578">
        <v>1352.19</v>
      </c>
      <c r="P578" s="1">
        <v>45600.340358796297</v>
      </c>
      <c r="Q578">
        <v>16</v>
      </c>
      <c r="R578" t="s">
        <v>47</v>
      </c>
      <c r="S578">
        <v>-0.66040849038665905</v>
      </c>
      <c r="T578" t="b">
        <v>0</v>
      </c>
      <c r="U578" t="b">
        <v>0</v>
      </c>
      <c r="V578" t="b">
        <f t="shared" si="16"/>
        <v>1</v>
      </c>
      <c r="W578">
        <v>0</v>
      </c>
      <c r="Y578">
        <f t="shared" si="17"/>
        <v>0</v>
      </c>
    </row>
    <row r="579" spans="1:25" x14ac:dyDescent="0.3">
      <c r="A579" t="s">
        <v>1861</v>
      </c>
      <c r="B579" t="s">
        <v>538</v>
      </c>
      <c r="C579">
        <v>246.27</v>
      </c>
      <c r="D579" s="1">
        <v>45287.70034722222</v>
      </c>
      <c r="E579" t="s">
        <v>25</v>
      </c>
      <c r="F579" t="s">
        <v>571</v>
      </c>
      <c r="G579" t="s">
        <v>1545</v>
      </c>
      <c r="H579" t="s">
        <v>1792</v>
      </c>
      <c r="I579" t="s">
        <v>720</v>
      </c>
      <c r="J579" t="s">
        <v>45</v>
      </c>
      <c r="K579">
        <v>29</v>
      </c>
      <c r="L579" t="s">
        <v>31</v>
      </c>
      <c r="M579">
        <v>141</v>
      </c>
      <c r="N579">
        <v>1</v>
      </c>
      <c r="O579">
        <v>7299.86</v>
      </c>
      <c r="P579" s="1">
        <v>45600.340937499997</v>
      </c>
      <c r="Q579">
        <v>16</v>
      </c>
      <c r="R579" t="s">
        <v>74</v>
      </c>
      <c r="S579">
        <v>-0.17579872675057001</v>
      </c>
      <c r="T579" t="b">
        <v>0</v>
      </c>
      <c r="U579" t="b">
        <v>0</v>
      </c>
      <c r="V579" t="b">
        <f t="shared" ref="V579:V642" si="18">ISLOGICAL(T579)</f>
        <v>1</v>
      </c>
      <c r="W579">
        <v>0</v>
      </c>
      <c r="Y579">
        <f t="shared" ref="Y579:Y642" si="19">--T579</f>
        <v>0</v>
      </c>
    </row>
    <row r="580" spans="1:25" x14ac:dyDescent="0.3">
      <c r="A580" t="s">
        <v>1862</v>
      </c>
      <c r="B580" t="s">
        <v>292</v>
      </c>
      <c r="C580">
        <v>48.85</v>
      </c>
      <c r="D580" s="1">
        <v>45268.698055555556</v>
      </c>
      <c r="E580" t="s">
        <v>25</v>
      </c>
      <c r="F580" t="s">
        <v>336</v>
      </c>
      <c r="G580" t="s">
        <v>489</v>
      </c>
      <c r="H580" t="s">
        <v>1863</v>
      </c>
      <c r="I580" t="s">
        <v>487</v>
      </c>
      <c r="J580" t="s">
        <v>30</v>
      </c>
      <c r="K580">
        <v>19</v>
      </c>
      <c r="L580" t="s">
        <v>46</v>
      </c>
      <c r="M580">
        <v>176</v>
      </c>
      <c r="N580">
        <v>1</v>
      </c>
      <c r="O580">
        <v>1503.56</v>
      </c>
      <c r="P580" s="1">
        <v>45600.338368055556</v>
      </c>
      <c r="Q580">
        <v>16</v>
      </c>
      <c r="R580" t="s">
        <v>54</v>
      </c>
      <c r="S580">
        <v>-0.85201910798492697</v>
      </c>
      <c r="T580" t="b">
        <v>0</v>
      </c>
      <c r="U580" t="b">
        <v>0</v>
      </c>
      <c r="V580" t="b">
        <f t="shared" si="18"/>
        <v>1</v>
      </c>
      <c r="W580">
        <v>0</v>
      </c>
      <c r="Y580">
        <f t="shared" si="19"/>
        <v>0</v>
      </c>
    </row>
    <row r="581" spans="1:25" x14ac:dyDescent="0.3">
      <c r="A581" t="s">
        <v>1864</v>
      </c>
      <c r="B581" t="s">
        <v>1352</v>
      </c>
      <c r="C581">
        <v>332</v>
      </c>
      <c r="D581" s="1">
        <v>45043.685891203706</v>
      </c>
      <c r="E581" t="s">
        <v>25</v>
      </c>
      <c r="F581" t="s">
        <v>262</v>
      </c>
      <c r="G581" t="s">
        <v>1271</v>
      </c>
      <c r="H581" t="s">
        <v>1865</v>
      </c>
      <c r="I581" t="s">
        <v>871</v>
      </c>
      <c r="J581" t="s">
        <v>30</v>
      </c>
      <c r="K581">
        <v>69</v>
      </c>
      <c r="L581" t="s">
        <v>82</v>
      </c>
      <c r="M581">
        <v>17</v>
      </c>
      <c r="N581">
        <v>1</v>
      </c>
      <c r="O581">
        <v>5943.13</v>
      </c>
      <c r="P581" s="1">
        <v>45600.338229166664</v>
      </c>
      <c r="Q581">
        <v>16</v>
      </c>
      <c r="R581" t="s">
        <v>141</v>
      </c>
      <c r="S581">
        <v>0.117851224030613</v>
      </c>
      <c r="T581" t="b">
        <v>0</v>
      </c>
      <c r="U581" t="b">
        <v>0</v>
      </c>
      <c r="V581" t="b">
        <f t="shared" si="18"/>
        <v>1</v>
      </c>
      <c r="W581">
        <v>0</v>
      </c>
      <c r="Y581">
        <f t="shared" si="19"/>
        <v>0</v>
      </c>
    </row>
    <row r="582" spans="1:25" x14ac:dyDescent="0.3">
      <c r="A582" t="s">
        <v>1866</v>
      </c>
      <c r="B582" t="s">
        <v>1867</v>
      </c>
      <c r="C582">
        <v>118.1</v>
      </c>
      <c r="D582" s="1">
        <v>45230.700844907406</v>
      </c>
      <c r="E582" t="s">
        <v>25</v>
      </c>
      <c r="F582" t="s">
        <v>104</v>
      </c>
      <c r="G582" t="s">
        <v>1868</v>
      </c>
      <c r="H582" t="s">
        <v>1869</v>
      </c>
      <c r="I582" t="s">
        <v>371</v>
      </c>
      <c r="J582" t="s">
        <v>45</v>
      </c>
      <c r="K582">
        <v>54</v>
      </c>
      <c r="L582" t="s">
        <v>89</v>
      </c>
      <c r="M582">
        <v>167</v>
      </c>
      <c r="N582">
        <v>1</v>
      </c>
      <c r="O582">
        <v>895.66</v>
      </c>
      <c r="P582" s="1">
        <v>45600.339745370373</v>
      </c>
      <c r="Q582">
        <v>16</v>
      </c>
      <c r="R582" t="s">
        <v>32</v>
      </c>
      <c r="S582">
        <v>-0.61481790547008897</v>
      </c>
      <c r="T582" t="b">
        <v>0</v>
      </c>
      <c r="U582" t="b">
        <v>0</v>
      </c>
      <c r="V582" t="b">
        <f t="shared" si="18"/>
        <v>1</v>
      </c>
      <c r="W582">
        <v>0</v>
      </c>
      <c r="Y582">
        <f t="shared" si="19"/>
        <v>0</v>
      </c>
    </row>
    <row r="583" spans="1:25" x14ac:dyDescent="0.3">
      <c r="A583" t="s">
        <v>1870</v>
      </c>
      <c r="B583" t="s">
        <v>1871</v>
      </c>
      <c r="C583">
        <v>84.59</v>
      </c>
      <c r="D583" s="1">
        <v>45035.704699074071</v>
      </c>
      <c r="E583" t="s">
        <v>57</v>
      </c>
      <c r="F583" t="s">
        <v>159</v>
      </c>
      <c r="G583" t="s">
        <v>1872</v>
      </c>
      <c r="H583" t="s">
        <v>407</v>
      </c>
      <c r="I583" t="s">
        <v>445</v>
      </c>
      <c r="J583" t="s">
        <v>81</v>
      </c>
      <c r="K583">
        <v>67</v>
      </c>
      <c r="L583" t="s">
        <v>31</v>
      </c>
      <c r="M583">
        <v>10</v>
      </c>
      <c r="N583">
        <v>1</v>
      </c>
      <c r="O583">
        <v>5669.1</v>
      </c>
      <c r="P583" s="1">
        <v>45600.338333333333</v>
      </c>
      <c r="Q583">
        <v>16</v>
      </c>
      <c r="R583" t="s">
        <v>74</v>
      </c>
      <c r="S583">
        <v>-0.72959931047041005</v>
      </c>
      <c r="T583" t="b">
        <v>0</v>
      </c>
      <c r="U583" t="b">
        <v>0</v>
      </c>
      <c r="V583" t="b">
        <f t="shared" si="18"/>
        <v>1</v>
      </c>
      <c r="W583">
        <v>0</v>
      </c>
      <c r="Y583">
        <f t="shared" si="19"/>
        <v>0</v>
      </c>
    </row>
    <row r="584" spans="1:25" x14ac:dyDescent="0.3">
      <c r="A584" t="s">
        <v>1873</v>
      </c>
      <c r="B584" t="s">
        <v>1541</v>
      </c>
      <c r="C584">
        <v>295.64</v>
      </c>
      <c r="D584" s="1">
        <v>45274.730069444442</v>
      </c>
      <c r="E584" t="s">
        <v>25</v>
      </c>
      <c r="F584" t="s">
        <v>405</v>
      </c>
      <c r="G584" t="s">
        <v>1874</v>
      </c>
      <c r="H584" t="s">
        <v>854</v>
      </c>
      <c r="I584" t="s">
        <v>1050</v>
      </c>
      <c r="J584" t="s">
        <v>45</v>
      </c>
      <c r="K584">
        <v>21</v>
      </c>
      <c r="L584" t="s">
        <v>46</v>
      </c>
      <c r="M584">
        <v>82</v>
      </c>
      <c r="N584">
        <v>1</v>
      </c>
      <c r="O584">
        <v>1061.96</v>
      </c>
      <c r="P584" s="1">
        <v>45600.340752314813</v>
      </c>
      <c r="Q584">
        <v>17</v>
      </c>
      <c r="R584" t="s">
        <v>141</v>
      </c>
      <c r="S584">
        <v>-6.6922521201371399E-3</v>
      </c>
      <c r="T584" t="b">
        <v>0</v>
      </c>
      <c r="U584" t="b">
        <v>0</v>
      </c>
      <c r="V584" t="b">
        <f t="shared" si="18"/>
        <v>1</v>
      </c>
      <c r="W584">
        <v>0</v>
      </c>
      <c r="Y584">
        <f t="shared" si="19"/>
        <v>0</v>
      </c>
    </row>
    <row r="585" spans="1:25" x14ac:dyDescent="0.3">
      <c r="A585" t="s">
        <v>1875</v>
      </c>
      <c r="B585" t="s">
        <v>421</v>
      </c>
      <c r="C585">
        <v>514.33000000000004</v>
      </c>
      <c r="D585" s="1">
        <v>45079.68550925926</v>
      </c>
      <c r="E585" t="s">
        <v>25</v>
      </c>
      <c r="F585" t="s">
        <v>256</v>
      </c>
      <c r="G585" t="s">
        <v>1876</v>
      </c>
      <c r="H585" t="s">
        <v>1877</v>
      </c>
      <c r="I585" t="s">
        <v>123</v>
      </c>
      <c r="J585" t="s">
        <v>81</v>
      </c>
      <c r="K585">
        <v>25</v>
      </c>
      <c r="L585" t="s">
        <v>46</v>
      </c>
      <c r="M585">
        <v>160</v>
      </c>
      <c r="N585">
        <v>1</v>
      </c>
      <c r="O585">
        <v>1592.94</v>
      </c>
      <c r="P585" s="1">
        <v>45600.341863425929</v>
      </c>
      <c r="Q585">
        <v>16</v>
      </c>
      <c r="R585" t="s">
        <v>54</v>
      </c>
      <c r="S585">
        <v>0.74238400748953404</v>
      </c>
      <c r="T585" t="b">
        <v>0</v>
      </c>
      <c r="U585" t="b">
        <v>0</v>
      </c>
      <c r="V585" t="b">
        <f t="shared" si="18"/>
        <v>1</v>
      </c>
      <c r="W585">
        <v>0</v>
      </c>
      <c r="Y585">
        <f t="shared" si="19"/>
        <v>0</v>
      </c>
    </row>
    <row r="586" spans="1:25" x14ac:dyDescent="0.3">
      <c r="A586" t="s">
        <v>1878</v>
      </c>
      <c r="B586" t="s">
        <v>97</v>
      </c>
      <c r="C586">
        <v>992.17</v>
      </c>
      <c r="D586" s="1">
        <v>44984.766099537039</v>
      </c>
      <c r="E586" t="s">
        <v>25</v>
      </c>
      <c r="F586" t="s">
        <v>250</v>
      </c>
      <c r="G586" t="s">
        <v>99</v>
      </c>
      <c r="H586" t="s">
        <v>1553</v>
      </c>
      <c r="I586" t="s">
        <v>95</v>
      </c>
      <c r="J586" t="s">
        <v>30</v>
      </c>
      <c r="K586">
        <v>43</v>
      </c>
      <c r="L586" t="s">
        <v>31</v>
      </c>
      <c r="M586">
        <v>169</v>
      </c>
      <c r="N586">
        <v>1</v>
      </c>
      <c r="O586">
        <v>6215.96</v>
      </c>
      <c r="P586" s="1">
        <v>45600.341886574075</v>
      </c>
      <c r="Q586">
        <v>18</v>
      </c>
      <c r="R586" t="s">
        <v>47</v>
      </c>
      <c r="S586">
        <v>2.37912368416375</v>
      </c>
      <c r="T586" t="b">
        <v>1</v>
      </c>
      <c r="U586" t="b">
        <v>0</v>
      </c>
      <c r="V586" t="b">
        <f t="shared" si="18"/>
        <v>1</v>
      </c>
      <c r="W586">
        <v>1</v>
      </c>
      <c r="Y586">
        <f t="shared" si="19"/>
        <v>1</v>
      </c>
    </row>
    <row r="587" spans="1:25" x14ac:dyDescent="0.3">
      <c r="A587" t="s">
        <v>1879</v>
      </c>
      <c r="B587" t="s">
        <v>1127</v>
      </c>
      <c r="C587">
        <v>94.59</v>
      </c>
      <c r="D587" s="1">
        <v>45261.711111111108</v>
      </c>
      <c r="E587" t="s">
        <v>25</v>
      </c>
      <c r="F587" t="s">
        <v>466</v>
      </c>
      <c r="G587" t="s">
        <v>1142</v>
      </c>
      <c r="H587" t="s">
        <v>1304</v>
      </c>
      <c r="I587" t="s">
        <v>687</v>
      </c>
      <c r="J587" t="s">
        <v>45</v>
      </c>
      <c r="K587">
        <v>39</v>
      </c>
      <c r="L587" t="s">
        <v>31</v>
      </c>
      <c r="M587">
        <v>34</v>
      </c>
      <c r="N587">
        <v>1</v>
      </c>
      <c r="O587">
        <v>6171.89</v>
      </c>
      <c r="P587" s="1">
        <v>45600.34070601852</v>
      </c>
      <c r="Q587">
        <v>17</v>
      </c>
      <c r="R587" t="s">
        <v>54</v>
      </c>
      <c r="S587">
        <v>-0.69534642924083001</v>
      </c>
      <c r="T587" t="b">
        <v>0</v>
      </c>
      <c r="U587" t="b">
        <v>0</v>
      </c>
      <c r="V587" t="b">
        <f t="shared" si="18"/>
        <v>1</v>
      </c>
      <c r="W587">
        <v>0</v>
      </c>
      <c r="Y587">
        <f t="shared" si="19"/>
        <v>0</v>
      </c>
    </row>
    <row r="588" spans="1:25" x14ac:dyDescent="0.3">
      <c r="A588" t="s">
        <v>1880</v>
      </c>
      <c r="B588" t="s">
        <v>529</v>
      </c>
      <c r="C588">
        <v>80.430000000000007</v>
      </c>
      <c r="D588" s="1">
        <v>44930.673414351855</v>
      </c>
      <c r="E588" t="s">
        <v>25</v>
      </c>
      <c r="F588" t="s">
        <v>137</v>
      </c>
      <c r="G588" t="s">
        <v>1190</v>
      </c>
      <c r="H588" t="s">
        <v>1881</v>
      </c>
      <c r="I588" t="s">
        <v>253</v>
      </c>
      <c r="J588" t="s">
        <v>81</v>
      </c>
      <c r="K588">
        <v>59</v>
      </c>
      <c r="L588" t="s">
        <v>82</v>
      </c>
      <c r="M588">
        <v>157</v>
      </c>
      <c r="N588">
        <v>1</v>
      </c>
      <c r="O588">
        <v>5987.67</v>
      </c>
      <c r="P588" s="1">
        <v>45600.339097222219</v>
      </c>
      <c r="Q588">
        <v>16</v>
      </c>
      <c r="R588" t="s">
        <v>74</v>
      </c>
      <c r="S588">
        <v>-0.74384850906191502</v>
      </c>
      <c r="T588" t="b">
        <v>0</v>
      </c>
      <c r="U588" t="b">
        <v>0</v>
      </c>
      <c r="V588" t="b">
        <f t="shared" si="18"/>
        <v>1</v>
      </c>
      <c r="W588">
        <v>0</v>
      </c>
      <c r="Y588">
        <f t="shared" si="19"/>
        <v>0</v>
      </c>
    </row>
    <row r="589" spans="1:25" x14ac:dyDescent="0.3">
      <c r="A589" t="s">
        <v>1882</v>
      </c>
      <c r="B589" t="s">
        <v>1883</v>
      </c>
      <c r="C589">
        <v>54.25</v>
      </c>
      <c r="D589" s="1">
        <v>45138.702662037038</v>
      </c>
      <c r="E589" t="s">
        <v>25</v>
      </c>
      <c r="F589" t="s">
        <v>314</v>
      </c>
      <c r="G589" t="s">
        <v>1884</v>
      </c>
      <c r="H589" t="s">
        <v>568</v>
      </c>
      <c r="I589" t="s">
        <v>577</v>
      </c>
      <c r="J589" t="s">
        <v>45</v>
      </c>
      <c r="K589">
        <v>68</v>
      </c>
      <c r="L589" t="s">
        <v>31</v>
      </c>
      <c r="M589">
        <v>37</v>
      </c>
      <c r="N589">
        <v>1</v>
      </c>
      <c r="O589">
        <v>14783.33</v>
      </c>
      <c r="P589" s="1">
        <v>45600.339502314811</v>
      </c>
      <c r="Q589">
        <v>16</v>
      </c>
      <c r="R589" t="s">
        <v>47</v>
      </c>
      <c r="S589">
        <v>-0.83352255212095405</v>
      </c>
      <c r="T589" t="b">
        <v>0</v>
      </c>
      <c r="U589" t="b">
        <v>0</v>
      </c>
      <c r="V589" t="b">
        <f t="shared" si="18"/>
        <v>1</v>
      </c>
      <c r="W589">
        <v>0</v>
      </c>
      <c r="Y589">
        <f t="shared" si="19"/>
        <v>0</v>
      </c>
    </row>
    <row r="590" spans="1:25" x14ac:dyDescent="0.3">
      <c r="A590" t="s">
        <v>1885</v>
      </c>
      <c r="B590" t="s">
        <v>1277</v>
      </c>
      <c r="C590">
        <v>178.88</v>
      </c>
      <c r="D590" s="1">
        <v>45096.729953703703</v>
      </c>
      <c r="E590" t="s">
        <v>57</v>
      </c>
      <c r="F590" t="s">
        <v>336</v>
      </c>
      <c r="G590" t="s">
        <v>1271</v>
      </c>
      <c r="H590" t="s">
        <v>1262</v>
      </c>
      <c r="I590" t="s">
        <v>620</v>
      </c>
      <c r="J590" t="s">
        <v>81</v>
      </c>
      <c r="K590">
        <v>76</v>
      </c>
      <c r="L590" t="s">
        <v>82</v>
      </c>
      <c r="M590">
        <v>93</v>
      </c>
      <c r="N590">
        <v>4</v>
      </c>
      <c r="O590">
        <v>4708.29</v>
      </c>
      <c r="P590" s="1">
        <v>45600.341782407406</v>
      </c>
      <c r="Q590">
        <v>17</v>
      </c>
      <c r="R590" t="s">
        <v>47</v>
      </c>
      <c r="S590">
        <v>-0.40662889335670599</v>
      </c>
      <c r="T590" t="b">
        <v>0</v>
      </c>
      <c r="U590" t="b">
        <v>1</v>
      </c>
      <c r="V590" t="b">
        <f t="shared" si="18"/>
        <v>1</v>
      </c>
      <c r="W590">
        <v>1</v>
      </c>
      <c r="Y590">
        <f t="shared" si="19"/>
        <v>0</v>
      </c>
    </row>
    <row r="591" spans="1:25" x14ac:dyDescent="0.3">
      <c r="A591" t="s">
        <v>1886</v>
      </c>
      <c r="B591" t="s">
        <v>1887</v>
      </c>
      <c r="C591">
        <v>518.85</v>
      </c>
      <c r="D591" s="1">
        <v>45222.776238425926</v>
      </c>
      <c r="E591" t="s">
        <v>25</v>
      </c>
      <c r="F591" t="s">
        <v>304</v>
      </c>
      <c r="G591" t="s">
        <v>1888</v>
      </c>
      <c r="H591" t="s">
        <v>1889</v>
      </c>
      <c r="I591" t="s">
        <v>871</v>
      </c>
      <c r="J591" t="s">
        <v>45</v>
      </c>
      <c r="K591">
        <v>22</v>
      </c>
      <c r="L591" t="s">
        <v>46</v>
      </c>
      <c r="M591">
        <v>82</v>
      </c>
      <c r="N591">
        <v>1</v>
      </c>
      <c r="O591">
        <v>1806</v>
      </c>
      <c r="P591" s="1">
        <v>45600.33792824074</v>
      </c>
      <c r="Q591">
        <v>18</v>
      </c>
      <c r="R591" t="s">
        <v>47</v>
      </c>
      <c r="S591">
        <v>0.75786630980530401</v>
      </c>
      <c r="T591" t="b">
        <v>0</v>
      </c>
      <c r="U591" t="b">
        <v>0</v>
      </c>
      <c r="V591" t="b">
        <f t="shared" si="18"/>
        <v>1</v>
      </c>
      <c r="W591">
        <v>0</v>
      </c>
      <c r="Y591">
        <f t="shared" si="19"/>
        <v>0</v>
      </c>
    </row>
    <row r="592" spans="1:25" x14ac:dyDescent="0.3">
      <c r="A592" t="s">
        <v>1890</v>
      </c>
      <c r="B592" t="s">
        <v>1891</v>
      </c>
      <c r="C592">
        <v>10.65</v>
      </c>
      <c r="D592" s="1">
        <v>45040.683900462966</v>
      </c>
      <c r="E592" t="s">
        <v>25</v>
      </c>
      <c r="F592" t="s">
        <v>120</v>
      </c>
      <c r="G592" t="s">
        <v>1128</v>
      </c>
      <c r="H592" t="s">
        <v>1892</v>
      </c>
      <c r="I592" t="s">
        <v>440</v>
      </c>
      <c r="J592" t="s">
        <v>45</v>
      </c>
      <c r="K592">
        <v>54</v>
      </c>
      <c r="L592" t="s">
        <v>31</v>
      </c>
      <c r="M592">
        <v>161</v>
      </c>
      <c r="N592">
        <v>1</v>
      </c>
      <c r="O592">
        <v>13240.72</v>
      </c>
      <c r="P592" s="1">
        <v>45600.340520833335</v>
      </c>
      <c r="Q592">
        <v>16</v>
      </c>
      <c r="R592" t="s">
        <v>47</v>
      </c>
      <c r="S592">
        <v>-0.98286511428192003</v>
      </c>
      <c r="T592" t="b">
        <v>0</v>
      </c>
      <c r="U592" t="b">
        <v>0</v>
      </c>
      <c r="V592" t="b">
        <f t="shared" si="18"/>
        <v>1</v>
      </c>
      <c r="W592">
        <v>0</v>
      </c>
      <c r="Y592">
        <f t="shared" si="19"/>
        <v>0</v>
      </c>
    </row>
    <row r="593" spans="1:25" x14ac:dyDescent="0.3">
      <c r="A593" t="s">
        <v>1893</v>
      </c>
      <c r="B593" t="s">
        <v>190</v>
      </c>
      <c r="C593">
        <v>198.62</v>
      </c>
      <c r="D593" s="1">
        <v>45061.680023148147</v>
      </c>
      <c r="E593" t="s">
        <v>57</v>
      </c>
      <c r="F593" t="s">
        <v>268</v>
      </c>
      <c r="G593" t="s">
        <v>1894</v>
      </c>
      <c r="H593" t="s">
        <v>1483</v>
      </c>
      <c r="I593" t="s">
        <v>1294</v>
      </c>
      <c r="J593" t="s">
        <v>81</v>
      </c>
      <c r="K593">
        <v>27</v>
      </c>
      <c r="L593" t="s">
        <v>46</v>
      </c>
      <c r="M593">
        <v>84</v>
      </c>
      <c r="N593">
        <v>1</v>
      </c>
      <c r="O593">
        <v>1196.07</v>
      </c>
      <c r="P593" s="1">
        <v>45600.337939814817</v>
      </c>
      <c r="Q593">
        <v>16</v>
      </c>
      <c r="R593" t="s">
        <v>47</v>
      </c>
      <c r="S593">
        <v>-0.33901370580951601</v>
      </c>
      <c r="T593" t="b">
        <v>0</v>
      </c>
      <c r="U593" t="b">
        <v>0</v>
      </c>
      <c r="V593" t="b">
        <f t="shared" si="18"/>
        <v>1</v>
      </c>
      <c r="W593">
        <v>0</v>
      </c>
      <c r="Y593">
        <f t="shared" si="19"/>
        <v>0</v>
      </c>
    </row>
    <row r="594" spans="1:25" x14ac:dyDescent="0.3">
      <c r="A594" t="s">
        <v>1895</v>
      </c>
      <c r="B594" t="s">
        <v>861</v>
      </c>
      <c r="C594">
        <v>107.03</v>
      </c>
      <c r="D594" s="1">
        <v>44991.768900462965</v>
      </c>
      <c r="E594" t="s">
        <v>25</v>
      </c>
      <c r="F594" t="s">
        <v>185</v>
      </c>
      <c r="G594" t="s">
        <v>1896</v>
      </c>
      <c r="H594" t="s">
        <v>1897</v>
      </c>
      <c r="I594" t="s">
        <v>871</v>
      </c>
      <c r="J594" t="s">
        <v>81</v>
      </c>
      <c r="K594">
        <v>27</v>
      </c>
      <c r="L594" t="s">
        <v>46</v>
      </c>
      <c r="M594">
        <v>73</v>
      </c>
      <c r="N594">
        <v>1</v>
      </c>
      <c r="O594">
        <v>1408.07</v>
      </c>
      <c r="P594" s="1">
        <v>45600.341817129629</v>
      </c>
      <c r="Q594">
        <v>18</v>
      </c>
      <c r="R594" t="s">
        <v>47</v>
      </c>
      <c r="S594">
        <v>-0.65273584499123405</v>
      </c>
      <c r="T594" t="b">
        <v>0</v>
      </c>
      <c r="U594" t="b">
        <v>0</v>
      </c>
      <c r="V594" t="b">
        <f t="shared" si="18"/>
        <v>1</v>
      </c>
      <c r="W594">
        <v>0</v>
      </c>
      <c r="Y594">
        <f t="shared" si="19"/>
        <v>0</v>
      </c>
    </row>
    <row r="595" spans="1:25" x14ac:dyDescent="0.3">
      <c r="A595" t="s">
        <v>1898</v>
      </c>
      <c r="B595" t="s">
        <v>1451</v>
      </c>
      <c r="C595">
        <v>139.57</v>
      </c>
      <c r="D595" s="1">
        <v>45247.749432870369</v>
      </c>
      <c r="E595" t="s">
        <v>25</v>
      </c>
      <c r="F595" t="s">
        <v>170</v>
      </c>
      <c r="G595" t="s">
        <v>1899</v>
      </c>
      <c r="H595" t="s">
        <v>1900</v>
      </c>
      <c r="I595" t="s">
        <v>107</v>
      </c>
      <c r="J595" t="s">
        <v>30</v>
      </c>
      <c r="K595">
        <v>19</v>
      </c>
      <c r="L595" t="s">
        <v>46</v>
      </c>
      <c r="M595">
        <v>263</v>
      </c>
      <c r="N595">
        <v>3</v>
      </c>
      <c r="O595">
        <v>271.77999999999997</v>
      </c>
      <c r="P595" s="1">
        <v>45600.338460648149</v>
      </c>
      <c r="Q595">
        <v>17</v>
      </c>
      <c r="R595" t="s">
        <v>54</v>
      </c>
      <c r="S595">
        <v>-0.541276969470182</v>
      </c>
      <c r="T595" t="b">
        <v>0</v>
      </c>
      <c r="U595" t="b">
        <v>1</v>
      </c>
      <c r="V595" t="b">
        <f t="shared" si="18"/>
        <v>1</v>
      </c>
      <c r="W595">
        <v>1</v>
      </c>
      <c r="Y595">
        <f t="shared" si="19"/>
        <v>0</v>
      </c>
    </row>
    <row r="596" spans="1:25" x14ac:dyDescent="0.3">
      <c r="A596" t="s">
        <v>1901</v>
      </c>
      <c r="B596" t="s">
        <v>1902</v>
      </c>
      <c r="C596">
        <v>312.47000000000003</v>
      </c>
      <c r="D596" s="1">
        <v>45048.725300925929</v>
      </c>
      <c r="E596" t="s">
        <v>25</v>
      </c>
      <c r="F596" t="s">
        <v>191</v>
      </c>
      <c r="G596" t="s">
        <v>1145</v>
      </c>
      <c r="H596" t="s">
        <v>1113</v>
      </c>
      <c r="I596" t="s">
        <v>463</v>
      </c>
      <c r="J596" t="s">
        <v>30</v>
      </c>
      <c r="K596">
        <v>49</v>
      </c>
      <c r="L596" t="s">
        <v>89</v>
      </c>
      <c r="M596">
        <v>148</v>
      </c>
      <c r="N596">
        <v>4</v>
      </c>
      <c r="O596">
        <v>9419.27</v>
      </c>
      <c r="P596" s="1">
        <v>45600.338946759257</v>
      </c>
      <c r="Q596">
        <v>17</v>
      </c>
      <c r="R596" t="s">
        <v>32</v>
      </c>
      <c r="S596">
        <v>5.0955346989245101E-2</v>
      </c>
      <c r="T596" t="b">
        <v>0</v>
      </c>
      <c r="U596" t="b">
        <v>1</v>
      </c>
      <c r="V596" t="b">
        <f t="shared" si="18"/>
        <v>1</v>
      </c>
      <c r="W596">
        <v>1</v>
      </c>
      <c r="Y596">
        <f t="shared" si="19"/>
        <v>0</v>
      </c>
    </row>
    <row r="597" spans="1:25" x14ac:dyDescent="0.3">
      <c r="A597" t="s">
        <v>1903</v>
      </c>
      <c r="B597" t="s">
        <v>297</v>
      </c>
      <c r="C597">
        <v>346.11</v>
      </c>
      <c r="D597" s="1">
        <v>44930.70853009259</v>
      </c>
      <c r="E597" t="s">
        <v>25</v>
      </c>
      <c r="F597" t="s">
        <v>336</v>
      </c>
      <c r="G597" t="s">
        <v>1904</v>
      </c>
      <c r="H597" t="s">
        <v>430</v>
      </c>
      <c r="I597" t="s">
        <v>95</v>
      </c>
      <c r="J597" t="s">
        <v>81</v>
      </c>
      <c r="K597">
        <v>41</v>
      </c>
      <c r="L597" t="s">
        <v>89</v>
      </c>
      <c r="M597">
        <v>213</v>
      </c>
      <c r="N597">
        <v>1</v>
      </c>
      <c r="O597">
        <v>9551.64</v>
      </c>
      <c r="P597" s="1">
        <v>45600.338923611111</v>
      </c>
      <c r="Q597">
        <v>17</v>
      </c>
      <c r="R597" t="s">
        <v>74</v>
      </c>
      <c r="S597">
        <v>0.16618203944554999</v>
      </c>
      <c r="T597" t="b">
        <v>0</v>
      </c>
      <c r="U597" t="b">
        <v>0</v>
      </c>
      <c r="V597" t="b">
        <f t="shared" si="18"/>
        <v>1</v>
      </c>
      <c r="W597">
        <v>0</v>
      </c>
      <c r="Y597">
        <f t="shared" si="19"/>
        <v>0</v>
      </c>
    </row>
    <row r="598" spans="1:25" x14ac:dyDescent="0.3">
      <c r="A598" t="s">
        <v>1905</v>
      </c>
      <c r="B598" t="s">
        <v>1451</v>
      </c>
      <c r="C598">
        <v>138.06</v>
      </c>
      <c r="D598" s="1">
        <v>45132.723530092589</v>
      </c>
      <c r="E598" t="s">
        <v>25</v>
      </c>
      <c r="F598" t="s">
        <v>262</v>
      </c>
      <c r="G598" t="s">
        <v>1906</v>
      </c>
      <c r="H598" t="s">
        <v>1907</v>
      </c>
      <c r="I598" t="s">
        <v>527</v>
      </c>
      <c r="J598" t="s">
        <v>81</v>
      </c>
      <c r="K598">
        <v>44</v>
      </c>
      <c r="L598" t="s">
        <v>89</v>
      </c>
      <c r="M598">
        <v>159</v>
      </c>
      <c r="N598">
        <v>1</v>
      </c>
      <c r="O598">
        <v>1070.47</v>
      </c>
      <c r="P598" s="1">
        <v>45600.338101851848</v>
      </c>
      <c r="Q598">
        <v>17</v>
      </c>
      <c r="R598" t="s">
        <v>32</v>
      </c>
      <c r="S598">
        <v>-0.54644915453584897</v>
      </c>
      <c r="T598" t="b">
        <v>0</v>
      </c>
      <c r="U598" t="b">
        <v>0</v>
      </c>
      <c r="V598" t="b">
        <f t="shared" si="18"/>
        <v>1</v>
      </c>
      <c r="W598">
        <v>0</v>
      </c>
      <c r="Y598">
        <f t="shared" si="19"/>
        <v>0</v>
      </c>
    </row>
    <row r="599" spans="1:25" x14ac:dyDescent="0.3">
      <c r="A599" t="s">
        <v>1908</v>
      </c>
      <c r="B599" t="s">
        <v>1501</v>
      </c>
      <c r="C599">
        <v>158.02000000000001</v>
      </c>
      <c r="D599" s="1">
        <v>45189.714745370373</v>
      </c>
      <c r="E599" t="s">
        <v>25</v>
      </c>
      <c r="F599" t="s">
        <v>216</v>
      </c>
      <c r="G599" t="s">
        <v>110</v>
      </c>
      <c r="H599" t="s">
        <v>418</v>
      </c>
      <c r="I599" t="s">
        <v>620</v>
      </c>
      <c r="J599" t="s">
        <v>30</v>
      </c>
      <c r="K599">
        <v>49</v>
      </c>
      <c r="L599" t="s">
        <v>89</v>
      </c>
      <c r="M599">
        <v>120</v>
      </c>
      <c r="N599">
        <v>1</v>
      </c>
      <c r="O599">
        <v>9374.24</v>
      </c>
      <c r="P599" s="1">
        <v>45600.340243055558</v>
      </c>
      <c r="Q599">
        <v>17</v>
      </c>
      <c r="R599" t="s">
        <v>74</v>
      </c>
      <c r="S599">
        <v>-0.47808040360160797</v>
      </c>
      <c r="T599" t="b">
        <v>0</v>
      </c>
      <c r="U599" t="b">
        <v>0</v>
      </c>
      <c r="V599" t="b">
        <f t="shared" si="18"/>
        <v>1</v>
      </c>
      <c r="W599">
        <v>0</v>
      </c>
      <c r="Y599">
        <f t="shared" si="19"/>
        <v>0</v>
      </c>
    </row>
    <row r="600" spans="1:25" x14ac:dyDescent="0.3">
      <c r="A600" t="s">
        <v>1909</v>
      </c>
      <c r="B600" t="s">
        <v>164</v>
      </c>
      <c r="C600">
        <v>830.01</v>
      </c>
      <c r="D600" s="1">
        <v>45128.697210648148</v>
      </c>
      <c r="E600" t="s">
        <v>57</v>
      </c>
      <c r="F600" t="s">
        <v>278</v>
      </c>
      <c r="G600" t="s">
        <v>1910</v>
      </c>
      <c r="H600" t="s">
        <v>1911</v>
      </c>
      <c r="I600" t="s">
        <v>371</v>
      </c>
      <c r="J600" t="s">
        <v>45</v>
      </c>
      <c r="K600">
        <v>66</v>
      </c>
      <c r="L600" t="s">
        <v>82</v>
      </c>
      <c r="M600">
        <v>96</v>
      </c>
      <c r="N600">
        <v>1</v>
      </c>
      <c r="O600">
        <v>4253.18</v>
      </c>
      <c r="P600" s="1">
        <v>45600.341284722221</v>
      </c>
      <c r="Q600">
        <v>16</v>
      </c>
      <c r="R600" t="s">
        <v>54</v>
      </c>
      <c r="S600">
        <v>1.8236789621448899</v>
      </c>
      <c r="T600" t="b">
        <v>0</v>
      </c>
      <c r="U600" t="b">
        <v>0</v>
      </c>
      <c r="V600" t="b">
        <f t="shared" si="18"/>
        <v>1</v>
      </c>
      <c r="W600">
        <v>0</v>
      </c>
      <c r="Y600">
        <f t="shared" si="19"/>
        <v>0</v>
      </c>
    </row>
    <row r="601" spans="1:25" x14ac:dyDescent="0.3">
      <c r="A601" t="s">
        <v>1912</v>
      </c>
      <c r="B601" t="s">
        <v>1913</v>
      </c>
      <c r="C601">
        <v>435.5</v>
      </c>
      <c r="D601" s="1">
        <v>45061.77853009259</v>
      </c>
      <c r="E601" t="s">
        <v>25</v>
      </c>
      <c r="F601" t="s">
        <v>64</v>
      </c>
      <c r="G601" t="s">
        <v>369</v>
      </c>
      <c r="H601" t="s">
        <v>837</v>
      </c>
      <c r="I601" t="s">
        <v>194</v>
      </c>
      <c r="J601" t="s">
        <v>30</v>
      </c>
      <c r="K601">
        <v>55</v>
      </c>
      <c r="L601" t="s">
        <v>82</v>
      </c>
      <c r="M601">
        <v>112</v>
      </c>
      <c r="N601">
        <v>1</v>
      </c>
      <c r="O601">
        <v>6981.03</v>
      </c>
      <c r="P601" s="1">
        <v>45600.340046296296</v>
      </c>
      <c r="Q601">
        <v>18</v>
      </c>
      <c r="R601" t="s">
        <v>47</v>
      </c>
      <c r="S601">
        <v>0.47236854475675999</v>
      </c>
      <c r="T601" t="b">
        <v>0</v>
      </c>
      <c r="U601" t="b">
        <v>0</v>
      </c>
      <c r="V601" t="b">
        <f t="shared" si="18"/>
        <v>1</v>
      </c>
      <c r="W601">
        <v>0</v>
      </c>
      <c r="Y601">
        <f t="shared" si="19"/>
        <v>0</v>
      </c>
    </row>
    <row r="602" spans="1:25" x14ac:dyDescent="0.3">
      <c r="A602" t="s">
        <v>1914</v>
      </c>
      <c r="B602" t="s">
        <v>1915</v>
      </c>
      <c r="C602">
        <v>110.49</v>
      </c>
      <c r="D602" s="1">
        <v>45230.713043981479</v>
      </c>
      <c r="E602" t="s">
        <v>25</v>
      </c>
      <c r="F602" t="s">
        <v>50</v>
      </c>
      <c r="G602" t="s">
        <v>1916</v>
      </c>
      <c r="H602" t="s">
        <v>1670</v>
      </c>
      <c r="I602" t="s">
        <v>1537</v>
      </c>
      <c r="J602" t="s">
        <v>45</v>
      </c>
      <c r="K602">
        <v>57</v>
      </c>
      <c r="L602" t="s">
        <v>31</v>
      </c>
      <c r="M602">
        <v>48</v>
      </c>
      <c r="N602">
        <v>1</v>
      </c>
      <c r="O602">
        <v>10483.93</v>
      </c>
      <c r="P602" s="1">
        <v>45600.341898148145</v>
      </c>
      <c r="Q602">
        <v>17</v>
      </c>
      <c r="R602" t="s">
        <v>32</v>
      </c>
      <c r="S602">
        <v>-0.64088434808579897</v>
      </c>
      <c r="T602" t="b">
        <v>0</v>
      </c>
      <c r="U602" t="b">
        <v>0</v>
      </c>
      <c r="V602" t="b">
        <f t="shared" si="18"/>
        <v>1</v>
      </c>
      <c r="W602">
        <v>0</v>
      </c>
      <c r="Y602">
        <f t="shared" si="19"/>
        <v>0</v>
      </c>
    </row>
    <row r="603" spans="1:25" x14ac:dyDescent="0.3">
      <c r="A603" t="s">
        <v>1917</v>
      </c>
      <c r="B603" t="s">
        <v>1918</v>
      </c>
      <c r="C603">
        <v>329.4</v>
      </c>
      <c r="D603" s="1">
        <v>45285.687604166669</v>
      </c>
      <c r="E603" t="s">
        <v>25</v>
      </c>
      <c r="F603" t="s">
        <v>126</v>
      </c>
      <c r="G603" t="s">
        <v>1919</v>
      </c>
      <c r="H603" t="s">
        <v>1290</v>
      </c>
      <c r="I603" t="s">
        <v>123</v>
      </c>
      <c r="J603" t="s">
        <v>45</v>
      </c>
      <c r="K603">
        <v>34</v>
      </c>
      <c r="L603" t="s">
        <v>31</v>
      </c>
      <c r="M603">
        <v>68</v>
      </c>
      <c r="N603">
        <v>1</v>
      </c>
      <c r="O603">
        <v>9588.07</v>
      </c>
      <c r="P603" s="1">
        <v>45600.338831018518</v>
      </c>
      <c r="Q603">
        <v>16</v>
      </c>
      <c r="R603" t="s">
        <v>47</v>
      </c>
      <c r="S603">
        <v>0.108945474910922</v>
      </c>
      <c r="T603" t="b">
        <v>0</v>
      </c>
      <c r="U603" t="b">
        <v>0</v>
      </c>
      <c r="V603" t="b">
        <f t="shared" si="18"/>
        <v>1</v>
      </c>
      <c r="W603">
        <v>0</v>
      </c>
      <c r="Y603">
        <f t="shared" si="19"/>
        <v>0</v>
      </c>
    </row>
    <row r="604" spans="1:25" x14ac:dyDescent="0.3">
      <c r="A604" t="s">
        <v>1920</v>
      </c>
      <c r="B604" t="s">
        <v>864</v>
      </c>
      <c r="C604">
        <v>635.4</v>
      </c>
      <c r="D604" s="1">
        <v>45188.704861111109</v>
      </c>
      <c r="E604" t="s">
        <v>25</v>
      </c>
      <c r="F604" t="s">
        <v>126</v>
      </c>
      <c r="G604" t="s">
        <v>1740</v>
      </c>
      <c r="H604" t="s">
        <v>43</v>
      </c>
      <c r="I604" t="s">
        <v>775</v>
      </c>
      <c r="J604" t="s">
        <v>30</v>
      </c>
      <c r="K604">
        <v>47</v>
      </c>
      <c r="L604" t="s">
        <v>31</v>
      </c>
      <c r="M604">
        <v>106</v>
      </c>
      <c r="N604">
        <v>1</v>
      </c>
      <c r="O604">
        <v>1238.1099999999999</v>
      </c>
      <c r="P604" s="1">
        <v>45600.341493055559</v>
      </c>
      <c r="Q604">
        <v>16</v>
      </c>
      <c r="R604" t="s">
        <v>32</v>
      </c>
      <c r="S604">
        <v>1.1570836405360501</v>
      </c>
      <c r="T604" t="b">
        <v>0</v>
      </c>
      <c r="U604" t="b">
        <v>0</v>
      </c>
      <c r="V604" t="b">
        <f t="shared" si="18"/>
        <v>1</v>
      </c>
      <c r="W604">
        <v>0</v>
      </c>
      <c r="Y604">
        <f t="shared" si="19"/>
        <v>0</v>
      </c>
    </row>
    <row r="605" spans="1:25" x14ac:dyDescent="0.3">
      <c r="A605" t="s">
        <v>1921</v>
      </c>
      <c r="B605" t="s">
        <v>642</v>
      </c>
      <c r="C605">
        <v>769.97</v>
      </c>
      <c r="D605" s="1">
        <v>44973.789398148147</v>
      </c>
      <c r="E605" t="s">
        <v>25</v>
      </c>
      <c r="F605" t="s">
        <v>26</v>
      </c>
      <c r="G605" t="s">
        <v>1922</v>
      </c>
      <c r="H605" t="s">
        <v>1923</v>
      </c>
      <c r="I605" t="s">
        <v>720</v>
      </c>
      <c r="J605" t="s">
        <v>81</v>
      </c>
      <c r="K605">
        <v>22</v>
      </c>
      <c r="L605" t="s">
        <v>46</v>
      </c>
      <c r="M605">
        <v>23</v>
      </c>
      <c r="N605">
        <v>1</v>
      </c>
      <c r="O605">
        <v>1244.93</v>
      </c>
      <c r="P605" s="1">
        <v>45600.340173611112</v>
      </c>
      <c r="Q605">
        <v>18</v>
      </c>
      <c r="R605" t="s">
        <v>141</v>
      </c>
      <c r="S605">
        <v>1.6180246632424999</v>
      </c>
      <c r="T605" t="b">
        <v>0</v>
      </c>
      <c r="U605" t="b">
        <v>0</v>
      </c>
      <c r="V605" t="b">
        <f t="shared" si="18"/>
        <v>1</v>
      </c>
      <c r="W605">
        <v>0</v>
      </c>
      <c r="Y605">
        <f t="shared" si="19"/>
        <v>0</v>
      </c>
    </row>
    <row r="606" spans="1:25" x14ac:dyDescent="0.3">
      <c r="A606" t="s">
        <v>1924</v>
      </c>
      <c r="B606" t="s">
        <v>1630</v>
      </c>
      <c r="C606">
        <v>175.07</v>
      </c>
      <c r="D606" s="1">
        <v>45173.74050925926</v>
      </c>
      <c r="E606" t="s">
        <v>25</v>
      </c>
      <c r="F606" t="s">
        <v>534</v>
      </c>
      <c r="G606" t="s">
        <v>1925</v>
      </c>
      <c r="H606" t="s">
        <v>1926</v>
      </c>
      <c r="I606" t="s">
        <v>61</v>
      </c>
      <c r="J606" t="s">
        <v>81</v>
      </c>
      <c r="K606">
        <v>26</v>
      </c>
      <c r="L606" t="s">
        <v>46</v>
      </c>
      <c r="M606">
        <v>169</v>
      </c>
      <c r="N606">
        <v>1</v>
      </c>
      <c r="O606">
        <v>1040.25</v>
      </c>
      <c r="P606" s="1">
        <v>45600.339062500003</v>
      </c>
      <c r="Q606">
        <v>17</v>
      </c>
      <c r="R606" t="s">
        <v>47</v>
      </c>
      <c r="S606">
        <v>-0.41967924110517502</v>
      </c>
      <c r="T606" t="b">
        <v>0</v>
      </c>
      <c r="U606" t="b">
        <v>0</v>
      </c>
      <c r="V606" t="b">
        <f t="shared" si="18"/>
        <v>1</v>
      </c>
      <c r="W606">
        <v>0</v>
      </c>
      <c r="Y606">
        <f t="shared" si="19"/>
        <v>0</v>
      </c>
    </row>
    <row r="607" spans="1:25" x14ac:dyDescent="0.3">
      <c r="A607" t="s">
        <v>1927</v>
      </c>
      <c r="B607" t="s">
        <v>1928</v>
      </c>
      <c r="C607">
        <v>7.31</v>
      </c>
      <c r="D607" s="1">
        <v>45103.669571759259</v>
      </c>
      <c r="E607" t="s">
        <v>25</v>
      </c>
      <c r="F607" t="s">
        <v>159</v>
      </c>
      <c r="G607" t="s">
        <v>1929</v>
      </c>
      <c r="H607" t="s">
        <v>1930</v>
      </c>
      <c r="I607" t="s">
        <v>178</v>
      </c>
      <c r="J607" t="s">
        <v>81</v>
      </c>
      <c r="K607">
        <v>78</v>
      </c>
      <c r="L607" t="s">
        <v>82</v>
      </c>
      <c r="M607">
        <v>282</v>
      </c>
      <c r="N607">
        <v>1</v>
      </c>
      <c r="O607">
        <v>5757.67</v>
      </c>
      <c r="P607" s="1">
        <v>45600.338368055556</v>
      </c>
      <c r="Q607">
        <v>16</v>
      </c>
      <c r="R607" t="s">
        <v>47</v>
      </c>
      <c r="S607">
        <v>-0.994305576612599</v>
      </c>
      <c r="T607" t="b">
        <v>0</v>
      </c>
      <c r="U607" t="b">
        <v>0</v>
      </c>
      <c r="V607" t="b">
        <f t="shared" si="18"/>
        <v>1</v>
      </c>
      <c r="W607">
        <v>0</v>
      </c>
      <c r="Y607">
        <f t="shared" si="19"/>
        <v>0</v>
      </c>
    </row>
    <row r="608" spans="1:25" x14ac:dyDescent="0.3">
      <c r="A608" t="s">
        <v>1931</v>
      </c>
      <c r="B608" t="s">
        <v>814</v>
      </c>
      <c r="C608">
        <v>175.15</v>
      </c>
      <c r="D608" s="1">
        <v>45239.710196759261</v>
      </c>
      <c r="E608" t="s">
        <v>25</v>
      </c>
      <c r="F608" t="s">
        <v>85</v>
      </c>
      <c r="G608" t="s">
        <v>1932</v>
      </c>
      <c r="H608" t="s">
        <v>879</v>
      </c>
      <c r="I608" t="s">
        <v>290</v>
      </c>
      <c r="J608" t="s">
        <v>30</v>
      </c>
      <c r="K608">
        <v>27</v>
      </c>
      <c r="L608" t="s">
        <v>46</v>
      </c>
      <c r="M608">
        <v>32</v>
      </c>
      <c r="N608">
        <v>1</v>
      </c>
      <c r="O608">
        <v>1712.65</v>
      </c>
      <c r="P608" s="1">
        <v>45600.340104166666</v>
      </c>
      <c r="Q608">
        <v>17</v>
      </c>
      <c r="R608" t="s">
        <v>141</v>
      </c>
      <c r="S608">
        <v>-0.41940521805533898</v>
      </c>
      <c r="T608" t="b">
        <v>0</v>
      </c>
      <c r="U608" t="b">
        <v>0</v>
      </c>
      <c r="V608" t="b">
        <f t="shared" si="18"/>
        <v>1</v>
      </c>
      <c r="W608">
        <v>0</v>
      </c>
      <c r="Y608">
        <f t="shared" si="19"/>
        <v>0</v>
      </c>
    </row>
    <row r="609" spans="1:25" x14ac:dyDescent="0.3">
      <c r="A609" t="s">
        <v>1933</v>
      </c>
      <c r="B609" t="s">
        <v>97</v>
      </c>
      <c r="C609">
        <v>32.54</v>
      </c>
      <c r="D609" s="1">
        <v>45111.684432870374</v>
      </c>
      <c r="E609" t="s">
        <v>25</v>
      </c>
      <c r="F609" t="s">
        <v>64</v>
      </c>
      <c r="G609" t="s">
        <v>1442</v>
      </c>
      <c r="H609" t="s">
        <v>1934</v>
      </c>
      <c r="I609" t="s">
        <v>167</v>
      </c>
      <c r="J609" t="s">
        <v>45</v>
      </c>
      <c r="K609">
        <v>25</v>
      </c>
      <c r="L609" t="s">
        <v>46</v>
      </c>
      <c r="M609">
        <v>183</v>
      </c>
      <c r="N609">
        <v>4</v>
      </c>
      <c r="O609">
        <v>1544.88</v>
      </c>
      <c r="P609" s="1">
        <v>45600.338206018518</v>
      </c>
      <c r="Q609">
        <v>16</v>
      </c>
      <c r="R609" t="s">
        <v>32</v>
      </c>
      <c r="S609">
        <v>-0.90788555727037001</v>
      </c>
      <c r="T609" t="b">
        <v>0</v>
      </c>
      <c r="U609" t="b">
        <v>1</v>
      </c>
      <c r="V609" t="b">
        <f t="shared" si="18"/>
        <v>1</v>
      </c>
      <c r="W609">
        <v>1</v>
      </c>
      <c r="Y609">
        <f t="shared" si="19"/>
        <v>0</v>
      </c>
    </row>
    <row r="610" spans="1:25" x14ac:dyDescent="0.3">
      <c r="A610" t="s">
        <v>1935</v>
      </c>
      <c r="B610" t="s">
        <v>1839</v>
      </c>
      <c r="C610">
        <v>121.82</v>
      </c>
      <c r="D610" s="1">
        <v>45177.766828703701</v>
      </c>
      <c r="E610" t="s">
        <v>25</v>
      </c>
      <c r="F610" t="s">
        <v>336</v>
      </c>
      <c r="G610" t="s">
        <v>1779</v>
      </c>
      <c r="H610" t="s">
        <v>1243</v>
      </c>
      <c r="I610" t="s">
        <v>431</v>
      </c>
      <c r="J610" t="s">
        <v>45</v>
      </c>
      <c r="K610">
        <v>60</v>
      </c>
      <c r="L610" t="s">
        <v>31</v>
      </c>
      <c r="M610">
        <v>119</v>
      </c>
      <c r="N610">
        <v>1</v>
      </c>
      <c r="O610">
        <v>13293.83</v>
      </c>
      <c r="P610" s="1">
        <v>45600.341319444444</v>
      </c>
      <c r="Q610">
        <v>18</v>
      </c>
      <c r="R610" t="s">
        <v>54</v>
      </c>
      <c r="S610">
        <v>-0.60207583365268602</v>
      </c>
      <c r="T610" t="b">
        <v>0</v>
      </c>
      <c r="U610" t="b">
        <v>0</v>
      </c>
      <c r="V610" t="b">
        <f t="shared" si="18"/>
        <v>1</v>
      </c>
      <c r="W610">
        <v>0</v>
      </c>
      <c r="Y610">
        <f t="shared" si="19"/>
        <v>0</v>
      </c>
    </row>
    <row r="611" spans="1:25" x14ac:dyDescent="0.3">
      <c r="A611" t="s">
        <v>1936</v>
      </c>
      <c r="B611" t="s">
        <v>909</v>
      </c>
      <c r="C611">
        <v>56.12</v>
      </c>
      <c r="D611" s="1">
        <v>45182.78466435185</v>
      </c>
      <c r="E611" t="s">
        <v>25</v>
      </c>
      <c r="F611" t="s">
        <v>519</v>
      </c>
      <c r="G611" t="s">
        <v>1937</v>
      </c>
      <c r="H611" t="s">
        <v>1938</v>
      </c>
      <c r="I611" t="s">
        <v>487</v>
      </c>
      <c r="J611" t="s">
        <v>30</v>
      </c>
      <c r="K611">
        <v>30</v>
      </c>
      <c r="L611" t="s">
        <v>31</v>
      </c>
      <c r="M611">
        <v>102</v>
      </c>
      <c r="N611">
        <v>1</v>
      </c>
      <c r="O611">
        <v>8839.67</v>
      </c>
      <c r="P611" s="1">
        <v>45600.339930555558</v>
      </c>
      <c r="Q611">
        <v>18</v>
      </c>
      <c r="R611" t="s">
        <v>74</v>
      </c>
      <c r="S611">
        <v>-0.82711726333102198</v>
      </c>
      <c r="T611" t="b">
        <v>0</v>
      </c>
      <c r="U611" t="b">
        <v>0</v>
      </c>
      <c r="V611" t="b">
        <f t="shared" si="18"/>
        <v>1</v>
      </c>
      <c r="W611">
        <v>0</v>
      </c>
      <c r="Y611">
        <f t="shared" si="19"/>
        <v>0</v>
      </c>
    </row>
    <row r="612" spans="1:25" x14ac:dyDescent="0.3">
      <c r="A612" t="s">
        <v>1939</v>
      </c>
      <c r="B612" t="s">
        <v>1940</v>
      </c>
      <c r="C612">
        <v>424.7</v>
      </c>
      <c r="D612" s="1">
        <v>44956.734189814815</v>
      </c>
      <c r="E612" t="s">
        <v>57</v>
      </c>
      <c r="F612" t="s">
        <v>185</v>
      </c>
      <c r="G612" t="s">
        <v>1941</v>
      </c>
      <c r="H612" t="s">
        <v>1942</v>
      </c>
      <c r="I612" t="s">
        <v>431</v>
      </c>
      <c r="J612" t="s">
        <v>45</v>
      </c>
      <c r="K612">
        <v>56</v>
      </c>
      <c r="L612" t="s">
        <v>82</v>
      </c>
      <c r="M612">
        <v>178</v>
      </c>
      <c r="N612">
        <v>1</v>
      </c>
      <c r="O612">
        <v>6239.89</v>
      </c>
      <c r="P612" s="1">
        <v>45600.339178240742</v>
      </c>
      <c r="Q612">
        <v>17</v>
      </c>
      <c r="R612" t="s">
        <v>47</v>
      </c>
      <c r="S612">
        <v>0.43537543302881399</v>
      </c>
      <c r="T612" t="b">
        <v>0</v>
      </c>
      <c r="U612" t="b">
        <v>0</v>
      </c>
      <c r="V612" t="b">
        <f t="shared" si="18"/>
        <v>1</v>
      </c>
      <c r="W612">
        <v>0</v>
      </c>
      <c r="Y612">
        <f t="shared" si="19"/>
        <v>0</v>
      </c>
    </row>
    <row r="613" spans="1:25" x14ac:dyDescent="0.3">
      <c r="A613" t="s">
        <v>1943</v>
      </c>
      <c r="B613" t="s">
        <v>143</v>
      </c>
      <c r="C613">
        <v>35.159999999999997</v>
      </c>
      <c r="D613" s="1">
        <v>45224.743321759262</v>
      </c>
      <c r="E613" t="s">
        <v>25</v>
      </c>
      <c r="F613" t="s">
        <v>278</v>
      </c>
      <c r="G613" t="s">
        <v>1944</v>
      </c>
      <c r="H613" t="s">
        <v>1569</v>
      </c>
      <c r="I613" t="s">
        <v>188</v>
      </c>
      <c r="J613" t="s">
        <v>81</v>
      </c>
      <c r="K613">
        <v>32</v>
      </c>
      <c r="L613" t="s">
        <v>89</v>
      </c>
      <c r="M613">
        <v>130</v>
      </c>
      <c r="N613">
        <v>1</v>
      </c>
      <c r="O613">
        <v>8459.18</v>
      </c>
      <c r="P613" s="1">
        <v>45600.340671296297</v>
      </c>
      <c r="Q613">
        <v>17</v>
      </c>
      <c r="R613" t="s">
        <v>74</v>
      </c>
      <c r="S613">
        <v>-0.89891130238822103</v>
      </c>
      <c r="T613" t="b">
        <v>0</v>
      </c>
      <c r="U613" t="b">
        <v>0</v>
      </c>
      <c r="V613" t="b">
        <f t="shared" si="18"/>
        <v>1</v>
      </c>
      <c r="W613">
        <v>0</v>
      </c>
      <c r="Y613">
        <f t="shared" si="19"/>
        <v>0</v>
      </c>
    </row>
    <row r="614" spans="1:25" x14ac:dyDescent="0.3">
      <c r="A614" t="s">
        <v>1945</v>
      </c>
      <c r="B614" t="s">
        <v>484</v>
      </c>
      <c r="C614">
        <v>35.729999999999997</v>
      </c>
      <c r="D614" s="1">
        <v>45089.70003472222</v>
      </c>
      <c r="E614" t="s">
        <v>25</v>
      </c>
      <c r="F614" t="s">
        <v>185</v>
      </c>
      <c r="G614" t="s">
        <v>1274</v>
      </c>
      <c r="H614" t="s">
        <v>891</v>
      </c>
      <c r="I614" t="s">
        <v>178</v>
      </c>
      <c r="J614" t="s">
        <v>81</v>
      </c>
      <c r="K614">
        <v>65</v>
      </c>
      <c r="L614" t="s">
        <v>31</v>
      </c>
      <c r="M614">
        <v>87</v>
      </c>
      <c r="N614">
        <v>1</v>
      </c>
      <c r="O614">
        <v>9073.17</v>
      </c>
      <c r="P614" s="1">
        <v>45600.34107638889</v>
      </c>
      <c r="Q614">
        <v>16</v>
      </c>
      <c r="R614" t="s">
        <v>47</v>
      </c>
      <c r="S614">
        <v>-0.89695888815813496</v>
      </c>
      <c r="T614" t="b">
        <v>0</v>
      </c>
      <c r="U614" t="b">
        <v>0</v>
      </c>
      <c r="V614" t="b">
        <f t="shared" si="18"/>
        <v>1</v>
      </c>
      <c r="W614">
        <v>0</v>
      </c>
      <c r="Y614">
        <f t="shared" si="19"/>
        <v>0</v>
      </c>
    </row>
    <row r="615" spans="1:25" x14ac:dyDescent="0.3">
      <c r="A615" t="s">
        <v>1946</v>
      </c>
      <c r="B615" t="s">
        <v>1947</v>
      </c>
      <c r="C615">
        <v>3.44</v>
      </c>
      <c r="D615" s="1">
        <v>44945.725347222222</v>
      </c>
      <c r="E615" t="s">
        <v>25</v>
      </c>
      <c r="F615" t="s">
        <v>170</v>
      </c>
      <c r="G615" t="s">
        <v>1948</v>
      </c>
      <c r="H615" t="s">
        <v>596</v>
      </c>
      <c r="I615" t="s">
        <v>445</v>
      </c>
      <c r="J615" t="s">
        <v>30</v>
      </c>
      <c r="K615">
        <v>78</v>
      </c>
      <c r="L615" t="s">
        <v>82</v>
      </c>
      <c r="M615">
        <v>108</v>
      </c>
      <c r="N615">
        <v>1</v>
      </c>
      <c r="O615">
        <v>7561.33</v>
      </c>
      <c r="P615" s="1">
        <v>45600.341898148145</v>
      </c>
      <c r="Q615">
        <v>17</v>
      </c>
      <c r="R615" t="s">
        <v>141</v>
      </c>
      <c r="S615">
        <v>-1.00756144164844</v>
      </c>
      <c r="T615" t="b">
        <v>0</v>
      </c>
      <c r="U615" t="b">
        <v>0</v>
      </c>
      <c r="V615" t="b">
        <f t="shared" si="18"/>
        <v>1</v>
      </c>
      <c r="W615">
        <v>0</v>
      </c>
      <c r="Y615">
        <f t="shared" si="19"/>
        <v>0</v>
      </c>
    </row>
    <row r="616" spans="1:25" x14ac:dyDescent="0.3">
      <c r="A616" t="s">
        <v>1949</v>
      </c>
      <c r="B616" t="s">
        <v>1185</v>
      </c>
      <c r="C616">
        <v>1342.25</v>
      </c>
      <c r="D616" s="1">
        <v>45044.758275462962</v>
      </c>
      <c r="E616" t="s">
        <v>57</v>
      </c>
      <c r="F616" t="s">
        <v>170</v>
      </c>
      <c r="G616" t="s">
        <v>1950</v>
      </c>
      <c r="H616" t="s">
        <v>934</v>
      </c>
      <c r="I616" t="s">
        <v>431</v>
      </c>
      <c r="J616" t="s">
        <v>81</v>
      </c>
      <c r="K616">
        <v>21</v>
      </c>
      <c r="L616" t="s">
        <v>46</v>
      </c>
      <c r="M616">
        <v>235</v>
      </c>
      <c r="N616">
        <v>1</v>
      </c>
      <c r="O616">
        <v>694.03</v>
      </c>
      <c r="P616" s="1">
        <v>45600.338888888888</v>
      </c>
      <c r="Q616">
        <v>18</v>
      </c>
      <c r="R616" t="s">
        <v>54</v>
      </c>
      <c r="S616">
        <v>3.5782485502488699</v>
      </c>
      <c r="T616" t="b">
        <v>1</v>
      </c>
      <c r="U616" t="b">
        <v>0</v>
      </c>
      <c r="V616" t="b">
        <f t="shared" si="18"/>
        <v>1</v>
      </c>
      <c r="W616">
        <v>1</v>
      </c>
      <c r="Y616">
        <f t="shared" si="19"/>
        <v>1</v>
      </c>
    </row>
    <row r="617" spans="1:25" x14ac:dyDescent="0.3">
      <c r="A617" t="s">
        <v>1951</v>
      </c>
      <c r="B617" t="s">
        <v>136</v>
      </c>
      <c r="C617">
        <v>139.03</v>
      </c>
      <c r="D617" s="1">
        <v>45168.750104166669</v>
      </c>
      <c r="E617" t="s">
        <v>57</v>
      </c>
      <c r="F617" t="s">
        <v>153</v>
      </c>
      <c r="G617" t="s">
        <v>1952</v>
      </c>
      <c r="H617" t="s">
        <v>1926</v>
      </c>
      <c r="I617" t="s">
        <v>605</v>
      </c>
      <c r="J617" t="s">
        <v>45</v>
      </c>
      <c r="K617">
        <v>50</v>
      </c>
      <c r="L617" t="s">
        <v>89</v>
      </c>
      <c r="M617">
        <v>81</v>
      </c>
      <c r="N617">
        <v>1</v>
      </c>
      <c r="O617">
        <v>2276.5700000000002</v>
      </c>
      <c r="P617" s="1">
        <v>45600.341307870367</v>
      </c>
      <c r="Q617">
        <v>18</v>
      </c>
      <c r="R617" t="s">
        <v>74</v>
      </c>
      <c r="S617">
        <v>-0.54312662505657905</v>
      </c>
      <c r="T617" t="b">
        <v>0</v>
      </c>
      <c r="U617" t="b">
        <v>0</v>
      </c>
      <c r="V617" t="b">
        <f t="shared" si="18"/>
        <v>1</v>
      </c>
      <c r="W617">
        <v>0</v>
      </c>
      <c r="Y617">
        <f t="shared" si="19"/>
        <v>0</v>
      </c>
    </row>
    <row r="618" spans="1:25" x14ac:dyDescent="0.3">
      <c r="A618" t="s">
        <v>1953</v>
      </c>
      <c r="B618" t="s">
        <v>1098</v>
      </c>
      <c r="C618">
        <v>254.92</v>
      </c>
      <c r="D618" s="1">
        <v>45187.66951388889</v>
      </c>
      <c r="E618" t="s">
        <v>57</v>
      </c>
      <c r="F618" t="s">
        <v>250</v>
      </c>
      <c r="G618" t="s">
        <v>1954</v>
      </c>
      <c r="H618" t="s">
        <v>857</v>
      </c>
      <c r="I618" t="s">
        <v>344</v>
      </c>
      <c r="J618" t="s">
        <v>30</v>
      </c>
      <c r="K618">
        <v>28</v>
      </c>
      <c r="L618" t="s">
        <v>89</v>
      </c>
      <c r="M618">
        <v>169</v>
      </c>
      <c r="N618">
        <v>1</v>
      </c>
      <c r="O618">
        <v>2791.12</v>
      </c>
      <c r="P618" s="1">
        <v>45600.338402777779</v>
      </c>
      <c r="Q618">
        <v>16</v>
      </c>
      <c r="R618" t="s">
        <v>47</v>
      </c>
      <c r="S618">
        <v>-0.14616998448698401</v>
      </c>
      <c r="T618" t="b">
        <v>0</v>
      </c>
      <c r="U618" t="b">
        <v>0</v>
      </c>
      <c r="V618" t="b">
        <f t="shared" si="18"/>
        <v>1</v>
      </c>
      <c r="W618">
        <v>0</v>
      </c>
      <c r="Y618">
        <f t="shared" si="19"/>
        <v>0</v>
      </c>
    </row>
    <row r="619" spans="1:25" x14ac:dyDescent="0.3">
      <c r="A619" t="s">
        <v>1955</v>
      </c>
      <c r="B619" t="s">
        <v>1079</v>
      </c>
      <c r="C619">
        <v>115.11</v>
      </c>
      <c r="D619" s="1">
        <v>45051.732199074075</v>
      </c>
      <c r="E619" t="s">
        <v>25</v>
      </c>
      <c r="F619" t="s">
        <v>98</v>
      </c>
      <c r="G619" t="s">
        <v>1729</v>
      </c>
      <c r="H619" t="s">
        <v>1956</v>
      </c>
      <c r="I619" t="s">
        <v>1362</v>
      </c>
      <c r="J619" t="s">
        <v>45</v>
      </c>
      <c r="K619">
        <v>28</v>
      </c>
      <c r="L619" t="s">
        <v>89</v>
      </c>
      <c r="M619">
        <v>139</v>
      </c>
      <c r="N619">
        <v>1</v>
      </c>
      <c r="O619">
        <v>9808.9699999999993</v>
      </c>
      <c r="P619" s="1">
        <v>45600.340486111112</v>
      </c>
      <c r="Q619">
        <v>17</v>
      </c>
      <c r="R619" t="s">
        <v>54</v>
      </c>
      <c r="S619">
        <v>-0.62505951695773299</v>
      </c>
      <c r="T619" t="b">
        <v>0</v>
      </c>
      <c r="U619" t="b">
        <v>0</v>
      </c>
      <c r="V619" t="b">
        <f t="shared" si="18"/>
        <v>1</v>
      </c>
      <c r="W619">
        <v>0</v>
      </c>
      <c r="Y619">
        <f t="shared" si="19"/>
        <v>0</v>
      </c>
    </row>
    <row r="620" spans="1:25" x14ac:dyDescent="0.3">
      <c r="A620" t="s">
        <v>1957</v>
      </c>
      <c r="B620" t="s">
        <v>529</v>
      </c>
      <c r="C620">
        <v>171.11</v>
      </c>
      <c r="D620" s="1">
        <v>45061.703055555554</v>
      </c>
      <c r="E620" t="s">
        <v>25</v>
      </c>
      <c r="F620" t="s">
        <v>225</v>
      </c>
      <c r="G620" t="s">
        <v>1958</v>
      </c>
      <c r="H620" t="s">
        <v>187</v>
      </c>
      <c r="I620" t="s">
        <v>833</v>
      </c>
      <c r="J620" t="s">
        <v>30</v>
      </c>
      <c r="K620">
        <v>57</v>
      </c>
      <c r="L620" t="s">
        <v>82</v>
      </c>
      <c r="M620">
        <v>171</v>
      </c>
      <c r="N620">
        <v>1</v>
      </c>
      <c r="O620">
        <v>6324.09</v>
      </c>
      <c r="P620" s="1">
        <v>45600.33935185185</v>
      </c>
      <c r="Q620">
        <v>16</v>
      </c>
      <c r="R620" t="s">
        <v>47</v>
      </c>
      <c r="S620">
        <v>-0.43324338207208901</v>
      </c>
      <c r="T620" t="b">
        <v>0</v>
      </c>
      <c r="U620" t="b">
        <v>0</v>
      </c>
      <c r="V620" t="b">
        <f t="shared" si="18"/>
        <v>1</v>
      </c>
      <c r="W620">
        <v>0</v>
      </c>
      <c r="Y620">
        <f t="shared" si="19"/>
        <v>0</v>
      </c>
    </row>
    <row r="621" spans="1:25" x14ac:dyDescent="0.3">
      <c r="A621" t="s">
        <v>1959</v>
      </c>
      <c r="B621" t="s">
        <v>918</v>
      </c>
      <c r="C621">
        <v>168.54</v>
      </c>
      <c r="D621" s="1">
        <v>44959.675844907404</v>
      </c>
      <c r="E621" t="s">
        <v>25</v>
      </c>
      <c r="F621" t="s">
        <v>64</v>
      </c>
      <c r="G621" t="s">
        <v>1960</v>
      </c>
      <c r="H621" t="s">
        <v>1961</v>
      </c>
      <c r="I621" t="s">
        <v>344</v>
      </c>
      <c r="J621" t="s">
        <v>30</v>
      </c>
      <c r="K621">
        <v>70</v>
      </c>
      <c r="L621" t="s">
        <v>31</v>
      </c>
      <c r="M621">
        <v>142</v>
      </c>
      <c r="N621">
        <v>2</v>
      </c>
      <c r="O621">
        <v>13406</v>
      </c>
      <c r="P621" s="1">
        <v>45600.339050925926</v>
      </c>
      <c r="Q621">
        <v>16</v>
      </c>
      <c r="R621" t="s">
        <v>141</v>
      </c>
      <c r="S621">
        <v>-0.44204637254809098</v>
      </c>
      <c r="T621" t="b">
        <v>0</v>
      </c>
      <c r="U621" t="b">
        <v>1</v>
      </c>
      <c r="V621" t="b">
        <f t="shared" si="18"/>
        <v>1</v>
      </c>
      <c r="W621">
        <v>1</v>
      </c>
      <c r="Y621">
        <f t="shared" si="19"/>
        <v>0</v>
      </c>
    </row>
    <row r="622" spans="1:25" x14ac:dyDescent="0.3">
      <c r="A622" t="s">
        <v>1962</v>
      </c>
      <c r="B622" t="s">
        <v>1783</v>
      </c>
      <c r="C622">
        <v>420.76</v>
      </c>
      <c r="D622" s="1">
        <v>44980.669849537036</v>
      </c>
      <c r="E622" t="s">
        <v>25</v>
      </c>
      <c r="F622" t="s">
        <v>185</v>
      </c>
      <c r="G622" t="s">
        <v>1963</v>
      </c>
      <c r="H622" t="s">
        <v>1322</v>
      </c>
      <c r="I622" t="s">
        <v>67</v>
      </c>
      <c r="J622" t="s">
        <v>81</v>
      </c>
      <c r="K622">
        <v>51</v>
      </c>
      <c r="L622" t="s">
        <v>82</v>
      </c>
      <c r="M622">
        <v>76</v>
      </c>
      <c r="N622">
        <v>1</v>
      </c>
      <c r="O622">
        <v>6581.55</v>
      </c>
      <c r="P622" s="1">
        <v>45600.339328703703</v>
      </c>
      <c r="Q622">
        <v>16</v>
      </c>
      <c r="R622" t="s">
        <v>141</v>
      </c>
      <c r="S622">
        <v>0.42187979782436003</v>
      </c>
      <c r="T622" t="b">
        <v>0</v>
      </c>
      <c r="U622" t="b">
        <v>0</v>
      </c>
      <c r="V622" t="b">
        <f t="shared" si="18"/>
        <v>1</v>
      </c>
      <c r="W622">
        <v>0</v>
      </c>
      <c r="Y622">
        <f t="shared" si="19"/>
        <v>0</v>
      </c>
    </row>
    <row r="623" spans="1:25" x14ac:dyDescent="0.3">
      <c r="A623" t="s">
        <v>1964</v>
      </c>
      <c r="B623" t="s">
        <v>1219</v>
      </c>
      <c r="C623">
        <v>408.46</v>
      </c>
      <c r="D623" s="1">
        <v>44986.67900462963</v>
      </c>
      <c r="E623" t="s">
        <v>25</v>
      </c>
      <c r="F623" t="s">
        <v>50</v>
      </c>
      <c r="G623" t="s">
        <v>1965</v>
      </c>
      <c r="H623" t="s">
        <v>1966</v>
      </c>
      <c r="I623" t="s">
        <v>720</v>
      </c>
      <c r="J623" t="s">
        <v>81</v>
      </c>
      <c r="K623">
        <v>64</v>
      </c>
      <c r="L623" t="s">
        <v>82</v>
      </c>
      <c r="M623">
        <v>28</v>
      </c>
      <c r="N623">
        <v>1</v>
      </c>
      <c r="O623">
        <v>3140.79</v>
      </c>
      <c r="P623" s="1">
        <v>45600.339120370372</v>
      </c>
      <c r="Q623">
        <v>16</v>
      </c>
      <c r="R623" t="s">
        <v>74</v>
      </c>
      <c r="S623">
        <v>0.37974875391197699</v>
      </c>
      <c r="T623" t="b">
        <v>0</v>
      </c>
      <c r="U623" t="b">
        <v>0</v>
      </c>
      <c r="V623" t="b">
        <f t="shared" si="18"/>
        <v>1</v>
      </c>
      <c r="W623">
        <v>0</v>
      </c>
      <c r="Y623">
        <f t="shared" si="19"/>
        <v>0</v>
      </c>
    </row>
    <row r="624" spans="1:25" x14ac:dyDescent="0.3">
      <c r="A624" t="s">
        <v>1967</v>
      </c>
      <c r="B624" t="s">
        <v>1968</v>
      </c>
      <c r="C624">
        <v>1162.42</v>
      </c>
      <c r="D624" s="1">
        <v>45161.691458333335</v>
      </c>
      <c r="E624" t="s">
        <v>57</v>
      </c>
      <c r="F624" t="s">
        <v>85</v>
      </c>
      <c r="G624" t="s">
        <v>1969</v>
      </c>
      <c r="H624" t="s">
        <v>506</v>
      </c>
      <c r="I624" t="s">
        <v>44</v>
      </c>
      <c r="J624" t="s">
        <v>45</v>
      </c>
      <c r="K624">
        <v>30</v>
      </c>
      <c r="L624" t="s">
        <v>31</v>
      </c>
      <c r="M624">
        <v>45</v>
      </c>
      <c r="N624">
        <v>1</v>
      </c>
      <c r="O624">
        <v>10357.26</v>
      </c>
      <c r="P624" s="1">
        <v>45600.339687500003</v>
      </c>
      <c r="Q624">
        <v>16</v>
      </c>
      <c r="R624" t="s">
        <v>74</v>
      </c>
      <c r="S624">
        <v>2.9622789870973398</v>
      </c>
      <c r="T624" t="b">
        <v>1</v>
      </c>
      <c r="U624" t="b">
        <v>0</v>
      </c>
      <c r="V624" t="b">
        <f t="shared" si="18"/>
        <v>1</v>
      </c>
      <c r="W624">
        <v>1</v>
      </c>
      <c r="Y624">
        <f t="shared" si="19"/>
        <v>1</v>
      </c>
    </row>
    <row r="625" spans="1:25" x14ac:dyDescent="0.3">
      <c r="A625" t="s">
        <v>1970</v>
      </c>
      <c r="B625" t="s">
        <v>1600</v>
      </c>
      <c r="C625">
        <v>342.17</v>
      </c>
      <c r="D625" s="1">
        <v>45274.673402777778</v>
      </c>
      <c r="E625" t="s">
        <v>57</v>
      </c>
      <c r="F625" t="s">
        <v>216</v>
      </c>
      <c r="G625" t="s">
        <v>1971</v>
      </c>
      <c r="H625" t="s">
        <v>946</v>
      </c>
      <c r="I625" t="s">
        <v>463</v>
      </c>
      <c r="J625" t="s">
        <v>81</v>
      </c>
      <c r="K625">
        <v>21</v>
      </c>
      <c r="L625" t="s">
        <v>46</v>
      </c>
      <c r="M625">
        <v>247</v>
      </c>
      <c r="N625">
        <v>1</v>
      </c>
      <c r="O625">
        <v>461.83</v>
      </c>
      <c r="P625" s="1">
        <v>45600.339259259257</v>
      </c>
      <c r="Q625">
        <v>16</v>
      </c>
      <c r="R625" t="s">
        <v>141</v>
      </c>
      <c r="S625">
        <v>0.152686404241095</v>
      </c>
      <c r="T625" t="b">
        <v>0</v>
      </c>
      <c r="U625" t="b">
        <v>0</v>
      </c>
      <c r="V625" t="b">
        <f t="shared" si="18"/>
        <v>1</v>
      </c>
      <c r="W625">
        <v>0</v>
      </c>
      <c r="Y625">
        <f t="shared" si="19"/>
        <v>0</v>
      </c>
    </row>
    <row r="626" spans="1:25" x14ac:dyDescent="0.3">
      <c r="A626" t="s">
        <v>1972</v>
      </c>
      <c r="B626" t="s">
        <v>358</v>
      </c>
      <c r="C626">
        <v>580.71</v>
      </c>
      <c r="D626" s="1">
        <v>45189.692916666667</v>
      </c>
      <c r="E626" t="s">
        <v>25</v>
      </c>
      <c r="F626" t="s">
        <v>256</v>
      </c>
      <c r="G626" t="s">
        <v>941</v>
      </c>
      <c r="H626" t="s">
        <v>1973</v>
      </c>
      <c r="I626" t="s">
        <v>259</v>
      </c>
      <c r="J626" t="s">
        <v>30</v>
      </c>
      <c r="K626">
        <v>53</v>
      </c>
      <c r="L626" t="s">
        <v>89</v>
      </c>
      <c r="M626">
        <v>95</v>
      </c>
      <c r="N626">
        <v>1</v>
      </c>
      <c r="O626">
        <v>5670</v>
      </c>
      <c r="P626" s="1">
        <v>45600.340902777774</v>
      </c>
      <c r="Q626">
        <v>16</v>
      </c>
      <c r="R626" t="s">
        <v>74</v>
      </c>
      <c r="S626">
        <v>0.96975463309148202</v>
      </c>
      <c r="T626" t="b">
        <v>0</v>
      </c>
      <c r="U626" t="b">
        <v>0</v>
      </c>
      <c r="V626" t="b">
        <f t="shared" si="18"/>
        <v>1</v>
      </c>
      <c r="W626">
        <v>0</v>
      </c>
      <c r="Y626">
        <f t="shared" si="19"/>
        <v>0</v>
      </c>
    </row>
    <row r="627" spans="1:25" x14ac:dyDescent="0.3">
      <c r="A627" t="s">
        <v>1974</v>
      </c>
      <c r="B627" t="s">
        <v>897</v>
      </c>
      <c r="C627">
        <v>821.54</v>
      </c>
      <c r="D627" s="1">
        <v>45160.757824074077</v>
      </c>
      <c r="E627" t="s">
        <v>57</v>
      </c>
      <c r="F627" t="s">
        <v>58</v>
      </c>
      <c r="G627" t="s">
        <v>165</v>
      </c>
      <c r="H627" t="s">
        <v>1975</v>
      </c>
      <c r="I627" t="s">
        <v>265</v>
      </c>
      <c r="J627" t="s">
        <v>81</v>
      </c>
      <c r="K627">
        <v>79</v>
      </c>
      <c r="L627" t="s">
        <v>82</v>
      </c>
      <c r="M627">
        <v>36</v>
      </c>
      <c r="N627">
        <v>1</v>
      </c>
      <c r="O627">
        <v>4040.32</v>
      </c>
      <c r="P627" s="1">
        <v>45600.341631944444</v>
      </c>
      <c r="Q627">
        <v>18</v>
      </c>
      <c r="R627" t="s">
        <v>32</v>
      </c>
      <c r="S627">
        <v>1.7946667717434399</v>
      </c>
      <c r="T627" t="b">
        <v>0</v>
      </c>
      <c r="U627" t="b">
        <v>0</v>
      </c>
      <c r="V627" t="b">
        <f t="shared" si="18"/>
        <v>1</v>
      </c>
      <c r="W627">
        <v>0</v>
      </c>
      <c r="Y627">
        <f t="shared" si="19"/>
        <v>0</v>
      </c>
    </row>
    <row r="628" spans="1:25" x14ac:dyDescent="0.3">
      <c r="A628" t="s">
        <v>1976</v>
      </c>
      <c r="B628" t="s">
        <v>1109</v>
      </c>
      <c r="C628">
        <v>253.47</v>
      </c>
      <c r="D628" s="1">
        <v>45091.713287037041</v>
      </c>
      <c r="E628" t="s">
        <v>25</v>
      </c>
      <c r="F628" t="s">
        <v>58</v>
      </c>
      <c r="G628" t="s">
        <v>1074</v>
      </c>
      <c r="H628" t="s">
        <v>181</v>
      </c>
      <c r="I628" t="s">
        <v>556</v>
      </c>
      <c r="J628" t="s">
        <v>81</v>
      </c>
      <c r="K628">
        <v>20</v>
      </c>
      <c r="L628" t="s">
        <v>46</v>
      </c>
      <c r="M628">
        <v>238</v>
      </c>
      <c r="N628">
        <v>1</v>
      </c>
      <c r="O628">
        <v>220.51</v>
      </c>
      <c r="P628" s="1">
        <v>45600.33902777778</v>
      </c>
      <c r="Q628">
        <v>17</v>
      </c>
      <c r="R628" t="s">
        <v>74</v>
      </c>
      <c r="S628">
        <v>-0.15113665226527301</v>
      </c>
      <c r="T628" t="b">
        <v>0</v>
      </c>
      <c r="U628" t="b">
        <v>0</v>
      </c>
      <c r="V628" t="b">
        <f t="shared" si="18"/>
        <v>1</v>
      </c>
      <c r="W628">
        <v>0</v>
      </c>
      <c r="Y628">
        <f t="shared" si="19"/>
        <v>0</v>
      </c>
    </row>
    <row r="629" spans="1:25" x14ac:dyDescent="0.3">
      <c r="A629" t="s">
        <v>1977</v>
      </c>
      <c r="B629" t="s">
        <v>670</v>
      </c>
      <c r="C629">
        <v>22.81</v>
      </c>
      <c r="D629" s="1">
        <v>45075.745173611111</v>
      </c>
      <c r="E629" t="s">
        <v>25</v>
      </c>
      <c r="F629" t="s">
        <v>216</v>
      </c>
      <c r="G629" t="s">
        <v>1978</v>
      </c>
      <c r="H629" t="s">
        <v>329</v>
      </c>
      <c r="I629" t="s">
        <v>173</v>
      </c>
      <c r="J629" t="s">
        <v>45</v>
      </c>
      <c r="K629">
        <v>62</v>
      </c>
      <c r="L629" t="s">
        <v>82</v>
      </c>
      <c r="M629">
        <v>75</v>
      </c>
      <c r="N629">
        <v>1</v>
      </c>
      <c r="O629">
        <v>3634.76</v>
      </c>
      <c r="P629" s="1">
        <v>45600.338877314818</v>
      </c>
      <c r="Q629">
        <v>17</v>
      </c>
      <c r="R629" t="s">
        <v>47</v>
      </c>
      <c r="S629">
        <v>-0.94121361070675102</v>
      </c>
      <c r="T629" t="b">
        <v>0</v>
      </c>
      <c r="U629" t="b">
        <v>0</v>
      </c>
      <c r="V629" t="b">
        <f t="shared" si="18"/>
        <v>1</v>
      </c>
      <c r="W629">
        <v>0</v>
      </c>
      <c r="Y629">
        <f t="shared" si="19"/>
        <v>0</v>
      </c>
    </row>
    <row r="630" spans="1:25" x14ac:dyDescent="0.3">
      <c r="A630" t="s">
        <v>1979</v>
      </c>
      <c r="B630" t="s">
        <v>598</v>
      </c>
      <c r="C630">
        <v>266.57</v>
      </c>
      <c r="D630" s="1">
        <v>45110.74790509259</v>
      </c>
      <c r="E630" t="s">
        <v>57</v>
      </c>
      <c r="F630" t="s">
        <v>401</v>
      </c>
      <c r="G630" t="s">
        <v>1980</v>
      </c>
      <c r="H630" t="s">
        <v>1981</v>
      </c>
      <c r="I630" t="s">
        <v>620</v>
      </c>
      <c r="J630" t="s">
        <v>45</v>
      </c>
      <c r="K630">
        <v>39</v>
      </c>
      <c r="L630" t="s">
        <v>89</v>
      </c>
      <c r="M630">
        <v>96</v>
      </c>
      <c r="N630">
        <v>1</v>
      </c>
      <c r="O630">
        <v>7180.48</v>
      </c>
      <c r="P630" s="1">
        <v>45600.338310185187</v>
      </c>
      <c r="Q630">
        <v>17</v>
      </c>
      <c r="R630" t="s">
        <v>47</v>
      </c>
      <c r="S630">
        <v>-0.106265377854524</v>
      </c>
      <c r="T630" t="b">
        <v>0</v>
      </c>
      <c r="U630" t="b">
        <v>0</v>
      </c>
      <c r="V630" t="b">
        <f t="shared" si="18"/>
        <v>1</v>
      </c>
      <c r="W630">
        <v>0</v>
      </c>
      <c r="Y630">
        <f t="shared" si="19"/>
        <v>0</v>
      </c>
    </row>
    <row r="631" spans="1:25" x14ac:dyDescent="0.3">
      <c r="A631" t="s">
        <v>1982</v>
      </c>
      <c r="B631" t="s">
        <v>292</v>
      </c>
      <c r="C631">
        <v>374.61</v>
      </c>
      <c r="D631" s="1">
        <v>45167.771249999998</v>
      </c>
      <c r="E631" t="s">
        <v>57</v>
      </c>
      <c r="F631" t="s">
        <v>41</v>
      </c>
      <c r="G631" t="s">
        <v>1102</v>
      </c>
      <c r="H631" t="s">
        <v>520</v>
      </c>
      <c r="I631" t="s">
        <v>1294</v>
      </c>
      <c r="J631" t="s">
        <v>45</v>
      </c>
      <c r="K631">
        <v>75</v>
      </c>
      <c r="L631" t="s">
        <v>82</v>
      </c>
      <c r="M631">
        <v>37</v>
      </c>
      <c r="N631">
        <v>1</v>
      </c>
      <c r="O631">
        <v>1389.71</v>
      </c>
      <c r="P631" s="1">
        <v>45600.341249999998</v>
      </c>
      <c r="Q631">
        <v>18</v>
      </c>
      <c r="R631" t="s">
        <v>32</v>
      </c>
      <c r="S631">
        <v>0.26380275094985101</v>
      </c>
      <c r="T631" t="b">
        <v>0</v>
      </c>
      <c r="U631" t="b">
        <v>0</v>
      </c>
      <c r="V631" t="b">
        <f t="shared" si="18"/>
        <v>1</v>
      </c>
      <c r="W631">
        <v>0</v>
      </c>
      <c r="Y631">
        <f t="shared" si="19"/>
        <v>0</v>
      </c>
    </row>
    <row r="632" spans="1:25" x14ac:dyDescent="0.3">
      <c r="A632" t="s">
        <v>1983</v>
      </c>
      <c r="B632" t="s">
        <v>63</v>
      </c>
      <c r="C632">
        <v>339.35</v>
      </c>
      <c r="D632" s="1">
        <v>44960.672766203701</v>
      </c>
      <c r="E632" t="s">
        <v>57</v>
      </c>
      <c r="F632" t="s">
        <v>401</v>
      </c>
      <c r="G632" t="s">
        <v>1984</v>
      </c>
      <c r="H632" t="s">
        <v>1865</v>
      </c>
      <c r="I632" t="s">
        <v>833</v>
      </c>
      <c r="J632" t="s">
        <v>30</v>
      </c>
      <c r="K632">
        <v>78</v>
      </c>
      <c r="L632" t="s">
        <v>82</v>
      </c>
      <c r="M632">
        <v>70</v>
      </c>
      <c r="N632">
        <v>1</v>
      </c>
      <c r="O632">
        <v>5002.7</v>
      </c>
      <c r="P632" s="1">
        <v>45600.339085648149</v>
      </c>
      <c r="Q632">
        <v>16</v>
      </c>
      <c r="R632" t="s">
        <v>54</v>
      </c>
      <c r="S632">
        <v>0.14302709173435399</v>
      </c>
      <c r="T632" t="b">
        <v>0</v>
      </c>
      <c r="U632" t="b">
        <v>0</v>
      </c>
      <c r="V632" t="b">
        <f t="shared" si="18"/>
        <v>1</v>
      </c>
      <c r="W632">
        <v>0</v>
      </c>
      <c r="Y632">
        <f t="shared" si="19"/>
        <v>0</v>
      </c>
    </row>
    <row r="633" spans="1:25" x14ac:dyDescent="0.3">
      <c r="A633" t="s">
        <v>1985</v>
      </c>
      <c r="B633" t="s">
        <v>1836</v>
      </c>
      <c r="C633">
        <v>810.36</v>
      </c>
      <c r="D633" s="1">
        <v>44943.707673611112</v>
      </c>
      <c r="E633" t="s">
        <v>25</v>
      </c>
      <c r="F633" t="s">
        <v>137</v>
      </c>
      <c r="G633" t="s">
        <v>1922</v>
      </c>
      <c r="H633" t="s">
        <v>306</v>
      </c>
      <c r="I633" t="s">
        <v>440</v>
      </c>
      <c r="J633" t="s">
        <v>30</v>
      </c>
      <c r="K633">
        <v>20</v>
      </c>
      <c r="L633" t="s">
        <v>46</v>
      </c>
      <c r="M633">
        <v>67</v>
      </c>
      <c r="N633">
        <v>1</v>
      </c>
      <c r="O633">
        <v>9239.1200000000008</v>
      </c>
      <c r="P633" s="1">
        <v>45600.338414351849</v>
      </c>
      <c r="Q633">
        <v>16</v>
      </c>
      <c r="R633" t="s">
        <v>32</v>
      </c>
      <c r="S633">
        <v>1.7563720505287701</v>
      </c>
      <c r="T633" t="b">
        <v>0</v>
      </c>
      <c r="U633" t="b">
        <v>0</v>
      </c>
      <c r="V633" t="b">
        <f t="shared" si="18"/>
        <v>1</v>
      </c>
      <c r="W633">
        <v>0</v>
      </c>
      <c r="Y633">
        <f t="shared" si="19"/>
        <v>0</v>
      </c>
    </row>
    <row r="634" spans="1:25" x14ac:dyDescent="0.3">
      <c r="A634" t="s">
        <v>1986</v>
      </c>
      <c r="B634" t="s">
        <v>1987</v>
      </c>
      <c r="C634">
        <v>9.83</v>
      </c>
      <c r="D634" s="1">
        <v>45131.71130787037</v>
      </c>
      <c r="E634" t="s">
        <v>25</v>
      </c>
      <c r="F634" t="s">
        <v>104</v>
      </c>
      <c r="G634" t="s">
        <v>115</v>
      </c>
      <c r="H634" t="s">
        <v>111</v>
      </c>
      <c r="I634" t="s">
        <v>445</v>
      </c>
      <c r="J634" t="s">
        <v>30</v>
      </c>
      <c r="K634">
        <v>24</v>
      </c>
      <c r="L634" t="s">
        <v>46</v>
      </c>
      <c r="M634">
        <v>86</v>
      </c>
      <c r="N634">
        <v>1</v>
      </c>
      <c r="O634">
        <v>666.42</v>
      </c>
      <c r="P634" s="1">
        <v>45600.339618055557</v>
      </c>
      <c r="Q634">
        <v>17</v>
      </c>
      <c r="R634" t="s">
        <v>47</v>
      </c>
      <c r="S634">
        <v>-0.98567385054274503</v>
      </c>
      <c r="T634" t="b">
        <v>0</v>
      </c>
      <c r="U634" t="b">
        <v>0</v>
      </c>
      <c r="V634" t="b">
        <f t="shared" si="18"/>
        <v>1</v>
      </c>
      <c r="W634">
        <v>0</v>
      </c>
      <c r="Y634">
        <f t="shared" si="19"/>
        <v>0</v>
      </c>
    </row>
    <row r="635" spans="1:25" x14ac:dyDescent="0.3">
      <c r="A635" t="s">
        <v>1988</v>
      </c>
      <c r="B635" t="s">
        <v>1010</v>
      </c>
      <c r="C635">
        <v>135.57</v>
      </c>
      <c r="D635" s="1">
        <v>45091.720532407409</v>
      </c>
      <c r="E635" t="s">
        <v>57</v>
      </c>
      <c r="F635" t="s">
        <v>401</v>
      </c>
      <c r="G635" t="s">
        <v>1874</v>
      </c>
      <c r="H635" t="s">
        <v>841</v>
      </c>
      <c r="I635" t="s">
        <v>101</v>
      </c>
      <c r="J635" t="s">
        <v>81</v>
      </c>
      <c r="K635">
        <v>51</v>
      </c>
      <c r="L635" t="s">
        <v>31</v>
      </c>
      <c r="M635">
        <v>116</v>
      </c>
      <c r="N635">
        <v>1</v>
      </c>
      <c r="O635">
        <v>11351.64</v>
      </c>
      <c r="P635" s="1">
        <v>45600.341481481482</v>
      </c>
      <c r="Q635">
        <v>17</v>
      </c>
      <c r="R635" t="s">
        <v>74</v>
      </c>
      <c r="S635">
        <v>-0.55497812196201401</v>
      </c>
      <c r="T635" t="b">
        <v>0</v>
      </c>
      <c r="U635" t="b">
        <v>0</v>
      </c>
      <c r="V635" t="b">
        <f t="shared" si="18"/>
        <v>1</v>
      </c>
      <c r="W635">
        <v>0</v>
      </c>
      <c r="Y635">
        <f t="shared" si="19"/>
        <v>0</v>
      </c>
    </row>
    <row r="636" spans="1:25" x14ac:dyDescent="0.3">
      <c r="A636" t="s">
        <v>1989</v>
      </c>
      <c r="B636" t="s">
        <v>729</v>
      </c>
      <c r="C636">
        <v>340.05</v>
      </c>
      <c r="D636" s="1">
        <v>45226.727002314816</v>
      </c>
      <c r="E636" t="s">
        <v>25</v>
      </c>
      <c r="F636" t="s">
        <v>85</v>
      </c>
      <c r="G636" t="s">
        <v>1990</v>
      </c>
      <c r="H636" t="s">
        <v>1610</v>
      </c>
      <c r="I636" t="s">
        <v>871</v>
      </c>
      <c r="J636" t="s">
        <v>30</v>
      </c>
      <c r="K636">
        <v>43</v>
      </c>
      <c r="L636" t="s">
        <v>89</v>
      </c>
      <c r="M636">
        <v>37</v>
      </c>
      <c r="N636">
        <v>1</v>
      </c>
      <c r="O636">
        <v>7234.15</v>
      </c>
      <c r="P636" s="1">
        <v>45600.338692129626</v>
      </c>
      <c r="Q636">
        <v>17</v>
      </c>
      <c r="R636" t="s">
        <v>54</v>
      </c>
      <c r="S636">
        <v>0.145424793420425</v>
      </c>
      <c r="T636" t="b">
        <v>0</v>
      </c>
      <c r="U636" t="b">
        <v>0</v>
      </c>
      <c r="V636" t="b">
        <f t="shared" si="18"/>
        <v>1</v>
      </c>
      <c r="W636">
        <v>0</v>
      </c>
      <c r="Y636">
        <f t="shared" si="19"/>
        <v>0</v>
      </c>
    </row>
    <row r="637" spans="1:25" x14ac:dyDescent="0.3">
      <c r="A637" t="s">
        <v>1991</v>
      </c>
      <c r="B637" t="s">
        <v>308</v>
      </c>
      <c r="C637">
        <v>283.45</v>
      </c>
      <c r="D637" s="1">
        <v>45216.725543981483</v>
      </c>
      <c r="E637" t="s">
        <v>25</v>
      </c>
      <c r="F637" t="s">
        <v>534</v>
      </c>
      <c r="G637" t="s">
        <v>1278</v>
      </c>
      <c r="H637" t="s">
        <v>740</v>
      </c>
      <c r="I637" t="s">
        <v>150</v>
      </c>
      <c r="J637" t="s">
        <v>81</v>
      </c>
      <c r="K637">
        <v>27</v>
      </c>
      <c r="L637" t="s">
        <v>89</v>
      </c>
      <c r="M637">
        <v>127</v>
      </c>
      <c r="N637">
        <v>1</v>
      </c>
      <c r="O637">
        <v>2049.5100000000002</v>
      </c>
      <c r="P637" s="1">
        <v>45600.339479166665</v>
      </c>
      <c r="Q637">
        <v>17</v>
      </c>
      <c r="R637" t="s">
        <v>32</v>
      </c>
      <c r="S637">
        <v>-4.8446514338994398E-2</v>
      </c>
      <c r="T637" t="b">
        <v>0</v>
      </c>
      <c r="U637" t="b">
        <v>0</v>
      </c>
      <c r="V637" t="b">
        <f t="shared" si="18"/>
        <v>1</v>
      </c>
      <c r="W637">
        <v>0</v>
      </c>
      <c r="Y637">
        <f t="shared" si="19"/>
        <v>0</v>
      </c>
    </row>
    <row r="638" spans="1:25" x14ac:dyDescent="0.3">
      <c r="A638" t="s">
        <v>1992</v>
      </c>
      <c r="B638" t="s">
        <v>1530</v>
      </c>
      <c r="C638">
        <v>100.99</v>
      </c>
      <c r="D638" s="1">
        <v>45075.680891203701</v>
      </c>
      <c r="E638" t="s">
        <v>25</v>
      </c>
      <c r="F638" t="s">
        <v>216</v>
      </c>
      <c r="G638" t="s">
        <v>127</v>
      </c>
      <c r="H638" t="s">
        <v>258</v>
      </c>
      <c r="I638" t="s">
        <v>316</v>
      </c>
      <c r="J638" t="s">
        <v>30</v>
      </c>
      <c r="K638">
        <v>68</v>
      </c>
      <c r="L638" t="s">
        <v>31</v>
      </c>
      <c r="M638">
        <v>114</v>
      </c>
      <c r="N638">
        <v>1</v>
      </c>
      <c r="O638">
        <v>8865.27</v>
      </c>
      <c r="P638" s="1">
        <v>45600.339722222219</v>
      </c>
      <c r="Q638">
        <v>16</v>
      </c>
      <c r="R638" t="s">
        <v>47</v>
      </c>
      <c r="S638">
        <v>-0.67342458525389903</v>
      </c>
      <c r="T638" t="b">
        <v>0</v>
      </c>
      <c r="U638" t="b">
        <v>0</v>
      </c>
      <c r="V638" t="b">
        <f t="shared" si="18"/>
        <v>1</v>
      </c>
      <c r="W638">
        <v>0</v>
      </c>
      <c r="Y638">
        <f t="shared" si="19"/>
        <v>0</v>
      </c>
    </row>
    <row r="639" spans="1:25" x14ac:dyDescent="0.3">
      <c r="A639" t="s">
        <v>1993</v>
      </c>
      <c r="B639" t="s">
        <v>1002</v>
      </c>
      <c r="C639">
        <v>90.88</v>
      </c>
      <c r="D639" s="1">
        <v>44977.700567129628</v>
      </c>
      <c r="E639" t="s">
        <v>25</v>
      </c>
      <c r="F639" t="s">
        <v>98</v>
      </c>
      <c r="G639" t="s">
        <v>1916</v>
      </c>
      <c r="H639" t="s">
        <v>1497</v>
      </c>
      <c r="I639" t="s">
        <v>371</v>
      </c>
      <c r="J639" t="s">
        <v>81</v>
      </c>
      <c r="K639">
        <v>18</v>
      </c>
      <c r="L639" t="s">
        <v>46</v>
      </c>
      <c r="M639">
        <v>176</v>
      </c>
      <c r="N639">
        <v>1</v>
      </c>
      <c r="O639">
        <v>3908.47</v>
      </c>
      <c r="P639" s="1">
        <v>45600.33834490741</v>
      </c>
      <c r="Q639">
        <v>16</v>
      </c>
      <c r="R639" t="s">
        <v>47</v>
      </c>
      <c r="S639">
        <v>-0.70805424817700402</v>
      </c>
      <c r="T639" t="b">
        <v>0</v>
      </c>
      <c r="U639" t="b">
        <v>0</v>
      </c>
      <c r="V639" t="b">
        <f t="shared" si="18"/>
        <v>1</v>
      </c>
      <c r="W639">
        <v>0</v>
      </c>
      <c r="Y639">
        <f t="shared" si="19"/>
        <v>0</v>
      </c>
    </row>
    <row r="640" spans="1:25" x14ac:dyDescent="0.3">
      <c r="A640" t="s">
        <v>1994</v>
      </c>
      <c r="B640" t="s">
        <v>1995</v>
      </c>
      <c r="C640">
        <v>655.15</v>
      </c>
      <c r="D640" s="1">
        <v>44928.682569444441</v>
      </c>
      <c r="E640" t="s">
        <v>25</v>
      </c>
      <c r="F640" t="s">
        <v>70</v>
      </c>
      <c r="G640" t="s">
        <v>820</v>
      </c>
      <c r="H640" t="s">
        <v>1938</v>
      </c>
      <c r="I640" t="s">
        <v>173</v>
      </c>
      <c r="J640" t="s">
        <v>30</v>
      </c>
      <c r="K640">
        <v>26</v>
      </c>
      <c r="L640" t="s">
        <v>89</v>
      </c>
      <c r="M640">
        <v>264</v>
      </c>
      <c r="N640">
        <v>1</v>
      </c>
      <c r="O640">
        <v>5587.44</v>
      </c>
      <c r="P640" s="1">
        <v>45600.338368055556</v>
      </c>
      <c r="Q640">
        <v>16</v>
      </c>
      <c r="R640" t="s">
        <v>47</v>
      </c>
      <c r="S640">
        <v>1.2247330809644701</v>
      </c>
      <c r="T640" t="b">
        <v>0</v>
      </c>
      <c r="U640" t="b">
        <v>0</v>
      </c>
      <c r="V640" t="b">
        <f t="shared" si="18"/>
        <v>1</v>
      </c>
      <c r="W640">
        <v>0</v>
      </c>
      <c r="Y640">
        <f t="shared" si="19"/>
        <v>0</v>
      </c>
    </row>
    <row r="641" spans="1:25" x14ac:dyDescent="0.3">
      <c r="A641" t="s">
        <v>1996</v>
      </c>
      <c r="B641" t="s">
        <v>1997</v>
      </c>
      <c r="C641">
        <v>320.55</v>
      </c>
      <c r="D641" s="1">
        <v>45047.716516203705</v>
      </c>
      <c r="E641" t="s">
        <v>25</v>
      </c>
      <c r="F641" t="s">
        <v>191</v>
      </c>
      <c r="G641" t="s">
        <v>1571</v>
      </c>
      <c r="H641" t="s">
        <v>1998</v>
      </c>
      <c r="I641" t="s">
        <v>589</v>
      </c>
      <c r="J641" t="s">
        <v>45</v>
      </c>
      <c r="K641">
        <v>50</v>
      </c>
      <c r="L641" t="s">
        <v>89</v>
      </c>
      <c r="M641">
        <v>118</v>
      </c>
      <c r="N641">
        <v>1</v>
      </c>
      <c r="O641">
        <v>438.75</v>
      </c>
      <c r="P641" s="1">
        <v>45600.339050925926</v>
      </c>
      <c r="Q641">
        <v>17</v>
      </c>
      <c r="R641" t="s">
        <v>47</v>
      </c>
      <c r="S641">
        <v>7.8631675022745207E-2</v>
      </c>
      <c r="T641" t="b">
        <v>0</v>
      </c>
      <c r="U641" t="b">
        <v>0</v>
      </c>
      <c r="V641" t="b">
        <f t="shared" si="18"/>
        <v>1</v>
      </c>
      <c r="W641">
        <v>0</v>
      </c>
      <c r="Y641">
        <f t="shared" si="19"/>
        <v>0</v>
      </c>
    </row>
    <row r="642" spans="1:25" x14ac:dyDescent="0.3">
      <c r="A642" t="s">
        <v>1999</v>
      </c>
      <c r="B642" t="s">
        <v>529</v>
      </c>
      <c r="C642">
        <v>41.51</v>
      </c>
      <c r="D642" s="1">
        <v>45203.699687499997</v>
      </c>
      <c r="E642" t="s">
        <v>25</v>
      </c>
      <c r="F642" t="s">
        <v>438</v>
      </c>
      <c r="G642" t="s">
        <v>2000</v>
      </c>
      <c r="H642" t="s">
        <v>879</v>
      </c>
      <c r="I642" t="s">
        <v>833</v>
      </c>
      <c r="J642" t="s">
        <v>45</v>
      </c>
      <c r="K642">
        <v>28</v>
      </c>
      <c r="L642" t="s">
        <v>46</v>
      </c>
      <c r="M642">
        <v>48</v>
      </c>
      <c r="N642">
        <v>1</v>
      </c>
      <c r="O642">
        <v>609.6</v>
      </c>
      <c r="P642" s="1">
        <v>45600.341597222221</v>
      </c>
      <c r="Q642">
        <v>16</v>
      </c>
      <c r="R642" t="s">
        <v>74</v>
      </c>
      <c r="S642">
        <v>-0.87716072280743795</v>
      </c>
      <c r="T642" t="b">
        <v>0</v>
      </c>
      <c r="U642" t="b">
        <v>0</v>
      </c>
      <c r="V642" t="b">
        <f t="shared" si="18"/>
        <v>1</v>
      </c>
      <c r="W642">
        <v>0</v>
      </c>
      <c r="Y642">
        <f t="shared" si="19"/>
        <v>0</v>
      </c>
    </row>
    <row r="643" spans="1:25" x14ac:dyDescent="0.3">
      <c r="A643" t="s">
        <v>2001</v>
      </c>
      <c r="B643" t="s">
        <v>1514</v>
      </c>
      <c r="C643">
        <v>71.53</v>
      </c>
      <c r="D643" s="1">
        <v>45229.700983796298</v>
      </c>
      <c r="E643" t="s">
        <v>57</v>
      </c>
      <c r="F643" t="s">
        <v>405</v>
      </c>
      <c r="G643" t="s">
        <v>2002</v>
      </c>
      <c r="H643" t="s">
        <v>2003</v>
      </c>
      <c r="I643" t="s">
        <v>107</v>
      </c>
      <c r="J643" t="s">
        <v>81</v>
      </c>
      <c r="K643">
        <v>68</v>
      </c>
      <c r="L643" t="s">
        <v>82</v>
      </c>
      <c r="M643">
        <v>39</v>
      </c>
      <c r="N643">
        <v>1</v>
      </c>
      <c r="O643">
        <v>2393.73</v>
      </c>
      <c r="P643" s="1">
        <v>45600.341666666667</v>
      </c>
      <c r="Q643">
        <v>16</v>
      </c>
      <c r="R643" t="s">
        <v>47</v>
      </c>
      <c r="S643">
        <v>-0.77433357335623998</v>
      </c>
      <c r="T643" t="b">
        <v>0</v>
      </c>
      <c r="U643" t="b">
        <v>0</v>
      </c>
      <c r="V643" t="b">
        <f t="shared" ref="V643:V706" si="20">ISLOGICAL(T643)</f>
        <v>1</v>
      </c>
      <c r="W643">
        <v>0</v>
      </c>
      <c r="Y643">
        <f t="shared" ref="Y643:Y706" si="21">--T643</f>
        <v>0</v>
      </c>
    </row>
    <row r="644" spans="1:25" x14ac:dyDescent="0.3">
      <c r="A644" t="s">
        <v>2004</v>
      </c>
      <c r="B644" t="s">
        <v>2005</v>
      </c>
      <c r="C644">
        <v>467.13</v>
      </c>
      <c r="D644" s="1">
        <v>45197.721134259256</v>
      </c>
      <c r="E644" t="s">
        <v>57</v>
      </c>
      <c r="F644" t="s">
        <v>304</v>
      </c>
      <c r="G644" t="s">
        <v>2006</v>
      </c>
      <c r="H644" t="s">
        <v>1788</v>
      </c>
      <c r="I644" t="s">
        <v>1300</v>
      </c>
      <c r="J644" t="s">
        <v>81</v>
      </c>
      <c r="K644">
        <v>54</v>
      </c>
      <c r="L644" t="s">
        <v>82</v>
      </c>
      <c r="M644">
        <v>45</v>
      </c>
      <c r="N644">
        <v>1</v>
      </c>
      <c r="O644">
        <v>3914.84</v>
      </c>
      <c r="P644" s="1">
        <v>45600.338171296295</v>
      </c>
      <c r="Q644">
        <v>17</v>
      </c>
      <c r="R644" t="s">
        <v>141</v>
      </c>
      <c r="S644">
        <v>0.58071040808591901</v>
      </c>
      <c r="T644" t="b">
        <v>0</v>
      </c>
      <c r="U644" t="b">
        <v>0</v>
      </c>
      <c r="V644" t="b">
        <f t="shared" si="20"/>
        <v>1</v>
      </c>
      <c r="W644">
        <v>0</v>
      </c>
      <c r="Y644">
        <f t="shared" si="21"/>
        <v>0</v>
      </c>
    </row>
    <row r="645" spans="1:25" x14ac:dyDescent="0.3">
      <c r="A645" t="s">
        <v>2007</v>
      </c>
      <c r="B645" t="s">
        <v>1394</v>
      </c>
      <c r="C645">
        <v>235.4</v>
      </c>
      <c r="D645" s="1">
        <v>45195.710011574076</v>
      </c>
      <c r="E645" t="s">
        <v>25</v>
      </c>
      <c r="F645" t="s">
        <v>85</v>
      </c>
      <c r="G645" t="s">
        <v>474</v>
      </c>
      <c r="H645" t="s">
        <v>238</v>
      </c>
      <c r="I645" t="s">
        <v>871</v>
      </c>
      <c r="J645" t="s">
        <v>81</v>
      </c>
      <c r="K645">
        <v>28</v>
      </c>
      <c r="L645" t="s">
        <v>46</v>
      </c>
      <c r="M645">
        <v>70</v>
      </c>
      <c r="N645">
        <v>1</v>
      </c>
      <c r="O645">
        <v>818.36</v>
      </c>
      <c r="P645" s="1">
        <v>45600.340428240743</v>
      </c>
      <c r="Q645">
        <v>17</v>
      </c>
      <c r="R645" t="s">
        <v>32</v>
      </c>
      <c r="S645">
        <v>-0.21303160864712301</v>
      </c>
      <c r="T645" t="b">
        <v>0</v>
      </c>
      <c r="U645" t="b">
        <v>0</v>
      </c>
      <c r="V645" t="b">
        <f t="shared" si="20"/>
        <v>1</v>
      </c>
      <c r="W645">
        <v>0</v>
      </c>
      <c r="Y645">
        <f t="shared" si="21"/>
        <v>0</v>
      </c>
    </row>
    <row r="646" spans="1:25" x14ac:dyDescent="0.3">
      <c r="A646" t="s">
        <v>2008</v>
      </c>
      <c r="B646" t="s">
        <v>624</v>
      </c>
      <c r="C646">
        <v>159.32</v>
      </c>
      <c r="D646" s="1">
        <v>44942.789733796293</v>
      </c>
      <c r="E646" t="s">
        <v>25</v>
      </c>
      <c r="F646" t="s">
        <v>70</v>
      </c>
      <c r="G646" t="s">
        <v>1396</v>
      </c>
      <c r="H646" t="s">
        <v>2009</v>
      </c>
      <c r="I646" t="s">
        <v>463</v>
      </c>
      <c r="J646" t="s">
        <v>81</v>
      </c>
      <c r="K646">
        <v>18</v>
      </c>
      <c r="L646" t="s">
        <v>46</v>
      </c>
      <c r="M646">
        <v>100</v>
      </c>
      <c r="N646">
        <v>1</v>
      </c>
      <c r="O646">
        <v>304.44</v>
      </c>
      <c r="P646" s="1">
        <v>45600.340648148151</v>
      </c>
      <c r="Q646">
        <v>18</v>
      </c>
      <c r="R646" t="s">
        <v>47</v>
      </c>
      <c r="S646">
        <v>-0.47362752904176297</v>
      </c>
      <c r="T646" t="b">
        <v>0</v>
      </c>
      <c r="U646" t="b">
        <v>0</v>
      </c>
      <c r="V646" t="b">
        <f t="shared" si="20"/>
        <v>1</v>
      </c>
      <c r="W646">
        <v>0</v>
      </c>
      <c r="Y646">
        <f t="shared" si="21"/>
        <v>0</v>
      </c>
    </row>
    <row r="647" spans="1:25" x14ac:dyDescent="0.3">
      <c r="A647" t="s">
        <v>2010</v>
      </c>
      <c r="B647" t="s">
        <v>2011</v>
      </c>
      <c r="C647">
        <v>50.83</v>
      </c>
      <c r="D647" s="1">
        <v>45278.670995370368</v>
      </c>
      <c r="E647" t="s">
        <v>57</v>
      </c>
      <c r="F647" t="s">
        <v>256</v>
      </c>
      <c r="G647" t="s">
        <v>1247</v>
      </c>
      <c r="H647" t="s">
        <v>1956</v>
      </c>
      <c r="I647" t="s">
        <v>605</v>
      </c>
      <c r="J647" t="s">
        <v>45</v>
      </c>
      <c r="K647">
        <v>30</v>
      </c>
      <c r="L647" t="s">
        <v>31</v>
      </c>
      <c r="M647">
        <v>48</v>
      </c>
      <c r="N647">
        <v>1</v>
      </c>
      <c r="O647">
        <v>9553.42</v>
      </c>
      <c r="P647" s="1">
        <v>45600.34034722222</v>
      </c>
      <c r="Q647">
        <v>16</v>
      </c>
      <c r="R647" t="s">
        <v>47</v>
      </c>
      <c r="S647">
        <v>-0.84523703750146995</v>
      </c>
      <c r="T647" t="b">
        <v>0</v>
      </c>
      <c r="U647" t="b">
        <v>0</v>
      </c>
      <c r="V647" t="b">
        <f t="shared" si="20"/>
        <v>1</v>
      </c>
      <c r="W647">
        <v>0</v>
      </c>
      <c r="Y647">
        <f t="shared" si="21"/>
        <v>0</v>
      </c>
    </row>
    <row r="648" spans="1:25" x14ac:dyDescent="0.3">
      <c r="A648" t="s">
        <v>2012</v>
      </c>
      <c r="B648" t="s">
        <v>2013</v>
      </c>
      <c r="C648">
        <v>56.89</v>
      </c>
      <c r="D648" s="1">
        <v>44960.75273148148</v>
      </c>
      <c r="E648" t="s">
        <v>57</v>
      </c>
      <c r="F648" t="s">
        <v>35</v>
      </c>
      <c r="G648" t="s">
        <v>2014</v>
      </c>
      <c r="H648" t="s">
        <v>870</v>
      </c>
      <c r="I648" t="s">
        <v>632</v>
      </c>
      <c r="J648" t="s">
        <v>81</v>
      </c>
      <c r="K648">
        <v>59</v>
      </c>
      <c r="L648" t="s">
        <v>89</v>
      </c>
      <c r="M648">
        <v>56</v>
      </c>
      <c r="N648">
        <v>1</v>
      </c>
      <c r="O648">
        <v>3034.67</v>
      </c>
      <c r="P648" s="1">
        <v>45600.340185185189</v>
      </c>
      <c r="Q648">
        <v>18</v>
      </c>
      <c r="R648" t="s">
        <v>54</v>
      </c>
      <c r="S648">
        <v>-0.82447979147634498</v>
      </c>
      <c r="T648" t="b">
        <v>0</v>
      </c>
      <c r="U648" t="b">
        <v>0</v>
      </c>
      <c r="V648" t="b">
        <f t="shared" si="20"/>
        <v>1</v>
      </c>
      <c r="W648">
        <v>0</v>
      </c>
      <c r="Y648">
        <f t="shared" si="21"/>
        <v>0</v>
      </c>
    </row>
    <row r="649" spans="1:25" x14ac:dyDescent="0.3">
      <c r="A649" t="s">
        <v>2015</v>
      </c>
      <c r="B649" t="s">
        <v>2016</v>
      </c>
      <c r="C649">
        <v>20.22</v>
      </c>
      <c r="D649" s="1">
        <v>44995.768275462964</v>
      </c>
      <c r="E649" t="s">
        <v>25</v>
      </c>
      <c r="F649" t="s">
        <v>405</v>
      </c>
      <c r="G649" t="s">
        <v>1615</v>
      </c>
      <c r="H649" t="s">
        <v>854</v>
      </c>
      <c r="I649" t="s">
        <v>375</v>
      </c>
      <c r="J649" t="s">
        <v>30</v>
      </c>
      <c r="K649">
        <v>43</v>
      </c>
      <c r="L649" t="s">
        <v>89</v>
      </c>
      <c r="M649">
        <v>138</v>
      </c>
      <c r="N649">
        <v>1</v>
      </c>
      <c r="O649">
        <v>5515.32</v>
      </c>
      <c r="P649" s="1">
        <v>45600.337870370371</v>
      </c>
      <c r="Q649">
        <v>18</v>
      </c>
      <c r="R649" t="s">
        <v>54</v>
      </c>
      <c r="S649">
        <v>-0.95008510694521198</v>
      </c>
      <c r="T649" t="b">
        <v>0</v>
      </c>
      <c r="U649" t="b">
        <v>0</v>
      </c>
      <c r="V649" t="b">
        <f t="shared" si="20"/>
        <v>1</v>
      </c>
      <c r="W649">
        <v>0</v>
      </c>
      <c r="Y649">
        <f t="shared" si="21"/>
        <v>0</v>
      </c>
    </row>
    <row r="650" spans="1:25" x14ac:dyDescent="0.3">
      <c r="A650" t="s">
        <v>2017</v>
      </c>
      <c r="B650" t="s">
        <v>2018</v>
      </c>
      <c r="C650">
        <v>50.4</v>
      </c>
      <c r="D650" s="1">
        <v>45012.710231481484</v>
      </c>
      <c r="E650" t="s">
        <v>25</v>
      </c>
      <c r="F650" t="s">
        <v>250</v>
      </c>
      <c r="G650" t="s">
        <v>2019</v>
      </c>
      <c r="H650" t="s">
        <v>560</v>
      </c>
      <c r="I650" t="s">
        <v>1294</v>
      </c>
      <c r="J650" t="s">
        <v>81</v>
      </c>
      <c r="K650">
        <v>36</v>
      </c>
      <c r="L650" t="s">
        <v>31</v>
      </c>
      <c r="M650">
        <v>84</v>
      </c>
      <c r="N650">
        <v>1</v>
      </c>
      <c r="O650">
        <v>1677.01</v>
      </c>
      <c r="P650" s="1">
        <v>45600.338391203702</v>
      </c>
      <c r="Q650">
        <v>17</v>
      </c>
      <c r="R650" t="s">
        <v>47</v>
      </c>
      <c r="S650">
        <v>-0.84670991139434204</v>
      </c>
      <c r="T650" t="b">
        <v>0</v>
      </c>
      <c r="U650" t="b">
        <v>0</v>
      </c>
      <c r="V650" t="b">
        <f t="shared" si="20"/>
        <v>1</v>
      </c>
      <c r="W650">
        <v>0</v>
      </c>
      <c r="Y650">
        <f t="shared" si="21"/>
        <v>0</v>
      </c>
    </row>
    <row r="651" spans="1:25" x14ac:dyDescent="0.3">
      <c r="A651" t="s">
        <v>2020</v>
      </c>
      <c r="B651" t="s">
        <v>341</v>
      </c>
      <c r="C651">
        <v>73.88</v>
      </c>
      <c r="D651" s="1">
        <v>45054.737916666665</v>
      </c>
      <c r="E651" t="s">
        <v>25</v>
      </c>
      <c r="F651" t="s">
        <v>153</v>
      </c>
      <c r="G651" t="s">
        <v>2021</v>
      </c>
      <c r="H651" t="s">
        <v>221</v>
      </c>
      <c r="I651" t="s">
        <v>44</v>
      </c>
      <c r="J651" t="s">
        <v>81</v>
      </c>
      <c r="K651">
        <v>53</v>
      </c>
      <c r="L651" t="s">
        <v>82</v>
      </c>
      <c r="M651">
        <v>131</v>
      </c>
      <c r="N651">
        <v>1</v>
      </c>
      <c r="O651">
        <v>4055.55</v>
      </c>
      <c r="P651" s="1">
        <v>45600.339016203703</v>
      </c>
      <c r="Q651">
        <v>17</v>
      </c>
      <c r="R651" t="s">
        <v>47</v>
      </c>
      <c r="S651">
        <v>-0.76628414626728902</v>
      </c>
      <c r="T651" t="b">
        <v>0</v>
      </c>
      <c r="U651" t="b">
        <v>0</v>
      </c>
      <c r="V651" t="b">
        <f t="shared" si="20"/>
        <v>1</v>
      </c>
      <c r="W651">
        <v>0</v>
      </c>
      <c r="Y651">
        <f t="shared" si="21"/>
        <v>0</v>
      </c>
    </row>
    <row r="652" spans="1:25" x14ac:dyDescent="0.3">
      <c r="A652" t="s">
        <v>2022</v>
      </c>
      <c r="B652" t="s">
        <v>2011</v>
      </c>
      <c r="C652">
        <v>119.61</v>
      </c>
      <c r="D652" s="1">
        <v>44999.681261574071</v>
      </c>
      <c r="E652" t="s">
        <v>25</v>
      </c>
      <c r="F652" t="s">
        <v>26</v>
      </c>
      <c r="G652" t="s">
        <v>1545</v>
      </c>
      <c r="H652" t="s">
        <v>2023</v>
      </c>
      <c r="I652" t="s">
        <v>123</v>
      </c>
      <c r="J652" t="s">
        <v>30</v>
      </c>
      <c r="K652">
        <v>33</v>
      </c>
      <c r="L652" t="s">
        <v>31</v>
      </c>
      <c r="M652">
        <v>53</v>
      </c>
      <c r="N652">
        <v>1</v>
      </c>
      <c r="O652">
        <v>9899.94</v>
      </c>
      <c r="P652" s="1">
        <v>45600.338518518518</v>
      </c>
      <c r="Q652">
        <v>16</v>
      </c>
      <c r="R652" t="s">
        <v>32</v>
      </c>
      <c r="S652">
        <v>-0.609645720404423</v>
      </c>
      <c r="T652" t="b">
        <v>0</v>
      </c>
      <c r="U652" t="b">
        <v>0</v>
      </c>
      <c r="V652" t="b">
        <f t="shared" si="20"/>
        <v>1</v>
      </c>
      <c r="W652">
        <v>0</v>
      </c>
      <c r="Y652">
        <f t="shared" si="21"/>
        <v>0</v>
      </c>
    </row>
    <row r="653" spans="1:25" x14ac:dyDescent="0.3">
      <c r="A653" t="s">
        <v>2024</v>
      </c>
      <c r="B653" t="s">
        <v>622</v>
      </c>
      <c r="C653">
        <v>1241.05</v>
      </c>
      <c r="D653" s="1">
        <v>45251.685196759259</v>
      </c>
      <c r="E653" t="s">
        <v>25</v>
      </c>
      <c r="F653" t="s">
        <v>185</v>
      </c>
      <c r="G653" t="s">
        <v>2025</v>
      </c>
      <c r="H653" t="s">
        <v>2026</v>
      </c>
      <c r="I653" t="s">
        <v>561</v>
      </c>
      <c r="J653" t="s">
        <v>81</v>
      </c>
      <c r="K653">
        <v>18</v>
      </c>
      <c r="L653" t="s">
        <v>46</v>
      </c>
      <c r="M653">
        <v>129</v>
      </c>
      <c r="N653">
        <v>1</v>
      </c>
      <c r="O653">
        <v>756.74</v>
      </c>
      <c r="P653" s="1">
        <v>45600.341527777775</v>
      </c>
      <c r="Q653">
        <v>16</v>
      </c>
      <c r="R653" t="s">
        <v>32</v>
      </c>
      <c r="S653">
        <v>3.2316093922055198</v>
      </c>
      <c r="T653" t="b">
        <v>1</v>
      </c>
      <c r="U653" t="b">
        <v>0</v>
      </c>
      <c r="V653" t="b">
        <f t="shared" si="20"/>
        <v>1</v>
      </c>
      <c r="W653">
        <v>1</v>
      </c>
      <c r="Y653">
        <f t="shared" si="21"/>
        <v>1</v>
      </c>
    </row>
    <row r="654" spans="1:25" x14ac:dyDescent="0.3">
      <c r="A654" t="s">
        <v>2027</v>
      </c>
      <c r="B654" t="s">
        <v>861</v>
      </c>
      <c r="C654">
        <v>116.58</v>
      </c>
      <c r="D654" s="1">
        <v>45169.69326388889</v>
      </c>
      <c r="E654" t="s">
        <v>25</v>
      </c>
      <c r="F654" t="s">
        <v>50</v>
      </c>
      <c r="G654" t="s">
        <v>2028</v>
      </c>
      <c r="H654" t="s">
        <v>1487</v>
      </c>
      <c r="I654" t="s">
        <v>871</v>
      </c>
      <c r="J654" t="s">
        <v>81</v>
      </c>
      <c r="K654">
        <v>43</v>
      </c>
      <c r="L654" t="s">
        <v>89</v>
      </c>
      <c r="M654">
        <v>247</v>
      </c>
      <c r="N654">
        <v>1</v>
      </c>
      <c r="O654">
        <v>2620.7399999999998</v>
      </c>
      <c r="P654" s="1">
        <v>45600.338078703702</v>
      </c>
      <c r="Q654">
        <v>16</v>
      </c>
      <c r="R654" t="s">
        <v>141</v>
      </c>
      <c r="S654">
        <v>-0.62002434341698498</v>
      </c>
      <c r="T654" t="b">
        <v>0</v>
      </c>
      <c r="U654" t="b">
        <v>0</v>
      </c>
      <c r="V654" t="b">
        <f t="shared" si="20"/>
        <v>1</v>
      </c>
      <c r="W654">
        <v>0</v>
      </c>
      <c r="Y654">
        <f t="shared" si="21"/>
        <v>0</v>
      </c>
    </row>
    <row r="655" spans="1:25" x14ac:dyDescent="0.3">
      <c r="A655" t="s">
        <v>2029</v>
      </c>
      <c r="B655" t="s">
        <v>546</v>
      </c>
      <c r="C655">
        <v>1919.11</v>
      </c>
      <c r="D655" s="1">
        <v>45104.741956018515</v>
      </c>
      <c r="E655" t="s">
        <v>25</v>
      </c>
      <c r="F655" t="s">
        <v>608</v>
      </c>
      <c r="G655" t="s">
        <v>1018</v>
      </c>
      <c r="H655" t="s">
        <v>1113</v>
      </c>
      <c r="I655" t="s">
        <v>463</v>
      </c>
      <c r="J655" t="s">
        <v>30</v>
      </c>
      <c r="K655">
        <v>30</v>
      </c>
      <c r="L655" t="s">
        <v>31</v>
      </c>
      <c r="M655">
        <v>161</v>
      </c>
      <c r="N655">
        <v>1</v>
      </c>
      <c r="O655">
        <v>11090.24</v>
      </c>
      <c r="P655" s="1">
        <v>45600.340590277781</v>
      </c>
      <c r="Q655">
        <v>17</v>
      </c>
      <c r="R655" t="s">
        <v>32</v>
      </c>
      <c r="S655">
        <v>5.5541602568583803</v>
      </c>
      <c r="T655" t="b">
        <v>1</v>
      </c>
      <c r="U655" t="b">
        <v>0</v>
      </c>
      <c r="V655" t="b">
        <f t="shared" si="20"/>
        <v>1</v>
      </c>
      <c r="W655">
        <v>1</v>
      </c>
      <c r="Y655">
        <f t="shared" si="21"/>
        <v>1</v>
      </c>
    </row>
    <row r="656" spans="1:25" x14ac:dyDescent="0.3">
      <c r="A656" t="s">
        <v>2030</v>
      </c>
      <c r="B656" t="s">
        <v>1170</v>
      </c>
      <c r="C656">
        <v>391.96</v>
      </c>
      <c r="D656" s="1">
        <v>45096.681921296295</v>
      </c>
      <c r="E656" t="s">
        <v>25</v>
      </c>
      <c r="F656" t="s">
        <v>92</v>
      </c>
      <c r="G656" t="s">
        <v>1717</v>
      </c>
      <c r="H656" t="s">
        <v>675</v>
      </c>
      <c r="I656" t="s">
        <v>431</v>
      </c>
      <c r="J656" t="s">
        <v>30</v>
      </c>
      <c r="K656">
        <v>64</v>
      </c>
      <c r="L656" t="s">
        <v>82</v>
      </c>
      <c r="M656">
        <v>79</v>
      </c>
      <c r="N656">
        <v>1</v>
      </c>
      <c r="O656">
        <v>2174.16</v>
      </c>
      <c r="P656" s="1">
        <v>45600.338043981479</v>
      </c>
      <c r="Q656">
        <v>16</v>
      </c>
      <c r="R656" t="s">
        <v>47</v>
      </c>
      <c r="S656">
        <v>0.32323149988317101</v>
      </c>
      <c r="T656" t="b">
        <v>0</v>
      </c>
      <c r="U656" t="b">
        <v>0</v>
      </c>
      <c r="V656" t="b">
        <f t="shared" si="20"/>
        <v>1</v>
      </c>
      <c r="W656">
        <v>0</v>
      </c>
      <c r="Y656">
        <f t="shared" si="21"/>
        <v>0</v>
      </c>
    </row>
    <row r="657" spans="1:25" x14ac:dyDescent="0.3">
      <c r="A657" t="s">
        <v>2031</v>
      </c>
      <c r="B657" t="s">
        <v>2032</v>
      </c>
      <c r="C657">
        <v>156.26</v>
      </c>
      <c r="D657" s="1">
        <v>44928.74287037037</v>
      </c>
      <c r="E657" t="s">
        <v>57</v>
      </c>
      <c r="F657" t="s">
        <v>314</v>
      </c>
      <c r="G657" t="s">
        <v>2033</v>
      </c>
      <c r="H657" t="s">
        <v>1730</v>
      </c>
      <c r="I657" t="s">
        <v>140</v>
      </c>
      <c r="J657" t="s">
        <v>81</v>
      </c>
      <c r="K657">
        <v>46</v>
      </c>
      <c r="L657" t="s">
        <v>89</v>
      </c>
      <c r="M657">
        <v>160</v>
      </c>
      <c r="N657">
        <v>1</v>
      </c>
      <c r="O657">
        <v>7854.1</v>
      </c>
      <c r="P657" s="1">
        <v>45600.339918981481</v>
      </c>
      <c r="Q657">
        <v>17</v>
      </c>
      <c r="R657" t="s">
        <v>47</v>
      </c>
      <c r="S657">
        <v>-0.48410891069801398</v>
      </c>
      <c r="T657" t="b">
        <v>0</v>
      </c>
      <c r="U657" t="b">
        <v>0</v>
      </c>
      <c r="V657" t="b">
        <f t="shared" si="20"/>
        <v>1</v>
      </c>
      <c r="W657">
        <v>0</v>
      </c>
      <c r="Y657">
        <f t="shared" si="21"/>
        <v>0</v>
      </c>
    </row>
    <row r="658" spans="1:25" x14ac:dyDescent="0.3">
      <c r="A658" t="s">
        <v>2034</v>
      </c>
      <c r="B658" t="s">
        <v>158</v>
      </c>
      <c r="C658">
        <v>427</v>
      </c>
      <c r="D658" s="1">
        <v>45138.711446759262</v>
      </c>
      <c r="E658" t="s">
        <v>57</v>
      </c>
      <c r="F658" t="s">
        <v>64</v>
      </c>
      <c r="G658" t="s">
        <v>2035</v>
      </c>
      <c r="H658" t="s">
        <v>767</v>
      </c>
      <c r="I658" t="s">
        <v>162</v>
      </c>
      <c r="J658" t="s">
        <v>81</v>
      </c>
      <c r="K658">
        <v>49</v>
      </c>
      <c r="L658" t="s">
        <v>89</v>
      </c>
      <c r="M658">
        <v>163</v>
      </c>
      <c r="N658">
        <v>1</v>
      </c>
      <c r="O658">
        <v>8253.65</v>
      </c>
      <c r="P658" s="1">
        <v>45600.338541666664</v>
      </c>
      <c r="Q658">
        <v>17</v>
      </c>
      <c r="R658" t="s">
        <v>47</v>
      </c>
      <c r="S658">
        <v>0.44325359571161699</v>
      </c>
      <c r="T658" t="b">
        <v>0</v>
      </c>
      <c r="U658" t="b">
        <v>0</v>
      </c>
      <c r="V658" t="b">
        <f t="shared" si="20"/>
        <v>1</v>
      </c>
      <c r="W658">
        <v>0</v>
      </c>
      <c r="Y658">
        <f t="shared" si="21"/>
        <v>0</v>
      </c>
    </row>
    <row r="659" spans="1:25" x14ac:dyDescent="0.3">
      <c r="A659" t="s">
        <v>2036</v>
      </c>
      <c r="B659" t="s">
        <v>2037</v>
      </c>
      <c r="C659">
        <v>443.68</v>
      </c>
      <c r="D659" s="1">
        <v>45041.790648148148</v>
      </c>
      <c r="E659" t="s">
        <v>25</v>
      </c>
      <c r="F659" t="s">
        <v>268</v>
      </c>
      <c r="G659" t="s">
        <v>554</v>
      </c>
      <c r="H659" t="s">
        <v>2038</v>
      </c>
      <c r="I659" t="s">
        <v>458</v>
      </c>
      <c r="J659" t="s">
        <v>30</v>
      </c>
      <c r="K659">
        <v>18</v>
      </c>
      <c r="L659" t="s">
        <v>46</v>
      </c>
      <c r="M659">
        <v>137</v>
      </c>
      <c r="N659">
        <v>1</v>
      </c>
      <c r="O659">
        <v>874.15</v>
      </c>
      <c r="P659" s="1">
        <v>45600.340578703705</v>
      </c>
      <c r="Q659">
        <v>18</v>
      </c>
      <c r="R659" t="s">
        <v>32</v>
      </c>
      <c r="S659">
        <v>0.50038740160255601</v>
      </c>
      <c r="T659" t="b">
        <v>0</v>
      </c>
      <c r="U659" t="b">
        <v>0</v>
      </c>
      <c r="V659" t="b">
        <f t="shared" si="20"/>
        <v>1</v>
      </c>
      <c r="W659">
        <v>0</v>
      </c>
      <c r="Y659">
        <f t="shared" si="21"/>
        <v>0</v>
      </c>
    </row>
    <row r="660" spans="1:25" x14ac:dyDescent="0.3">
      <c r="A660" t="s">
        <v>2039</v>
      </c>
      <c r="B660" t="s">
        <v>1644</v>
      </c>
      <c r="C660">
        <v>101.76</v>
      </c>
      <c r="D660" s="1">
        <v>44977.727361111109</v>
      </c>
      <c r="E660" t="s">
        <v>25</v>
      </c>
      <c r="F660" t="s">
        <v>256</v>
      </c>
      <c r="G660" t="s">
        <v>886</v>
      </c>
      <c r="H660" t="s">
        <v>2040</v>
      </c>
      <c r="I660" t="s">
        <v>371</v>
      </c>
      <c r="J660" t="s">
        <v>81</v>
      </c>
      <c r="K660">
        <v>31</v>
      </c>
      <c r="L660" t="s">
        <v>31</v>
      </c>
      <c r="M660">
        <v>26</v>
      </c>
      <c r="N660">
        <v>1</v>
      </c>
      <c r="O660">
        <v>6043.25</v>
      </c>
      <c r="P660" s="1">
        <v>45600.341064814813</v>
      </c>
      <c r="Q660">
        <v>17</v>
      </c>
      <c r="R660" t="s">
        <v>47</v>
      </c>
      <c r="S660">
        <v>-0.67078711339922203</v>
      </c>
      <c r="T660" t="b">
        <v>0</v>
      </c>
      <c r="U660" t="b">
        <v>0</v>
      </c>
      <c r="V660" t="b">
        <f t="shared" si="20"/>
        <v>1</v>
      </c>
      <c r="W660">
        <v>0</v>
      </c>
      <c r="Y660">
        <f t="shared" si="21"/>
        <v>0</v>
      </c>
    </row>
    <row r="661" spans="1:25" x14ac:dyDescent="0.3">
      <c r="A661" t="s">
        <v>2041</v>
      </c>
      <c r="B661" t="s">
        <v>755</v>
      </c>
      <c r="C661">
        <v>67.569999999999993</v>
      </c>
      <c r="D661" s="1">
        <v>45155.697662037041</v>
      </c>
      <c r="E661" t="s">
        <v>25</v>
      </c>
      <c r="F661" t="s">
        <v>262</v>
      </c>
      <c r="G661" t="s">
        <v>2042</v>
      </c>
      <c r="H661" t="s">
        <v>2043</v>
      </c>
      <c r="I661" t="s">
        <v>495</v>
      </c>
      <c r="J661" t="s">
        <v>81</v>
      </c>
      <c r="K661">
        <v>37</v>
      </c>
      <c r="L661" t="s">
        <v>89</v>
      </c>
      <c r="M661">
        <v>107</v>
      </c>
      <c r="N661">
        <v>1</v>
      </c>
      <c r="O661">
        <v>2766.12</v>
      </c>
      <c r="P661" s="1">
        <v>45600.341145833336</v>
      </c>
      <c r="Q661">
        <v>16</v>
      </c>
      <c r="R661" t="s">
        <v>141</v>
      </c>
      <c r="S661">
        <v>-0.78789771432315403</v>
      </c>
      <c r="T661" t="b">
        <v>0</v>
      </c>
      <c r="U661" t="b">
        <v>0</v>
      </c>
      <c r="V661" t="b">
        <f t="shared" si="20"/>
        <v>1</v>
      </c>
      <c r="W661">
        <v>0</v>
      </c>
      <c r="Y661">
        <f t="shared" si="21"/>
        <v>0</v>
      </c>
    </row>
    <row r="662" spans="1:25" x14ac:dyDescent="0.3">
      <c r="A662" t="s">
        <v>2044</v>
      </c>
      <c r="B662" t="s">
        <v>742</v>
      </c>
      <c r="C662">
        <v>326.29000000000002</v>
      </c>
      <c r="D662" s="1">
        <v>45266.715682870374</v>
      </c>
      <c r="E662" t="s">
        <v>25</v>
      </c>
      <c r="F662" t="s">
        <v>126</v>
      </c>
      <c r="G662" t="s">
        <v>2045</v>
      </c>
      <c r="H662" t="s">
        <v>1061</v>
      </c>
      <c r="I662" t="s">
        <v>117</v>
      </c>
      <c r="J662" t="s">
        <v>45</v>
      </c>
      <c r="K662">
        <v>56</v>
      </c>
      <c r="L662" t="s">
        <v>89</v>
      </c>
      <c r="M662">
        <v>179</v>
      </c>
      <c r="N662">
        <v>1</v>
      </c>
      <c r="O662">
        <v>8171.26</v>
      </c>
      <c r="P662" s="1">
        <v>45600.340787037036</v>
      </c>
      <c r="Q662">
        <v>17</v>
      </c>
      <c r="R662" t="s">
        <v>74</v>
      </c>
      <c r="S662">
        <v>9.8292828848523806E-2</v>
      </c>
      <c r="T662" t="b">
        <v>0</v>
      </c>
      <c r="U662" t="b">
        <v>0</v>
      </c>
      <c r="V662" t="b">
        <f t="shared" si="20"/>
        <v>1</v>
      </c>
      <c r="W662">
        <v>0</v>
      </c>
      <c r="Y662">
        <f t="shared" si="21"/>
        <v>0</v>
      </c>
    </row>
    <row r="663" spans="1:25" x14ac:dyDescent="0.3">
      <c r="A663" t="s">
        <v>2046</v>
      </c>
      <c r="B663" t="s">
        <v>922</v>
      </c>
      <c r="C663">
        <v>158.56</v>
      </c>
      <c r="D663" s="1">
        <v>44985.72792824074</v>
      </c>
      <c r="E663" t="s">
        <v>25</v>
      </c>
      <c r="F663" t="s">
        <v>298</v>
      </c>
      <c r="G663" t="s">
        <v>2047</v>
      </c>
      <c r="H663" t="s">
        <v>996</v>
      </c>
      <c r="I663" t="s">
        <v>356</v>
      </c>
      <c r="J663" t="s">
        <v>30</v>
      </c>
      <c r="K663">
        <v>33</v>
      </c>
      <c r="L663" t="s">
        <v>31</v>
      </c>
      <c r="M663">
        <v>100</v>
      </c>
      <c r="N663">
        <v>1</v>
      </c>
      <c r="O663">
        <v>5401.21</v>
      </c>
      <c r="P663" s="1">
        <v>45600.340833333335</v>
      </c>
      <c r="Q663">
        <v>17</v>
      </c>
      <c r="R663" t="s">
        <v>32</v>
      </c>
      <c r="S663">
        <v>-0.47623074801521098</v>
      </c>
      <c r="T663" t="b">
        <v>0</v>
      </c>
      <c r="U663" t="b">
        <v>0</v>
      </c>
      <c r="V663" t="b">
        <f t="shared" si="20"/>
        <v>1</v>
      </c>
      <c r="W663">
        <v>0</v>
      </c>
      <c r="Y663">
        <f t="shared" si="21"/>
        <v>0</v>
      </c>
    </row>
    <row r="664" spans="1:25" x14ac:dyDescent="0.3">
      <c r="A664" t="s">
        <v>2048</v>
      </c>
      <c r="B664" t="s">
        <v>1087</v>
      </c>
      <c r="C664">
        <v>56.02</v>
      </c>
      <c r="D664" s="1">
        <v>45096.743391203701</v>
      </c>
      <c r="E664" t="s">
        <v>25</v>
      </c>
      <c r="F664" t="s">
        <v>104</v>
      </c>
      <c r="G664" t="s">
        <v>803</v>
      </c>
      <c r="H664" t="s">
        <v>181</v>
      </c>
      <c r="I664" t="s">
        <v>375</v>
      </c>
      <c r="J664" t="s">
        <v>45</v>
      </c>
      <c r="K664">
        <v>27</v>
      </c>
      <c r="L664" t="s">
        <v>46</v>
      </c>
      <c r="M664">
        <v>142</v>
      </c>
      <c r="N664">
        <v>1</v>
      </c>
      <c r="O664">
        <v>3548.02</v>
      </c>
      <c r="P664" s="1">
        <v>45600.338865740741</v>
      </c>
      <c r="Q664">
        <v>17</v>
      </c>
      <c r="R664" t="s">
        <v>47</v>
      </c>
      <c r="S664">
        <v>-0.827459792143318</v>
      </c>
      <c r="T664" t="b">
        <v>0</v>
      </c>
      <c r="U664" t="b">
        <v>0</v>
      </c>
      <c r="V664" t="b">
        <f t="shared" si="20"/>
        <v>1</v>
      </c>
      <c r="W664">
        <v>0</v>
      </c>
      <c r="Y664">
        <f t="shared" si="21"/>
        <v>0</v>
      </c>
    </row>
    <row r="665" spans="1:25" x14ac:dyDescent="0.3">
      <c r="A665" t="s">
        <v>2049</v>
      </c>
      <c r="B665" t="s">
        <v>1394</v>
      </c>
      <c r="C665">
        <v>288.27999999999997</v>
      </c>
      <c r="D665" s="1">
        <v>44943.716249999998</v>
      </c>
      <c r="E665" t="s">
        <v>25</v>
      </c>
      <c r="F665" t="s">
        <v>608</v>
      </c>
      <c r="G665" t="s">
        <v>2050</v>
      </c>
      <c r="H665" t="s">
        <v>2051</v>
      </c>
      <c r="I665" t="s">
        <v>356</v>
      </c>
      <c r="J665" t="s">
        <v>45</v>
      </c>
      <c r="K665">
        <v>27</v>
      </c>
      <c r="L665" t="s">
        <v>46</v>
      </c>
      <c r="M665">
        <v>36</v>
      </c>
      <c r="N665">
        <v>1</v>
      </c>
      <c r="O665">
        <v>160.83000000000001</v>
      </c>
      <c r="P665" s="1">
        <v>45600.337881944448</v>
      </c>
      <c r="Q665">
        <v>17</v>
      </c>
      <c r="R665" t="s">
        <v>32</v>
      </c>
      <c r="S665">
        <v>-3.1902372705107603E-2</v>
      </c>
      <c r="T665" t="b">
        <v>0</v>
      </c>
      <c r="U665" t="b">
        <v>0</v>
      </c>
      <c r="V665" t="b">
        <f t="shared" si="20"/>
        <v>1</v>
      </c>
      <c r="W665">
        <v>0</v>
      </c>
      <c r="Y665">
        <f t="shared" si="21"/>
        <v>0</v>
      </c>
    </row>
    <row r="666" spans="1:25" x14ac:dyDescent="0.3">
      <c r="A666" t="s">
        <v>2052</v>
      </c>
      <c r="B666" t="s">
        <v>1124</v>
      </c>
      <c r="C666">
        <v>245.67</v>
      </c>
      <c r="D666" s="1">
        <v>44928.774386574078</v>
      </c>
      <c r="E666" t="s">
        <v>57</v>
      </c>
      <c r="F666" t="s">
        <v>608</v>
      </c>
      <c r="G666" t="s">
        <v>439</v>
      </c>
      <c r="H666" t="s">
        <v>1699</v>
      </c>
      <c r="I666" t="s">
        <v>782</v>
      </c>
      <c r="J666" t="s">
        <v>81</v>
      </c>
      <c r="K666">
        <v>24</v>
      </c>
      <c r="L666" t="s">
        <v>46</v>
      </c>
      <c r="M666">
        <v>107</v>
      </c>
      <c r="N666">
        <v>1</v>
      </c>
      <c r="O666">
        <v>752.25</v>
      </c>
      <c r="P666" s="1">
        <v>45600.33871527778</v>
      </c>
      <c r="Q666">
        <v>18</v>
      </c>
      <c r="R666" t="s">
        <v>47</v>
      </c>
      <c r="S666">
        <v>-0.177853899624345</v>
      </c>
      <c r="T666" t="b">
        <v>0</v>
      </c>
      <c r="U666" t="b">
        <v>0</v>
      </c>
      <c r="V666" t="b">
        <f t="shared" si="20"/>
        <v>1</v>
      </c>
      <c r="W666">
        <v>0</v>
      </c>
      <c r="Y666">
        <f t="shared" si="21"/>
        <v>0</v>
      </c>
    </row>
    <row r="667" spans="1:25" x14ac:dyDescent="0.3">
      <c r="A667" t="s">
        <v>2053</v>
      </c>
      <c r="B667" t="s">
        <v>63</v>
      </c>
      <c r="C667">
        <v>152.18</v>
      </c>
      <c r="D667" s="1">
        <v>45145.706504629627</v>
      </c>
      <c r="E667" t="s">
        <v>57</v>
      </c>
      <c r="F667" t="s">
        <v>153</v>
      </c>
      <c r="G667" t="s">
        <v>930</v>
      </c>
      <c r="H667" t="s">
        <v>2054</v>
      </c>
      <c r="I667" t="s">
        <v>495</v>
      </c>
      <c r="J667" t="s">
        <v>45</v>
      </c>
      <c r="K667">
        <v>39</v>
      </c>
      <c r="L667" t="s">
        <v>89</v>
      </c>
      <c r="M667">
        <v>176</v>
      </c>
      <c r="N667">
        <v>4</v>
      </c>
      <c r="O667">
        <v>2459.84</v>
      </c>
      <c r="P667" s="1">
        <v>45600.340856481482</v>
      </c>
      <c r="Q667">
        <v>16</v>
      </c>
      <c r="R667" t="s">
        <v>47</v>
      </c>
      <c r="S667">
        <v>-0.49808408623968298</v>
      </c>
      <c r="T667" t="b">
        <v>0</v>
      </c>
      <c r="U667" t="b">
        <v>1</v>
      </c>
      <c r="V667" t="b">
        <f t="shared" si="20"/>
        <v>1</v>
      </c>
      <c r="W667">
        <v>1</v>
      </c>
      <c r="Y667">
        <f t="shared" si="21"/>
        <v>0</v>
      </c>
    </row>
    <row r="668" spans="1:25" x14ac:dyDescent="0.3">
      <c r="A668" t="s">
        <v>2055</v>
      </c>
      <c r="B668" t="s">
        <v>2056</v>
      </c>
      <c r="C668">
        <v>114.35</v>
      </c>
      <c r="D668" s="1">
        <v>45257.677997685183</v>
      </c>
      <c r="E668" t="s">
        <v>57</v>
      </c>
      <c r="F668" t="s">
        <v>519</v>
      </c>
      <c r="G668" t="s">
        <v>1561</v>
      </c>
      <c r="H668" t="s">
        <v>2057</v>
      </c>
      <c r="I668" t="s">
        <v>117</v>
      </c>
      <c r="J668" t="s">
        <v>81</v>
      </c>
      <c r="K668">
        <v>41</v>
      </c>
      <c r="L668" t="s">
        <v>89</v>
      </c>
      <c r="M668">
        <v>21</v>
      </c>
      <c r="N668">
        <v>1</v>
      </c>
      <c r="O668">
        <v>469.12</v>
      </c>
      <c r="P668" s="1">
        <v>45600.340428240743</v>
      </c>
      <c r="Q668">
        <v>16</v>
      </c>
      <c r="R668" t="s">
        <v>47</v>
      </c>
      <c r="S668">
        <v>-0.62766273593118105</v>
      </c>
      <c r="T668" t="b">
        <v>0</v>
      </c>
      <c r="U668" t="b">
        <v>0</v>
      </c>
      <c r="V668" t="b">
        <f t="shared" si="20"/>
        <v>1</v>
      </c>
      <c r="W668">
        <v>0</v>
      </c>
      <c r="Y668">
        <f t="shared" si="21"/>
        <v>0</v>
      </c>
    </row>
    <row r="669" spans="1:25" x14ac:dyDescent="0.3">
      <c r="A669" t="s">
        <v>2058</v>
      </c>
      <c r="B669" t="s">
        <v>591</v>
      </c>
      <c r="C669">
        <v>373.27</v>
      </c>
      <c r="D669" s="1">
        <v>45125.752118055556</v>
      </c>
      <c r="E669" t="s">
        <v>57</v>
      </c>
      <c r="F669" t="s">
        <v>185</v>
      </c>
      <c r="G669" t="s">
        <v>2059</v>
      </c>
      <c r="H669" t="s">
        <v>207</v>
      </c>
      <c r="I669" t="s">
        <v>213</v>
      </c>
      <c r="J669" t="s">
        <v>45</v>
      </c>
      <c r="K669">
        <v>61</v>
      </c>
      <c r="L669" t="s">
        <v>31</v>
      </c>
      <c r="M669">
        <v>79</v>
      </c>
      <c r="N669">
        <v>1</v>
      </c>
      <c r="O669">
        <v>8441.61</v>
      </c>
      <c r="P669" s="1">
        <v>45600.337916666664</v>
      </c>
      <c r="Q669">
        <v>18</v>
      </c>
      <c r="R669" t="s">
        <v>32</v>
      </c>
      <c r="S669">
        <v>0.25921286486508699</v>
      </c>
      <c r="T669" t="b">
        <v>0</v>
      </c>
      <c r="U669" t="b">
        <v>0</v>
      </c>
      <c r="V669" t="b">
        <f t="shared" si="20"/>
        <v>1</v>
      </c>
      <c r="W669">
        <v>0</v>
      </c>
      <c r="Y669">
        <f t="shared" si="21"/>
        <v>0</v>
      </c>
    </row>
    <row r="670" spans="1:25" x14ac:dyDescent="0.3">
      <c r="A670" t="s">
        <v>2060</v>
      </c>
      <c r="B670" t="s">
        <v>1257</v>
      </c>
      <c r="C670">
        <v>504.63</v>
      </c>
      <c r="D670" s="1">
        <v>45243.713310185187</v>
      </c>
      <c r="E670" t="s">
        <v>25</v>
      </c>
      <c r="F670" t="s">
        <v>608</v>
      </c>
      <c r="G670" t="s">
        <v>878</v>
      </c>
      <c r="H670" t="s">
        <v>628</v>
      </c>
      <c r="I670" t="s">
        <v>1537</v>
      </c>
      <c r="J670" t="s">
        <v>45</v>
      </c>
      <c r="K670">
        <v>60</v>
      </c>
      <c r="L670" t="s">
        <v>89</v>
      </c>
      <c r="M670">
        <v>168</v>
      </c>
      <c r="N670">
        <v>1</v>
      </c>
      <c r="O670">
        <v>3806.16</v>
      </c>
      <c r="P670" s="1">
        <v>45600.338773148149</v>
      </c>
      <c r="Q670">
        <v>17</v>
      </c>
      <c r="R670" t="s">
        <v>47</v>
      </c>
      <c r="S670">
        <v>0.70915871269684205</v>
      </c>
      <c r="T670" t="b">
        <v>0</v>
      </c>
      <c r="U670" t="b">
        <v>0</v>
      </c>
      <c r="V670" t="b">
        <f t="shared" si="20"/>
        <v>1</v>
      </c>
      <c r="W670">
        <v>0</v>
      </c>
      <c r="Y670">
        <f t="shared" si="21"/>
        <v>0</v>
      </c>
    </row>
    <row r="671" spans="1:25" x14ac:dyDescent="0.3">
      <c r="A671" t="s">
        <v>2061</v>
      </c>
      <c r="B671" t="s">
        <v>1098</v>
      </c>
      <c r="C671">
        <v>126.22</v>
      </c>
      <c r="D671" s="1">
        <v>45050.684201388889</v>
      </c>
      <c r="E671" t="s">
        <v>25</v>
      </c>
      <c r="F671" t="s">
        <v>58</v>
      </c>
      <c r="G671" t="s">
        <v>1799</v>
      </c>
      <c r="H671" t="s">
        <v>360</v>
      </c>
      <c r="I671" t="s">
        <v>440</v>
      </c>
      <c r="J671" t="s">
        <v>30</v>
      </c>
      <c r="K671">
        <v>46</v>
      </c>
      <c r="L671" t="s">
        <v>89</v>
      </c>
      <c r="M671">
        <v>77</v>
      </c>
      <c r="N671">
        <v>4</v>
      </c>
      <c r="O671">
        <v>6133.41</v>
      </c>
      <c r="P671" s="1">
        <v>45600.33866898148</v>
      </c>
      <c r="Q671">
        <v>16</v>
      </c>
      <c r="R671" t="s">
        <v>141</v>
      </c>
      <c r="S671">
        <v>-0.58700456591167105</v>
      </c>
      <c r="T671" t="b">
        <v>0</v>
      </c>
      <c r="U671" t="b">
        <v>1</v>
      </c>
      <c r="V671" t="b">
        <f t="shared" si="20"/>
        <v>1</v>
      </c>
      <c r="W671">
        <v>1</v>
      </c>
      <c r="Y671">
        <f t="shared" si="21"/>
        <v>0</v>
      </c>
    </row>
    <row r="672" spans="1:25" x14ac:dyDescent="0.3">
      <c r="A672" t="s">
        <v>2062</v>
      </c>
      <c r="B672" t="s">
        <v>2063</v>
      </c>
      <c r="C672">
        <v>820.15</v>
      </c>
      <c r="D672" s="1">
        <v>45278.68959490741</v>
      </c>
      <c r="E672" t="s">
        <v>25</v>
      </c>
      <c r="F672" t="s">
        <v>304</v>
      </c>
      <c r="G672" t="s">
        <v>751</v>
      </c>
      <c r="H672" t="s">
        <v>2064</v>
      </c>
      <c r="I672" t="s">
        <v>495</v>
      </c>
      <c r="J672" t="s">
        <v>81</v>
      </c>
      <c r="K672">
        <v>47</v>
      </c>
      <c r="L672" t="s">
        <v>31</v>
      </c>
      <c r="M672">
        <v>181</v>
      </c>
      <c r="N672">
        <v>1</v>
      </c>
      <c r="O672">
        <v>8802.9699999999993</v>
      </c>
      <c r="P672" s="1">
        <v>45600.340671296297</v>
      </c>
      <c r="Q672">
        <v>16</v>
      </c>
      <c r="R672" t="s">
        <v>47</v>
      </c>
      <c r="S672">
        <v>1.7899056212525299</v>
      </c>
      <c r="T672" t="b">
        <v>0</v>
      </c>
      <c r="U672" t="b">
        <v>0</v>
      </c>
      <c r="V672" t="b">
        <f t="shared" si="20"/>
        <v>1</v>
      </c>
      <c r="W672">
        <v>0</v>
      </c>
      <c r="Y672">
        <f t="shared" si="21"/>
        <v>0</v>
      </c>
    </row>
    <row r="673" spans="1:25" x14ac:dyDescent="0.3">
      <c r="A673" t="s">
        <v>2065</v>
      </c>
      <c r="B673" t="s">
        <v>2066</v>
      </c>
      <c r="C673">
        <v>986.81</v>
      </c>
      <c r="D673" s="1">
        <v>45016.703182870369</v>
      </c>
      <c r="E673" t="s">
        <v>57</v>
      </c>
      <c r="F673" t="s">
        <v>35</v>
      </c>
      <c r="G673" t="s">
        <v>508</v>
      </c>
      <c r="H673" t="s">
        <v>2067</v>
      </c>
      <c r="I673" t="s">
        <v>150</v>
      </c>
      <c r="J673" t="s">
        <v>45</v>
      </c>
      <c r="K673">
        <v>68</v>
      </c>
      <c r="L673" t="s">
        <v>31</v>
      </c>
      <c r="M673">
        <v>127</v>
      </c>
      <c r="N673">
        <v>1</v>
      </c>
      <c r="O673">
        <v>14881.77</v>
      </c>
      <c r="P673" s="1">
        <v>45600.339687500003</v>
      </c>
      <c r="Q673">
        <v>16</v>
      </c>
      <c r="R673" t="s">
        <v>54</v>
      </c>
      <c r="S673">
        <v>2.3607641398246999</v>
      </c>
      <c r="T673" t="b">
        <v>1</v>
      </c>
      <c r="U673" t="b">
        <v>0</v>
      </c>
      <c r="V673" t="b">
        <f t="shared" si="20"/>
        <v>1</v>
      </c>
      <c r="W673">
        <v>1</v>
      </c>
      <c r="Y673">
        <f t="shared" si="21"/>
        <v>1</v>
      </c>
    </row>
    <row r="674" spans="1:25" x14ac:dyDescent="0.3">
      <c r="A674" t="s">
        <v>2068</v>
      </c>
      <c r="B674" t="s">
        <v>2069</v>
      </c>
      <c r="C674">
        <v>8.3699999999999992</v>
      </c>
      <c r="D674" s="1">
        <v>44938.681562500002</v>
      </c>
      <c r="E674" t="s">
        <v>25</v>
      </c>
      <c r="F674" t="s">
        <v>534</v>
      </c>
      <c r="G674" t="s">
        <v>2070</v>
      </c>
      <c r="H674" t="s">
        <v>565</v>
      </c>
      <c r="I674" t="s">
        <v>1362</v>
      </c>
      <c r="J674" t="s">
        <v>30</v>
      </c>
      <c r="K674">
        <v>63</v>
      </c>
      <c r="L674" t="s">
        <v>82</v>
      </c>
      <c r="M674">
        <v>135</v>
      </c>
      <c r="N674">
        <v>1</v>
      </c>
      <c r="O674">
        <v>1106.3399999999999</v>
      </c>
      <c r="P674" s="1">
        <v>45600.341238425928</v>
      </c>
      <c r="Q674">
        <v>16</v>
      </c>
      <c r="R674" t="s">
        <v>141</v>
      </c>
      <c r="S674">
        <v>-0.99067477120226399</v>
      </c>
      <c r="T674" t="b">
        <v>0</v>
      </c>
      <c r="U674" t="b">
        <v>0</v>
      </c>
      <c r="V674" t="b">
        <f t="shared" si="20"/>
        <v>1</v>
      </c>
      <c r="W674">
        <v>0</v>
      </c>
      <c r="Y674">
        <f t="shared" si="21"/>
        <v>0</v>
      </c>
    </row>
    <row r="675" spans="1:25" x14ac:dyDescent="0.3">
      <c r="A675" t="s">
        <v>2071</v>
      </c>
      <c r="B675" t="s">
        <v>918</v>
      </c>
      <c r="C675">
        <v>197.49</v>
      </c>
      <c r="D675" s="1">
        <v>45110.692187499997</v>
      </c>
      <c r="E675" t="s">
        <v>57</v>
      </c>
      <c r="F675" t="s">
        <v>571</v>
      </c>
      <c r="G675" t="s">
        <v>1726</v>
      </c>
      <c r="H675" t="s">
        <v>2072</v>
      </c>
      <c r="I675" t="s">
        <v>95</v>
      </c>
      <c r="J675" t="s">
        <v>45</v>
      </c>
      <c r="K675">
        <v>53</v>
      </c>
      <c r="L675" t="s">
        <v>82</v>
      </c>
      <c r="M675">
        <v>30</v>
      </c>
      <c r="N675">
        <v>1</v>
      </c>
      <c r="O675">
        <v>5005.33</v>
      </c>
      <c r="P675" s="1">
        <v>45600.337962962964</v>
      </c>
      <c r="Q675">
        <v>16</v>
      </c>
      <c r="R675" t="s">
        <v>47</v>
      </c>
      <c r="S675">
        <v>-0.342884281388458</v>
      </c>
      <c r="T675" t="b">
        <v>0</v>
      </c>
      <c r="U675" t="b">
        <v>0</v>
      </c>
      <c r="V675" t="b">
        <f t="shared" si="20"/>
        <v>1</v>
      </c>
      <c r="W675">
        <v>0</v>
      </c>
      <c r="Y675">
        <f t="shared" si="21"/>
        <v>0</v>
      </c>
    </row>
    <row r="676" spans="1:25" x14ac:dyDescent="0.3">
      <c r="A676" t="s">
        <v>2073</v>
      </c>
      <c r="B676" t="s">
        <v>1317</v>
      </c>
      <c r="C676">
        <v>637.97</v>
      </c>
      <c r="D676" s="1">
        <v>45222.720347222225</v>
      </c>
      <c r="E676" t="s">
        <v>25</v>
      </c>
      <c r="F676" t="s">
        <v>216</v>
      </c>
      <c r="G676" t="s">
        <v>2028</v>
      </c>
      <c r="H676" t="s">
        <v>2074</v>
      </c>
      <c r="I676" t="s">
        <v>399</v>
      </c>
      <c r="J676" t="s">
        <v>81</v>
      </c>
      <c r="K676">
        <v>58</v>
      </c>
      <c r="L676" t="s">
        <v>82</v>
      </c>
      <c r="M676">
        <v>90</v>
      </c>
      <c r="N676">
        <v>1</v>
      </c>
      <c r="O676">
        <v>7949.03</v>
      </c>
      <c r="P676" s="1">
        <v>45600.338842592595</v>
      </c>
      <c r="Q676">
        <v>17</v>
      </c>
      <c r="R676" t="s">
        <v>47</v>
      </c>
      <c r="S676">
        <v>1.1658866310120499</v>
      </c>
      <c r="T676" t="b">
        <v>0</v>
      </c>
      <c r="U676" t="b">
        <v>0</v>
      </c>
      <c r="V676" t="b">
        <f t="shared" si="20"/>
        <v>1</v>
      </c>
      <c r="W676">
        <v>0</v>
      </c>
      <c r="Y676">
        <f t="shared" si="21"/>
        <v>0</v>
      </c>
    </row>
    <row r="677" spans="1:25" x14ac:dyDescent="0.3">
      <c r="A677" t="s">
        <v>2075</v>
      </c>
      <c r="B677" t="s">
        <v>1253</v>
      </c>
      <c r="C677">
        <v>13.52</v>
      </c>
      <c r="D677" s="1">
        <v>45061.702407407407</v>
      </c>
      <c r="E677" t="s">
        <v>25</v>
      </c>
      <c r="F677" t="s">
        <v>70</v>
      </c>
      <c r="G677" t="s">
        <v>2076</v>
      </c>
      <c r="H677" t="s">
        <v>2072</v>
      </c>
      <c r="I677" t="s">
        <v>366</v>
      </c>
      <c r="J677" t="s">
        <v>30</v>
      </c>
      <c r="K677">
        <v>26</v>
      </c>
      <c r="L677" t="s">
        <v>46</v>
      </c>
      <c r="M677">
        <v>65</v>
      </c>
      <c r="N677">
        <v>1</v>
      </c>
      <c r="O677">
        <v>259.77</v>
      </c>
      <c r="P677" s="1">
        <v>45600.337847222225</v>
      </c>
      <c r="Q677">
        <v>16</v>
      </c>
      <c r="R677" t="s">
        <v>47</v>
      </c>
      <c r="S677">
        <v>-0.97303453736903101</v>
      </c>
      <c r="T677" t="b">
        <v>0</v>
      </c>
      <c r="U677" t="b">
        <v>0</v>
      </c>
      <c r="V677" t="b">
        <f t="shared" si="20"/>
        <v>1</v>
      </c>
      <c r="W677">
        <v>0</v>
      </c>
      <c r="Y677">
        <f t="shared" si="21"/>
        <v>0</v>
      </c>
    </row>
    <row r="678" spans="1:25" x14ac:dyDescent="0.3">
      <c r="A678" t="s">
        <v>2077</v>
      </c>
      <c r="B678" t="s">
        <v>1306</v>
      </c>
      <c r="C678">
        <v>432.1</v>
      </c>
      <c r="D678" s="1">
        <v>45005.686307870368</v>
      </c>
      <c r="E678" t="s">
        <v>25</v>
      </c>
      <c r="F678" t="s">
        <v>225</v>
      </c>
      <c r="G678" t="s">
        <v>1561</v>
      </c>
      <c r="H678" t="s">
        <v>2078</v>
      </c>
      <c r="I678" t="s">
        <v>134</v>
      </c>
      <c r="J678" t="s">
        <v>30</v>
      </c>
      <c r="K678">
        <v>49</v>
      </c>
      <c r="L678" t="s">
        <v>89</v>
      </c>
      <c r="M678">
        <v>240</v>
      </c>
      <c r="N678">
        <v>1</v>
      </c>
      <c r="O678">
        <v>2114.3000000000002</v>
      </c>
      <c r="P678" s="1">
        <v>45600.340462962966</v>
      </c>
      <c r="Q678">
        <v>16</v>
      </c>
      <c r="R678" t="s">
        <v>47</v>
      </c>
      <c r="S678">
        <v>0.46072256513870302</v>
      </c>
      <c r="T678" t="b">
        <v>0</v>
      </c>
      <c r="U678" t="b">
        <v>0</v>
      </c>
      <c r="V678" t="b">
        <f t="shared" si="20"/>
        <v>1</v>
      </c>
      <c r="W678">
        <v>0</v>
      </c>
      <c r="Y678">
        <f t="shared" si="21"/>
        <v>0</v>
      </c>
    </row>
    <row r="679" spans="1:25" x14ac:dyDescent="0.3">
      <c r="A679" t="s">
        <v>2079</v>
      </c>
      <c r="B679" t="s">
        <v>755</v>
      </c>
      <c r="C679">
        <v>375.17</v>
      </c>
      <c r="D679" s="1">
        <v>45085.72283564815</v>
      </c>
      <c r="E679" t="s">
        <v>25</v>
      </c>
      <c r="F679" t="s">
        <v>170</v>
      </c>
      <c r="G679" t="s">
        <v>718</v>
      </c>
      <c r="H679" t="s">
        <v>1472</v>
      </c>
      <c r="I679" t="s">
        <v>213</v>
      </c>
      <c r="J679" t="s">
        <v>30</v>
      </c>
      <c r="K679">
        <v>51</v>
      </c>
      <c r="L679" t="s">
        <v>89</v>
      </c>
      <c r="M679">
        <v>66</v>
      </c>
      <c r="N679">
        <v>2</v>
      </c>
      <c r="O679">
        <v>5495.3</v>
      </c>
      <c r="P679" s="1">
        <v>45600.341273148151</v>
      </c>
      <c r="Q679">
        <v>17</v>
      </c>
      <c r="R679" t="s">
        <v>141</v>
      </c>
      <c r="S679">
        <v>0.26572091229870698</v>
      </c>
      <c r="T679" t="b">
        <v>0</v>
      </c>
      <c r="U679" t="b">
        <v>1</v>
      </c>
      <c r="V679" t="b">
        <f t="shared" si="20"/>
        <v>1</v>
      </c>
      <c r="W679">
        <v>1</v>
      </c>
      <c r="Y679">
        <f t="shared" si="21"/>
        <v>0</v>
      </c>
    </row>
    <row r="680" spans="1:25" x14ac:dyDescent="0.3">
      <c r="A680" t="s">
        <v>2080</v>
      </c>
      <c r="B680" t="s">
        <v>1485</v>
      </c>
      <c r="C680">
        <v>642.67999999999995</v>
      </c>
      <c r="D680" s="1">
        <v>44974.706377314818</v>
      </c>
      <c r="E680" t="s">
        <v>25</v>
      </c>
      <c r="F680" t="s">
        <v>571</v>
      </c>
      <c r="G680" t="s">
        <v>2081</v>
      </c>
      <c r="H680" t="s">
        <v>1942</v>
      </c>
      <c r="I680" t="s">
        <v>652</v>
      </c>
      <c r="J680" t="s">
        <v>81</v>
      </c>
      <c r="K680">
        <v>50</v>
      </c>
      <c r="L680" t="s">
        <v>31</v>
      </c>
      <c r="M680">
        <v>94</v>
      </c>
      <c r="N680">
        <v>1</v>
      </c>
      <c r="O680">
        <v>8461.4599999999991</v>
      </c>
      <c r="P680" s="1">
        <v>45600.339328703703</v>
      </c>
      <c r="Q680">
        <v>16</v>
      </c>
      <c r="R680" t="s">
        <v>54</v>
      </c>
      <c r="S680">
        <v>1.1820197380711801</v>
      </c>
      <c r="T680" t="b">
        <v>0</v>
      </c>
      <c r="U680" t="b">
        <v>0</v>
      </c>
      <c r="V680" t="b">
        <f t="shared" si="20"/>
        <v>1</v>
      </c>
      <c r="W680">
        <v>0</v>
      </c>
      <c r="Y680">
        <f t="shared" si="21"/>
        <v>0</v>
      </c>
    </row>
    <row r="681" spans="1:25" x14ac:dyDescent="0.3">
      <c r="A681" t="s">
        <v>2082</v>
      </c>
      <c r="B681" t="s">
        <v>2083</v>
      </c>
      <c r="C681">
        <v>78.44</v>
      </c>
      <c r="D681" s="1">
        <v>45251.726041666669</v>
      </c>
      <c r="E681" t="s">
        <v>57</v>
      </c>
      <c r="F681" t="s">
        <v>236</v>
      </c>
      <c r="G681" t="s">
        <v>1110</v>
      </c>
      <c r="H681" t="s">
        <v>2084</v>
      </c>
      <c r="I681" t="s">
        <v>463</v>
      </c>
      <c r="J681" t="s">
        <v>45</v>
      </c>
      <c r="K681">
        <v>52</v>
      </c>
      <c r="L681" t="s">
        <v>82</v>
      </c>
      <c r="M681">
        <v>292</v>
      </c>
      <c r="N681">
        <v>1</v>
      </c>
      <c r="O681">
        <v>6870.84</v>
      </c>
      <c r="P681" s="1">
        <v>45600.340729166666</v>
      </c>
      <c r="Q681">
        <v>17</v>
      </c>
      <c r="R681" t="s">
        <v>32</v>
      </c>
      <c r="S681">
        <v>-0.75066483242660098</v>
      </c>
      <c r="T681" t="b">
        <v>0</v>
      </c>
      <c r="U681" t="b">
        <v>0</v>
      </c>
      <c r="V681" t="b">
        <f t="shared" si="20"/>
        <v>1</v>
      </c>
      <c r="W681">
        <v>0</v>
      </c>
      <c r="Y681">
        <f t="shared" si="21"/>
        <v>0</v>
      </c>
    </row>
    <row r="682" spans="1:25" x14ac:dyDescent="0.3">
      <c r="A682" t="s">
        <v>2085</v>
      </c>
      <c r="B682" t="s">
        <v>2086</v>
      </c>
      <c r="C682">
        <v>139.72</v>
      </c>
      <c r="D682" s="1">
        <v>44942.745138888888</v>
      </c>
      <c r="E682" t="s">
        <v>25</v>
      </c>
      <c r="F682" t="s">
        <v>104</v>
      </c>
      <c r="G682" t="s">
        <v>359</v>
      </c>
      <c r="H682" t="s">
        <v>1490</v>
      </c>
      <c r="I682" t="s">
        <v>463</v>
      </c>
      <c r="J682" t="s">
        <v>81</v>
      </c>
      <c r="K682">
        <v>49</v>
      </c>
      <c r="L682" t="s">
        <v>89</v>
      </c>
      <c r="M682">
        <v>201</v>
      </c>
      <c r="N682">
        <v>1</v>
      </c>
      <c r="O682">
        <v>5058.83</v>
      </c>
      <c r="P682" s="1">
        <v>45600.339166666665</v>
      </c>
      <c r="Q682">
        <v>17</v>
      </c>
      <c r="R682" t="s">
        <v>47</v>
      </c>
      <c r="S682">
        <v>-0.54076317625173898</v>
      </c>
      <c r="T682" t="b">
        <v>0</v>
      </c>
      <c r="U682" t="b">
        <v>0</v>
      </c>
      <c r="V682" t="b">
        <f t="shared" si="20"/>
        <v>1</v>
      </c>
      <c r="W682">
        <v>0</v>
      </c>
      <c r="Y682">
        <f t="shared" si="21"/>
        <v>0</v>
      </c>
    </row>
    <row r="683" spans="1:25" x14ac:dyDescent="0.3">
      <c r="A683" t="s">
        <v>2087</v>
      </c>
      <c r="B683" t="s">
        <v>1807</v>
      </c>
      <c r="C683">
        <v>499.99</v>
      </c>
      <c r="D683" s="1">
        <v>45140.667557870373</v>
      </c>
      <c r="E683" t="s">
        <v>25</v>
      </c>
      <c r="F683" t="s">
        <v>236</v>
      </c>
      <c r="G683" t="s">
        <v>1888</v>
      </c>
      <c r="H683" t="s">
        <v>360</v>
      </c>
      <c r="I683" t="s">
        <v>259</v>
      </c>
      <c r="J683" t="s">
        <v>81</v>
      </c>
      <c r="K683">
        <v>31</v>
      </c>
      <c r="L683" t="s">
        <v>89</v>
      </c>
      <c r="M683">
        <v>296</v>
      </c>
      <c r="N683">
        <v>1</v>
      </c>
      <c r="O683">
        <v>8885</v>
      </c>
      <c r="P683" s="1">
        <v>45600.339641203704</v>
      </c>
      <c r="Q683">
        <v>16</v>
      </c>
      <c r="R683" t="s">
        <v>74</v>
      </c>
      <c r="S683">
        <v>0.69326537580631697</v>
      </c>
      <c r="T683" t="b">
        <v>0</v>
      </c>
      <c r="U683" t="b">
        <v>0</v>
      </c>
      <c r="V683" t="b">
        <f t="shared" si="20"/>
        <v>1</v>
      </c>
      <c r="W683">
        <v>0</v>
      </c>
      <c r="Y683">
        <f t="shared" si="21"/>
        <v>0</v>
      </c>
    </row>
    <row r="684" spans="1:25" x14ac:dyDescent="0.3">
      <c r="A684" t="s">
        <v>2088</v>
      </c>
      <c r="B684" t="s">
        <v>1928</v>
      </c>
      <c r="C684">
        <v>10.07</v>
      </c>
      <c r="D684" s="1">
        <v>44943.699780092589</v>
      </c>
      <c r="E684" t="s">
        <v>25</v>
      </c>
      <c r="F684" t="s">
        <v>98</v>
      </c>
      <c r="G684" t="s">
        <v>452</v>
      </c>
      <c r="H684" t="s">
        <v>694</v>
      </c>
      <c r="I684" t="s">
        <v>188</v>
      </c>
      <c r="J684" t="s">
        <v>45</v>
      </c>
      <c r="K684">
        <v>24</v>
      </c>
      <c r="L684" t="s">
        <v>46</v>
      </c>
      <c r="M684">
        <v>49</v>
      </c>
      <c r="N684">
        <v>1</v>
      </c>
      <c r="O684">
        <v>530.80999999999995</v>
      </c>
      <c r="P684" s="1">
        <v>45600.339548611111</v>
      </c>
      <c r="Q684">
        <v>16</v>
      </c>
      <c r="R684" t="s">
        <v>32</v>
      </c>
      <c r="S684">
        <v>-0.98485178139323504</v>
      </c>
      <c r="T684" t="b">
        <v>0</v>
      </c>
      <c r="U684" t="b">
        <v>0</v>
      </c>
      <c r="V684" t="b">
        <f t="shared" si="20"/>
        <v>1</v>
      </c>
      <c r="W684">
        <v>0</v>
      </c>
      <c r="Y684">
        <f t="shared" si="21"/>
        <v>0</v>
      </c>
    </row>
    <row r="685" spans="1:25" x14ac:dyDescent="0.3">
      <c r="A685" t="s">
        <v>2089</v>
      </c>
      <c r="B685" t="s">
        <v>143</v>
      </c>
      <c r="C685">
        <v>120.62</v>
      </c>
      <c r="D685" s="1">
        <v>44984.692488425928</v>
      </c>
      <c r="E685" t="s">
        <v>25</v>
      </c>
      <c r="F685" t="s">
        <v>50</v>
      </c>
      <c r="G685" t="s">
        <v>1710</v>
      </c>
      <c r="H685" t="s">
        <v>513</v>
      </c>
      <c r="I685" t="s">
        <v>356</v>
      </c>
      <c r="J685" t="s">
        <v>30</v>
      </c>
      <c r="K685">
        <v>23</v>
      </c>
      <c r="L685" t="s">
        <v>46</v>
      </c>
      <c r="M685">
        <v>85</v>
      </c>
      <c r="N685">
        <v>1</v>
      </c>
      <c r="O685">
        <v>9379.5300000000007</v>
      </c>
      <c r="P685" s="1">
        <v>45600.337951388887</v>
      </c>
      <c r="Q685">
        <v>16</v>
      </c>
      <c r="R685" t="s">
        <v>47</v>
      </c>
      <c r="S685">
        <v>-0.606186179400235</v>
      </c>
      <c r="T685" t="b">
        <v>0</v>
      </c>
      <c r="U685" t="b">
        <v>0</v>
      </c>
      <c r="V685" t="b">
        <f t="shared" si="20"/>
        <v>1</v>
      </c>
      <c r="W685">
        <v>0</v>
      </c>
      <c r="Y685">
        <f t="shared" si="21"/>
        <v>0</v>
      </c>
    </row>
    <row r="686" spans="1:25" x14ac:dyDescent="0.3">
      <c r="A686" t="s">
        <v>2090</v>
      </c>
      <c r="B686" t="s">
        <v>2091</v>
      </c>
      <c r="C686">
        <v>578.49</v>
      </c>
      <c r="D686" s="1">
        <v>45215.740868055553</v>
      </c>
      <c r="E686" t="s">
        <v>25</v>
      </c>
      <c r="F686" t="s">
        <v>92</v>
      </c>
      <c r="G686" t="s">
        <v>2092</v>
      </c>
      <c r="H686" t="s">
        <v>862</v>
      </c>
      <c r="I686" t="s">
        <v>431</v>
      </c>
      <c r="J686" t="s">
        <v>81</v>
      </c>
      <c r="K686">
        <v>59</v>
      </c>
      <c r="L686" t="s">
        <v>82</v>
      </c>
      <c r="M686">
        <v>180</v>
      </c>
      <c r="N686">
        <v>1</v>
      </c>
      <c r="O686">
        <v>6475.13</v>
      </c>
      <c r="P686" s="1">
        <v>45600.338078703702</v>
      </c>
      <c r="Q686">
        <v>17</v>
      </c>
      <c r="R686" t="s">
        <v>47</v>
      </c>
      <c r="S686">
        <v>0.962150493458516</v>
      </c>
      <c r="T686" t="b">
        <v>0</v>
      </c>
      <c r="U686" t="b">
        <v>0</v>
      </c>
      <c r="V686" t="b">
        <f t="shared" si="20"/>
        <v>1</v>
      </c>
      <c r="W686">
        <v>0</v>
      </c>
      <c r="Y686">
        <f t="shared" si="21"/>
        <v>0</v>
      </c>
    </row>
    <row r="687" spans="1:25" x14ac:dyDescent="0.3">
      <c r="A687" t="s">
        <v>2093</v>
      </c>
      <c r="B687" t="s">
        <v>2037</v>
      </c>
      <c r="C687">
        <v>119.3</v>
      </c>
      <c r="D687" s="1">
        <v>45166.672847222224</v>
      </c>
      <c r="E687" t="s">
        <v>25</v>
      </c>
      <c r="F687" t="s">
        <v>41</v>
      </c>
      <c r="G687" t="s">
        <v>1303</v>
      </c>
      <c r="H687" t="s">
        <v>1553</v>
      </c>
      <c r="I687" t="s">
        <v>720</v>
      </c>
      <c r="J687" t="s">
        <v>81</v>
      </c>
      <c r="K687">
        <v>34</v>
      </c>
      <c r="L687" t="s">
        <v>89</v>
      </c>
      <c r="M687">
        <v>22</v>
      </c>
      <c r="N687">
        <v>5</v>
      </c>
      <c r="O687">
        <v>319.04000000000002</v>
      </c>
      <c r="P687" s="1">
        <v>45600.339525462965</v>
      </c>
      <c r="Q687">
        <v>16</v>
      </c>
      <c r="R687" t="s">
        <v>47</v>
      </c>
      <c r="S687">
        <v>-0.61070755972253998</v>
      </c>
      <c r="T687" t="b">
        <v>0</v>
      </c>
      <c r="U687" t="b">
        <v>1</v>
      </c>
      <c r="V687" t="b">
        <f t="shared" si="20"/>
        <v>1</v>
      </c>
      <c r="W687">
        <v>1</v>
      </c>
      <c r="Y687">
        <f t="shared" si="21"/>
        <v>0</v>
      </c>
    </row>
    <row r="688" spans="1:25" x14ac:dyDescent="0.3">
      <c r="A688" t="s">
        <v>2094</v>
      </c>
      <c r="B688" t="s">
        <v>897</v>
      </c>
      <c r="C688">
        <v>280.92</v>
      </c>
      <c r="D688" s="1">
        <v>45292.765162037038</v>
      </c>
      <c r="E688" t="s">
        <v>25</v>
      </c>
      <c r="F688" t="s">
        <v>438</v>
      </c>
      <c r="G688" t="s">
        <v>1173</v>
      </c>
      <c r="H688" t="s">
        <v>149</v>
      </c>
      <c r="I688" t="s">
        <v>134</v>
      </c>
      <c r="J688" t="s">
        <v>45</v>
      </c>
      <c r="K688">
        <v>41</v>
      </c>
      <c r="L688" t="s">
        <v>31</v>
      </c>
      <c r="M688">
        <v>168</v>
      </c>
      <c r="N688">
        <v>1</v>
      </c>
      <c r="O688">
        <v>5298.85</v>
      </c>
      <c r="P688" s="1">
        <v>45600.33797453704</v>
      </c>
      <c r="Q688">
        <v>18</v>
      </c>
      <c r="R688" t="s">
        <v>47</v>
      </c>
      <c r="S688">
        <v>-5.7112493290077899E-2</v>
      </c>
      <c r="T688" t="b">
        <v>0</v>
      </c>
      <c r="U688" t="b">
        <v>0</v>
      </c>
      <c r="V688" t="b">
        <f t="shared" si="20"/>
        <v>1</v>
      </c>
      <c r="W688">
        <v>0</v>
      </c>
      <c r="Y688">
        <f t="shared" si="21"/>
        <v>0</v>
      </c>
    </row>
    <row r="689" spans="1:25" x14ac:dyDescent="0.3">
      <c r="A689" t="s">
        <v>2095</v>
      </c>
      <c r="B689" t="s">
        <v>2096</v>
      </c>
      <c r="C689">
        <v>42.42</v>
      </c>
      <c r="D689" s="1">
        <v>45078.722187500003</v>
      </c>
      <c r="E689" t="s">
        <v>25</v>
      </c>
      <c r="F689" t="s">
        <v>298</v>
      </c>
      <c r="G689" t="s">
        <v>2097</v>
      </c>
      <c r="H689" t="s">
        <v>804</v>
      </c>
      <c r="I689" t="s">
        <v>577</v>
      </c>
      <c r="J689" t="s">
        <v>45</v>
      </c>
      <c r="K689">
        <v>21</v>
      </c>
      <c r="L689" t="s">
        <v>46</v>
      </c>
      <c r="M689">
        <v>102</v>
      </c>
      <c r="N689">
        <v>1</v>
      </c>
      <c r="O689">
        <v>490.57</v>
      </c>
      <c r="P689" s="1">
        <v>45600.33971064815</v>
      </c>
      <c r="Q689">
        <v>17</v>
      </c>
      <c r="R689" t="s">
        <v>141</v>
      </c>
      <c r="S689">
        <v>-0.87404371061554598</v>
      </c>
      <c r="T689" t="b">
        <v>0</v>
      </c>
      <c r="U689" t="b">
        <v>0</v>
      </c>
      <c r="V689" t="b">
        <f t="shared" si="20"/>
        <v>1</v>
      </c>
      <c r="W689">
        <v>0</v>
      </c>
      <c r="Y689">
        <f t="shared" si="21"/>
        <v>0</v>
      </c>
    </row>
    <row r="690" spans="1:25" x14ac:dyDescent="0.3">
      <c r="A690" t="s">
        <v>2098</v>
      </c>
      <c r="B690" t="s">
        <v>1625</v>
      </c>
      <c r="C690">
        <v>77.03</v>
      </c>
      <c r="D690" s="1">
        <v>45096.706863425927</v>
      </c>
      <c r="E690" t="s">
        <v>25</v>
      </c>
      <c r="F690" t="s">
        <v>571</v>
      </c>
      <c r="G690" t="s">
        <v>2099</v>
      </c>
      <c r="H690" t="s">
        <v>675</v>
      </c>
      <c r="I690" t="s">
        <v>107</v>
      </c>
      <c r="J690" t="s">
        <v>30</v>
      </c>
      <c r="K690">
        <v>67</v>
      </c>
      <c r="L690" t="s">
        <v>31</v>
      </c>
      <c r="M690">
        <v>259</v>
      </c>
      <c r="N690">
        <v>1</v>
      </c>
      <c r="O690">
        <v>11310.27</v>
      </c>
      <c r="P690" s="1">
        <v>45600.338958333334</v>
      </c>
      <c r="Q690">
        <v>16</v>
      </c>
      <c r="R690" t="s">
        <v>47</v>
      </c>
      <c r="S690">
        <v>-0.75549448867997204</v>
      </c>
      <c r="T690" t="b">
        <v>0</v>
      </c>
      <c r="U690" t="b">
        <v>0</v>
      </c>
      <c r="V690" t="b">
        <f t="shared" si="20"/>
        <v>1</v>
      </c>
      <c r="W690">
        <v>0</v>
      </c>
      <c r="Y690">
        <f t="shared" si="21"/>
        <v>0</v>
      </c>
    </row>
    <row r="691" spans="1:25" x14ac:dyDescent="0.3">
      <c r="A691" t="s">
        <v>2100</v>
      </c>
      <c r="B691" t="s">
        <v>473</v>
      </c>
      <c r="C691">
        <v>22.59</v>
      </c>
      <c r="D691" s="1">
        <v>45012.675416666665</v>
      </c>
      <c r="E691" t="s">
        <v>25</v>
      </c>
      <c r="F691" t="s">
        <v>70</v>
      </c>
      <c r="G691" t="s">
        <v>2101</v>
      </c>
      <c r="H691" t="s">
        <v>284</v>
      </c>
      <c r="I691" t="s">
        <v>419</v>
      </c>
      <c r="J691" t="s">
        <v>30</v>
      </c>
      <c r="K691">
        <v>62</v>
      </c>
      <c r="L691" t="s">
        <v>82</v>
      </c>
      <c r="M691">
        <v>45</v>
      </c>
      <c r="N691">
        <v>1</v>
      </c>
      <c r="O691">
        <v>3988.75</v>
      </c>
      <c r="P691" s="1">
        <v>45600.339143518519</v>
      </c>
      <c r="Q691">
        <v>16</v>
      </c>
      <c r="R691" t="s">
        <v>47</v>
      </c>
      <c r="S691">
        <v>-0.94196717409380204</v>
      </c>
      <c r="T691" t="b">
        <v>0</v>
      </c>
      <c r="U691" t="b">
        <v>0</v>
      </c>
      <c r="V691" t="b">
        <f t="shared" si="20"/>
        <v>1</v>
      </c>
      <c r="W691">
        <v>0</v>
      </c>
      <c r="Y691">
        <f t="shared" si="21"/>
        <v>0</v>
      </c>
    </row>
    <row r="692" spans="1:25" x14ac:dyDescent="0.3">
      <c r="A692" t="s">
        <v>2102</v>
      </c>
      <c r="B692" t="s">
        <v>2103</v>
      </c>
      <c r="C692">
        <v>568.76</v>
      </c>
      <c r="D692" s="1">
        <v>45208.700578703705</v>
      </c>
      <c r="E692" t="s">
        <v>25</v>
      </c>
      <c r="F692" t="s">
        <v>210</v>
      </c>
      <c r="G692" t="s">
        <v>995</v>
      </c>
      <c r="H692" t="s">
        <v>2104</v>
      </c>
      <c r="I692" t="s">
        <v>361</v>
      </c>
      <c r="J692" t="s">
        <v>30</v>
      </c>
      <c r="K692">
        <v>51</v>
      </c>
      <c r="L692" t="s">
        <v>82</v>
      </c>
      <c r="M692">
        <v>155</v>
      </c>
      <c r="N692">
        <v>1</v>
      </c>
      <c r="O692">
        <v>7484.32</v>
      </c>
      <c r="P692" s="1">
        <v>45600.341770833336</v>
      </c>
      <c r="Q692">
        <v>16</v>
      </c>
      <c r="R692" t="s">
        <v>47</v>
      </c>
      <c r="S692">
        <v>0.92882244002213499</v>
      </c>
      <c r="T692" t="b">
        <v>0</v>
      </c>
      <c r="U692" t="b">
        <v>0</v>
      </c>
      <c r="V692" t="b">
        <f t="shared" si="20"/>
        <v>1</v>
      </c>
      <c r="W692">
        <v>0</v>
      </c>
      <c r="Y692">
        <f t="shared" si="21"/>
        <v>0</v>
      </c>
    </row>
    <row r="693" spans="1:25" x14ac:dyDescent="0.3">
      <c r="A693" t="s">
        <v>2105</v>
      </c>
      <c r="B693" t="s">
        <v>1277</v>
      </c>
      <c r="C693">
        <v>25.94</v>
      </c>
      <c r="D693" s="1">
        <v>45215.787164351852</v>
      </c>
      <c r="E693" t="s">
        <v>57</v>
      </c>
      <c r="F693" t="s">
        <v>236</v>
      </c>
      <c r="G693" t="s">
        <v>197</v>
      </c>
      <c r="H693" t="s">
        <v>320</v>
      </c>
      <c r="I693" t="s">
        <v>375</v>
      </c>
      <c r="J693" t="s">
        <v>45</v>
      </c>
      <c r="K693">
        <v>58</v>
      </c>
      <c r="L693" t="s">
        <v>82</v>
      </c>
      <c r="M693">
        <v>211</v>
      </c>
      <c r="N693">
        <v>5</v>
      </c>
      <c r="O693">
        <v>4815.1099999999997</v>
      </c>
      <c r="P693" s="1">
        <v>45600.337939814817</v>
      </c>
      <c r="Q693">
        <v>18</v>
      </c>
      <c r="R693" t="s">
        <v>47</v>
      </c>
      <c r="S693">
        <v>-0.93049245888189303</v>
      </c>
      <c r="T693" t="b">
        <v>0</v>
      </c>
      <c r="U693" t="b">
        <v>1</v>
      </c>
      <c r="V693" t="b">
        <f t="shared" si="20"/>
        <v>1</v>
      </c>
      <c r="W693">
        <v>1</v>
      </c>
      <c r="Y693">
        <f t="shared" si="21"/>
        <v>0</v>
      </c>
    </row>
    <row r="694" spans="1:25" x14ac:dyDescent="0.3">
      <c r="A694" t="s">
        <v>2106</v>
      </c>
      <c r="B694" t="s">
        <v>1809</v>
      </c>
      <c r="C694">
        <v>105.94</v>
      </c>
      <c r="D694" s="1">
        <v>45145.668692129628</v>
      </c>
      <c r="E694" t="s">
        <v>25</v>
      </c>
      <c r="F694" t="s">
        <v>64</v>
      </c>
      <c r="G694" t="s">
        <v>1971</v>
      </c>
      <c r="H694" t="s">
        <v>2107</v>
      </c>
      <c r="I694" t="s">
        <v>239</v>
      </c>
      <c r="J694" t="s">
        <v>81</v>
      </c>
      <c r="K694">
        <v>51</v>
      </c>
      <c r="L694" t="s">
        <v>89</v>
      </c>
      <c r="M694">
        <v>207</v>
      </c>
      <c r="N694">
        <v>1</v>
      </c>
      <c r="O694">
        <v>5963.1</v>
      </c>
      <c r="P694" s="1">
        <v>45600.340266203704</v>
      </c>
      <c r="Q694">
        <v>16</v>
      </c>
      <c r="R694" t="s">
        <v>47</v>
      </c>
      <c r="S694">
        <v>-0.65646940904525797</v>
      </c>
      <c r="T694" t="b">
        <v>0</v>
      </c>
      <c r="U694" t="b">
        <v>0</v>
      </c>
      <c r="V694" t="b">
        <f t="shared" si="20"/>
        <v>1</v>
      </c>
      <c r="W694">
        <v>0</v>
      </c>
      <c r="Y694">
        <f t="shared" si="21"/>
        <v>0</v>
      </c>
    </row>
    <row r="695" spans="1:25" x14ac:dyDescent="0.3">
      <c r="A695" t="s">
        <v>2108</v>
      </c>
      <c r="B695" t="s">
        <v>272</v>
      </c>
      <c r="C695">
        <v>733.29</v>
      </c>
      <c r="D695" s="1">
        <v>45000.779351851852</v>
      </c>
      <c r="E695" t="s">
        <v>25</v>
      </c>
      <c r="F695" t="s">
        <v>314</v>
      </c>
      <c r="G695" t="s">
        <v>1104</v>
      </c>
      <c r="H695" t="s">
        <v>879</v>
      </c>
      <c r="I695" t="s">
        <v>431</v>
      </c>
      <c r="J695" t="s">
        <v>30</v>
      </c>
      <c r="K695">
        <v>52</v>
      </c>
      <c r="L695" t="s">
        <v>31</v>
      </c>
      <c r="M695">
        <v>94</v>
      </c>
      <c r="N695">
        <v>5</v>
      </c>
      <c r="O695">
        <v>10427</v>
      </c>
      <c r="P695" s="1">
        <v>45600.338333333333</v>
      </c>
      <c r="Q695">
        <v>18</v>
      </c>
      <c r="R695" t="s">
        <v>74</v>
      </c>
      <c r="S695">
        <v>1.4923850948924</v>
      </c>
      <c r="T695" t="b">
        <v>0</v>
      </c>
      <c r="U695" t="b">
        <v>1</v>
      </c>
      <c r="V695" t="b">
        <f t="shared" si="20"/>
        <v>1</v>
      </c>
      <c r="W695">
        <v>1</v>
      </c>
      <c r="Y695">
        <f t="shared" si="21"/>
        <v>0</v>
      </c>
    </row>
    <row r="696" spans="1:25" x14ac:dyDescent="0.3">
      <c r="A696" t="s">
        <v>2109</v>
      </c>
      <c r="B696" t="s">
        <v>2110</v>
      </c>
      <c r="C696">
        <v>350.15</v>
      </c>
      <c r="D696" s="1">
        <v>45257.679456018515</v>
      </c>
      <c r="E696" t="s">
        <v>57</v>
      </c>
      <c r="F696" t="s">
        <v>571</v>
      </c>
      <c r="G696" t="s">
        <v>1515</v>
      </c>
      <c r="H696" t="s">
        <v>1938</v>
      </c>
      <c r="I696" t="s">
        <v>38</v>
      </c>
      <c r="J696" t="s">
        <v>30</v>
      </c>
      <c r="K696">
        <v>21</v>
      </c>
      <c r="L696" t="s">
        <v>46</v>
      </c>
      <c r="M696">
        <v>195</v>
      </c>
      <c r="N696">
        <v>1</v>
      </c>
      <c r="O696">
        <v>296.47000000000003</v>
      </c>
      <c r="P696" s="1">
        <v>45600.339317129627</v>
      </c>
      <c r="Q696">
        <v>16</v>
      </c>
      <c r="R696" t="s">
        <v>47</v>
      </c>
      <c r="S696">
        <v>0.18002020346229999</v>
      </c>
      <c r="T696" t="b">
        <v>0</v>
      </c>
      <c r="U696" t="b">
        <v>0</v>
      </c>
      <c r="V696" t="b">
        <f t="shared" si="20"/>
        <v>1</v>
      </c>
      <c r="W696">
        <v>0</v>
      </c>
      <c r="Y696">
        <f t="shared" si="21"/>
        <v>0</v>
      </c>
    </row>
    <row r="697" spans="1:25" x14ac:dyDescent="0.3">
      <c r="A697" t="s">
        <v>2111</v>
      </c>
      <c r="B697" t="s">
        <v>1845</v>
      </c>
      <c r="C697">
        <v>1151.18</v>
      </c>
      <c r="D697" s="1">
        <v>45163.726701388892</v>
      </c>
      <c r="E697" t="s">
        <v>25</v>
      </c>
      <c r="F697" t="s">
        <v>304</v>
      </c>
      <c r="G697" t="s">
        <v>827</v>
      </c>
      <c r="H697" t="s">
        <v>1379</v>
      </c>
      <c r="I697" t="s">
        <v>301</v>
      </c>
      <c r="J697" t="s">
        <v>30</v>
      </c>
      <c r="K697">
        <v>65</v>
      </c>
      <c r="L697" t="s">
        <v>31</v>
      </c>
      <c r="M697">
        <v>105</v>
      </c>
      <c r="N697">
        <v>1</v>
      </c>
      <c r="O697">
        <v>1100.06</v>
      </c>
      <c r="P697" s="1">
        <v>45600.338217592594</v>
      </c>
      <c r="Q697">
        <v>17</v>
      </c>
      <c r="R697" t="s">
        <v>54</v>
      </c>
      <c r="S697">
        <v>2.9237787485952902</v>
      </c>
      <c r="T697" t="b">
        <v>1</v>
      </c>
      <c r="U697" t="b">
        <v>0</v>
      </c>
      <c r="V697" t="b">
        <f t="shared" si="20"/>
        <v>1</v>
      </c>
      <c r="W697">
        <v>1</v>
      </c>
      <c r="Y697">
        <f t="shared" si="21"/>
        <v>1</v>
      </c>
    </row>
    <row r="698" spans="1:25" x14ac:dyDescent="0.3">
      <c r="A698" t="s">
        <v>2112</v>
      </c>
      <c r="B698" t="s">
        <v>2069</v>
      </c>
      <c r="C698">
        <v>183.67</v>
      </c>
      <c r="D698" s="1">
        <v>45103.674641203703</v>
      </c>
      <c r="E698" t="s">
        <v>25</v>
      </c>
      <c r="F698" t="s">
        <v>26</v>
      </c>
      <c r="G698" t="s">
        <v>51</v>
      </c>
      <c r="H698" t="s">
        <v>555</v>
      </c>
      <c r="I698" t="s">
        <v>687</v>
      </c>
      <c r="J698" t="s">
        <v>45</v>
      </c>
      <c r="K698">
        <v>19</v>
      </c>
      <c r="L698" t="s">
        <v>46</v>
      </c>
      <c r="M698">
        <v>238</v>
      </c>
      <c r="N698">
        <v>1</v>
      </c>
      <c r="O698">
        <v>910.26</v>
      </c>
      <c r="P698" s="1">
        <v>45600.34103009259</v>
      </c>
      <c r="Q698">
        <v>16</v>
      </c>
      <c r="R698" t="s">
        <v>47</v>
      </c>
      <c r="S698">
        <v>-0.390221763247737</v>
      </c>
      <c r="T698" t="b">
        <v>0</v>
      </c>
      <c r="U698" t="b">
        <v>0</v>
      </c>
      <c r="V698" t="b">
        <f t="shared" si="20"/>
        <v>1</v>
      </c>
      <c r="W698">
        <v>0</v>
      </c>
      <c r="Y698">
        <f t="shared" si="21"/>
        <v>0</v>
      </c>
    </row>
    <row r="699" spans="1:25" x14ac:dyDescent="0.3">
      <c r="A699" t="s">
        <v>2113</v>
      </c>
      <c r="B699" t="s">
        <v>1002</v>
      </c>
      <c r="C699">
        <v>278.27</v>
      </c>
      <c r="D699" s="1">
        <v>45026.699942129628</v>
      </c>
      <c r="E699" t="s">
        <v>25</v>
      </c>
      <c r="F699" t="s">
        <v>268</v>
      </c>
      <c r="G699" t="s">
        <v>474</v>
      </c>
      <c r="H699" t="s">
        <v>1267</v>
      </c>
      <c r="I699" t="s">
        <v>1575</v>
      </c>
      <c r="J699" t="s">
        <v>81</v>
      </c>
      <c r="K699">
        <v>29</v>
      </c>
      <c r="L699" t="s">
        <v>31</v>
      </c>
      <c r="M699">
        <v>123</v>
      </c>
      <c r="N699">
        <v>1</v>
      </c>
      <c r="O699">
        <v>6684.34</v>
      </c>
      <c r="P699" s="1">
        <v>45600.340254629627</v>
      </c>
      <c r="Q699">
        <v>16</v>
      </c>
      <c r="R699" t="s">
        <v>47</v>
      </c>
      <c r="S699">
        <v>-6.6189506815916496E-2</v>
      </c>
      <c r="T699" t="b">
        <v>0</v>
      </c>
      <c r="U699" t="b">
        <v>0</v>
      </c>
      <c r="V699" t="b">
        <f t="shared" si="20"/>
        <v>1</v>
      </c>
      <c r="W699">
        <v>0</v>
      </c>
      <c r="Y699">
        <f t="shared" si="21"/>
        <v>0</v>
      </c>
    </row>
    <row r="700" spans="1:25" x14ac:dyDescent="0.3">
      <c r="A700" t="s">
        <v>2114</v>
      </c>
      <c r="B700" t="s">
        <v>2115</v>
      </c>
      <c r="C700">
        <v>470.3</v>
      </c>
      <c r="D700" s="1">
        <v>45181.782465277778</v>
      </c>
      <c r="E700" t="s">
        <v>25</v>
      </c>
      <c r="F700" t="s">
        <v>131</v>
      </c>
      <c r="G700" t="s">
        <v>2116</v>
      </c>
      <c r="H700" t="s">
        <v>2117</v>
      </c>
      <c r="I700" t="s">
        <v>61</v>
      </c>
      <c r="J700" t="s">
        <v>30</v>
      </c>
      <c r="K700">
        <v>40</v>
      </c>
      <c r="L700" t="s">
        <v>31</v>
      </c>
      <c r="M700">
        <v>88</v>
      </c>
      <c r="N700">
        <v>1</v>
      </c>
      <c r="O700">
        <v>8524.09</v>
      </c>
      <c r="P700" s="1">
        <v>45600.338888888888</v>
      </c>
      <c r="Q700">
        <v>18</v>
      </c>
      <c r="R700" t="s">
        <v>32</v>
      </c>
      <c r="S700">
        <v>0.59156857143569597</v>
      </c>
      <c r="T700" t="b">
        <v>0</v>
      </c>
      <c r="U700" t="b">
        <v>0</v>
      </c>
      <c r="V700" t="b">
        <f t="shared" si="20"/>
        <v>1</v>
      </c>
      <c r="W700">
        <v>0</v>
      </c>
      <c r="Y700">
        <f t="shared" si="21"/>
        <v>0</v>
      </c>
    </row>
    <row r="701" spans="1:25" x14ac:dyDescent="0.3">
      <c r="A701" t="s">
        <v>2118</v>
      </c>
      <c r="B701" t="s">
        <v>1438</v>
      </c>
      <c r="C701">
        <v>261.69</v>
      </c>
      <c r="D701" s="1">
        <v>45257.728761574072</v>
      </c>
      <c r="E701" t="s">
        <v>25</v>
      </c>
      <c r="F701" t="s">
        <v>256</v>
      </c>
      <c r="G701" t="s">
        <v>2119</v>
      </c>
      <c r="H701" t="s">
        <v>2120</v>
      </c>
      <c r="I701" t="s">
        <v>577</v>
      </c>
      <c r="J701" t="s">
        <v>30</v>
      </c>
      <c r="K701">
        <v>53</v>
      </c>
      <c r="L701" t="s">
        <v>82</v>
      </c>
      <c r="M701">
        <v>84</v>
      </c>
      <c r="N701">
        <v>1</v>
      </c>
      <c r="O701">
        <v>5126.6499999999996</v>
      </c>
      <c r="P701" s="1">
        <v>45600.339687500003</v>
      </c>
      <c r="Q701">
        <v>17</v>
      </c>
      <c r="R701" t="s">
        <v>47</v>
      </c>
      <c r="S701">
        <v>-0.12298078389455901</v>
      </c>
      <c r="T701" t="b">
        <v>0</v>
      </c>
      <c r="U701" t="b">
        <v>0</v>
      </c>
      <c r="V701" t="b">
        <f t="shared" si="20"/>
        <v>1</v>
      </c>
      <c r="W701">
        <v>0</v>
      </c>
      <c r="Y701">
        <f t="shared" si="21"/>
        <v>0</v>
      </c>
    </row>
    <row r="702" spans="1:25" x14ac:dyDescent="0.3">
      <c r="A702" t="s">
        <v>2121</v>
      </c>
      <c r="B702" t="s">
        <v>205</v>
      </c>
      <c r="C702">
        <v>365.04</v>
      </c>
      <c r="D702" s="1">
        <v>44991.687465277777</v>
      </c>
      <c r="E702" t="s">
        <v>25</v>
      </c>
      <c r="F702" t="s">
        <v>314</v>
      </c>
      <c r="G702" t="s">
        <v>197</v>
      </c>
      <c r="H702" t="s">
        <v>1221</v>
      </c>
      <c r="I702" t="s">
        <v>375</v>
      </c>
      <c r="J702" t="s">
        <v>81</v>
      </c>
      <c r="K702">
        <v>22</v>
      </c>
      <c r="L702" t="s">
        <v>46</v>
      </c>
      <c r="M702">
        <v>94</v>
      </c>
      <c r="N702">
        <v>1</v>
      </c>
      <c r="O702">
        <v>873.89</v>
      </c>
      <c r="P702" s="1">
        <v>45600.34175925926</v>
      </c>
      <c r="Q702">
        <v>16</v>
      </c>
      <c r="R702" t="s">
        <v>47</v>
      </c>
      <c r="S702">
        <v>0.23102274361314301</v>
      </c>
      <c r="T702" t="b">
        <v>0</v>
      </c>
      <c r="U702" t="b">
        <v>0</v>
      </c>
      <c r="V702" t="b">
        <f t="shared" si="20"/>
        <v>1</v>
      </c>
      <c r="W702">
        <v>0</v>
      </c>
      <c r="Y702">
        <f t="shared" si="21"/>
        <v>0</v>
      </c>
    </row>
    <row r="703" spans="1:25" x14ac:dyDescent="0.3">
      <c r="A703" t="s">
        <v>2122</v>
      </c>
      <c r="B703" t="s">
        <v>1827</v>
      </c>
      <c r="C703">
        <v>211.1</v>
      </c>
      <c r="D703" s="1">
        <v>45183.707499999997</v>
      </c>
      <c r="E703" t="s">
        <v>25</v>
      </c>
      <c r="F703" t="s">
        <v>185</v>
      </c>
      <c r="G703" t="s">
        <v>2123</v>
      </c>
      <c r="H703" t="s">
        <v>2124</v>
      </c>
      <c r="I703" t="s">
        <v>285</v>
      </c>
      <c r="J703" t="s">
        <v>81</v>
      </c>
      <c r="K703">
        <v>57</v>
      </c>
      <c r="L703" t="s">
        <v>82</v>
      </c>
      <c r="M703">
        <v>136</v>
      </c>
      <c r="N703">
        <v>1</v>
      </c>
      <c r="O703">
        <v>7059.77</v>
      </c>
      <c r="P703" s="1">
        <v>45600.338206018518</v>
      </c>
      <c r="Q703">
        <v>16</v>
      </c>
      <c r="R703" t="s">
        <v>141</v>
      </c>
      <c r="S703">
        <v>-0.29626611003500097</v>
      </c>
      <c r="T703" t="b">
        <v>0</v>
      </c>
      <c r="U703" t="b">
        <v>0</v>
      </c>
      <c r="V703" t="b">
        <f t="shared" si="20"/>
        <v>1</v>
      </c>
      <c r="W703">
        <v>0</v>
      </c>
      <c r="Y703">
        <f t="shared" si="21"/>
        <v>0</v>
      </c>
    </row>
    <row r="704" spans="1:25" x14ac:dyDescent="0.3">
      <c r="A704" t="s">
        <v>2125</v>
      </c>
      <c r="B704" t="s">
        <v>725</v>
      </c>
      <c r="C704">
        <v>21.49</v>
      </c>
      <c r="D704" s="1">
        <v>45050.702280092592</v>
      </c>
      <c r="E704" t="s">
        <v>25</v>
      </c>
      <c r="F704" t="s">
        <v>126</v>
      </c>
      <c r="G704" t="s">
        <v>726</v>
      </c>
      <c r="H704" t="s">
        <v>486</v>
      </c>
      <c r="I704" t="s">
        <v>1358</v>
      </c>
      <c r="J704" t="s">
        <v>30</v>
      </c>
      <c r="K704">
        <v>58</v>
      </c>
      <c r="L704" t="s">
        <v>31</v>
      </c>
      <c r="M704">
        <v>240</v>
      </c>
      <c r="N704">
        <v>1</v>
      </c>
      <c r="O704">
        <v>11991.24</v>
      </c>
      <c r="P704" s="1">
        <v>45600.33898148148</v>
      </c>
      <c r="Q704">
        <v>16</v>
      </c>
      <c r="R704" t="s">
        <v>141</v>
      </c>
      <c r="S704">
        <v>-0.945734991029056</v>
      </c>
      <c r="T704" t="b">
        <v>0</v>
      </c>
      <c r="U704" t="b">
        <v>0</v>
      </c>
      <c r="V704" t="b">
        <f t="shared" si="20"/>
        <v>1</v>
      </c>
      <c r="W704">
        <v>0</v>
      </c>
      <c r="Y704">
        <f t="shared" si="21"/>
        <v>0</v>
      </c>
    </row>
    <row r="705" spans="1:25" x14ac:dyDescent="0.3">
      <c r="A705" t="s">
        <v>2126</v>
      </c>
      <c r="B705" t="s">
        <v>447</v>
      </c>
      <c r="C705">
        <v>63.58</v>
      </c>
      <c r="D705" s="1">
        <v>45180.738356481481</v>
      </c>
      <c r="E705" t="s">
        <v>25</v>
      </c>
      <c r="F705" t="s">
        <v>137</v>
      </c>
      <c r="G705" t="s">
        <v>2127</v>
      </c>
      <c r="H705" t="s">
        <v>686</v>
      </c>
      <c r="I705" t="s">
        <v>495</v>
      </c>
      <c r="J705" t="s">
        <v>30</v>
      </c>
      <c r="K705">
        <v>18</v>
      </c>
      <c r="L705" t="s">
        <v>46</v>
      </c>
      <c r="M705">
        <v>199</v>
      </c>
      <c r="N705">
        <v>1</v>
      </c>
      <c r="O705">
        <v>8086.04</v>
      </c>
      <c r="P705" s="1">
        <v>45600.341620370367</v>
      </c>
      <c r="Q705">
        <v>17</v>
      </c>
      <c r="R705" t="s">
        <v>47</v>
      </c>
      <c r="S705">
        <v>-0.801564613933756</v>
      </c>
      <c r="T705" t="b">
        <v>0</v>
      </c>
      <c r="U705" t="b">
        <v>0</v>
      </c>
      <c r="V705" t="b">
        <f t="shared" si="20"/>
        <v>1</v>
      </c>
      <c r="W705">
        <v>0</v>
      </c>
      <c r="Y705">
        <f t="shared" si="21"/>
        <v>0</v>
      </c>
    </row>
    <row r="706" spans="1:25" x14ac:dyDescent="0.3">
      <c r="A706" t="s">
        <v>2128</v>
      </c>
      <c r="B706" t="s">
        <v>594</v>
      </c>
      <c r="C706">
        <v>321.86</v>
      </c>
      <c r="D706" s="1">
        <v>45131.684618055559</v>
      </c>
      <c r="E706" t="s">
        <v>25</v>
      </c>
      <c r="F706" t="s">
        <v>250</v>
      </c>
      <c r="G706" t="s">
        <v>2129</v>
      </c>
      <c r="H706" t="s">
        <v>1618</v>
      </c>
      <c r="I706" t="s">
        <v>275</v>
      </c>
      <c r="J706" t="s">
        <v>30</v>
      </c>
      <c r="K706">
        <v>63</v>
      </c>
      <c r="L706" t="s">
        <v>31</v>
      </c>
      <c r="M706">
        <v>167</v>
      </c>
      <c r="N706">
        <v>1</v>
      </c>
      <c r="O706">
        <v>12626.49</v>
      </c>
      <c r="P706" s="1">
        <v>45600.337905092594</v>
      </c>
      <c r="Q706">
        <v>16</v>
      </c>
      <c r="R706" t="s">
        <v>47</v>
      </c>
      <c r="S706">
        <v>8.3118802463820099E-2</v>
      </c>
      <c r="T706" t="b">
        <v>0</v>
      </c>
      <c r="U706" t="b">
        <v>0</v>
      </c>
      <c r="V706" t="b">
        <f t="shared" si="20"/>
        <v>1</v>
      </c>
      <c r="W706">
        <v>0</v>
      </c>
      <c r="Y706">
        <f t="shared" si="21"/>
        <v>0</v>
      </c>
    </row>
    <row r="707" spans="1:25" x14ac:dyDescent="0.3">
      <c r="A707" t="s">
        <v>2130</v>
      </c>
      <c r="B707" t="s">
        <v>2131</v>
      </c>
      <c r="C707">
        <v>12.11</v>
      </c>
      <c r="D707" s="1">
        <v>45272.678784722222</v>
      </c>
      <c r="E707" t="s">
        <v>25</v>
      </c>
      <c r="F707" t="s">
        <v>405</v>
      </c>
      <c r="G707" t="s">
        <v>2132</v>
      </c>
      <c r="H707" t="s">
        <v>2133</v>
      </c>
      <c r="I707" t="s">
        <v>871</v>
      </c>
      <c r="J707" t="s">
        <v>81</v>
      </c>
      <c r="K707">
        <v>75</v>
      </c>
      <c r="L707" t="s">
        <v>82</v>
      </c>
      <c r="M707">
        <v>127</v>
      </c>
      <c r="N707">
        <v>1</v>
      </c>
      <c r="O707">
        <v>1730.28</v>
      </c>
      <c r="P707" s="1">
        <v>45600.338310185187</v>
      </c>
      <c r="Q707">
        <v>16</v>
      </c>
      <c r="R707" t="s">
        <v>32</v>
      </c>
      <c r="S707">
        <v>-0.97786419362240096</v>
      </c>
      <c r="T707" t="b">
        <v>0</v>
      </c>
      <c r="U707" t="b">
        <v>0</v>
      </c>
      <c r="V707" t="b">
        <f t="shared" ref="V707:V770" si="22">ISLOGICAL(T707)</f>
        <v>1</v>
      </c>
      <c r="W707">
        <v>0</v>
      </c>
      <c r="Y707">
        <f t="shared" ref="Y707:Y770" si="23">--T707</f>
        <v>0</v>
      </c>
    </row>
    <row r="708" spans="1:25" x14ac:dyDescent="0.3">
      <c r="A708" t="s">
        <v>2134</v>
      </c>
      <c r="B708" t="s">
        <v>948</v>
      </c>
      <c r="C708">
        <v>642.54</v>
      </c>
      <c r="D708" s="1">
        <v>45056.784259259257</v>
      </c>
      <c r="E708" t="s">
        <v>25</v>
      </c>
      <c r="F708" t="s">
        <v>191</v>
      </c>
      <c r="G708" t="s">
        <v>592</v>
      </c>
      <c r="H708" t="s">
        <v>1832</v>
      </c>
      <c r="I708" t="s">
        <v>117</v>
      </c>
      <c r="J708" t="s">
        <v>81</v>
      </c>
      <c r="K708">
        <v>44</v>
      </c>
      <c r="L708" t="s">
        <v>89</v>
      </c>
      <c r="M708">
        <v>28</v>
      </c>
      <c r="N708">
        <v>1</v>
      </c>
      <c r="O708">
        <v>3143.17</v>
      </c>
      <c r="P708" s="1">
        <v>45600.34070601852</v>
      </c>
      <c r="Q708">
        <v>18</v>
      </c>
      <c r="R708" t="s">
        <v>74</v>
      </c>
      <c r="S708">
        <v>1.1815401977339699</v>
      </c>
      <c r="T708" t="b">
        <v>0</v>
      </c>
      <c r="U708" t="b">
        <v>0</v>
      </c>
      <c r="V708" t="b">
        <f t="shared" si="22"/>
        <v>1</v>
      </c>
      <c r="W708">
        <v>0</v>
      </c>
      <c r="Y708">
        <f t="shared" si="23"/>
        <v>0</v>
      </c>
    </row>
    <row r="709" spans="1:25" x14ac:dyDescent="0.3">
      <c r="A709" t="s">
        <v>2135</v>
      </c>
      <c r="B709" t="s">
        <v>711</v>
      </c>
      <c r="C709">
        <v>210.45</v>
      </c>
      <c r="D709" s="1">
        <v>45271.699363425927</v>
      </c>
      <c r="E709" t="s">
        <v>25</v>
      </c>
      <c r="F709" t="s">
        <v>159</v>
      </c>
      <c r="G709" t="s">
        <v>2136</v>
      </c>
      <c r="H709" t="s">
        <v>1792</v>
      </c>
      <c r="I709" t="s">
        <v>1362</v>
      </c>
      <c r="J709" t="s">
        <v>30</v>
      </c>
      <c r="K709">
        <v>27</v>
      </c>
      <c r="L709" t="s">
        <v>46</v>
      </c>
      <c r="M709">
        <v>146</v>
      </c>
      <c r="N709">
        <v>1</v>
      </c>
      <c r="O709">
        <v>1242.49</v>
      </c>
      <c r="P709" s="1">
        <v>45600.337777777779</v>
      </c>
      <c r="Q709">
        <v>16</v>
      </c>
      <c r="R709" t="s">
        <v>47</v>
      </c>
      <c r="S709">
        <v>-0.29849254731492397</v>
      </c>
      <c r="T709" t="b">
        <v>0</v>
      </c>
      <c r="U709" t="b">
        <v>0</v>
      </c>
      <c r="V709" t="b">
        <f t="shared" si="22"/>
        <v>1</v>
      </c>
      <c r="W709">
        <v>0</v>
      </c>
      <c r="Y709">
        <f t="shared" si="23"/>
        <v>0</v>
      </c>
    </row>
    <row r="710" spans="1:25" x14ac:dyDescent="0.3">
      <c r="A710" t="s">
        <v>2137</v>
      </c>
      <c r="B710" t="s">
        <v>2138</v>
      </c>
      <c r="C710">
        <v>313.64999999999998</v>
      </c>
      <c r="D710" s="1">
        <v>44956.672303240739</v>
      </c>
      <c r="E710" t="s">
        <v>57</v>
      </c>
      <c r="F710" t="s">
        <v>278</v>
      </c>
      <c r="G710" t="s">
        <v>2139</v>
      </c>
      <c r="H710" t="s">
        <v>1275</v>
      </c>
      <c r="I710" t="s">
        <v>123</v>
      </c>
      <c r="J710" t="s">
        <v>81</v>
      </c>
      <c r="K710">
        <v>55</v>
      </c>
      <c r="L710" t="s">
        <v>82</v>
      </c>
      <c r="M710">
        <v>173</v>
      </c>
      <c r="N710">
        <v>1</v>
      </c>
      <c r="O710">
        <v>1886.36</v>
      </c>
      <c r="P710" s="1">
        <v>45600.340844907405</v>
      </c>
      <c r="Q710">
        <v>16</v>
      </c>
      <c r="R710" t="s">
        <v>47</v>
      </c>
      <c r="S710">
        <v>5.4997186974335303E-2</v>
      </c>
      <c r="T710" t="b">
        <v>0</v>
      </c>
      <c r="U710" t="b">
        <v>0</v>
      </c>
      <c r="V710" t="b">
        <f t="shared" si="22"/>
        <v>1</v>
      </c>
      <c r="W710">
        <v>0</v>
      </c>
      <c r="Y710">
        <f t="shared" si="23"/>
        <v>0</v>
      </c>
    </row>
    <row r="711" spans="1:25" x14ac:dyDescent="0.3">
      <c r="A711" t="s">
        <v>2140</v>
      </c>
      <c r="B711" t="s">
        <v>2141</v>
      </c>
      <c r="C711">
        <v>99.76</v>
      </c>
      <c r="D711" s="1">
        <v>45145.68167824074</v>
      </c>
      <c r="E711" t="s">
        <v>25</v>
      </c>
      <c r="F711" t="s">
        <v>298</v>
      </c>
      <c r="G711" t="s">
        <v>1597</v>
      </c>
      <c r="H711" t="s">
        <v>2142</v>
      </c>
      <c r="I711" t="s">
        <v>150</v>
      </c>
      <c r="J711" t="s">
        <v>81</v>
      </c>
      <c r="K711">
        <v>26</v>
      </c>
      <c r="L711" t="s">
        <v>46</v>
      </c>
      <c r="M711">
        <v>131</v>
      </c>
      <c r="N711">
        <v>1</v>
      </c>
      <c r="O711">
        <v>416.89</v>
      </c>
      <c r="P711" s="1">
        <v>45600.337800925925</v>
      </c>
      <c r="Q711">
        <v>16</v>
      </c>
      <c r="R711" t="s">
        <v>47</v>
      </c>
      <c r="S711">
        <v>-0.67763768964513804</v>
      </c>
      <c r="T711" t="b">
        <v>0</v>
      </c>
      <c r="U711" t="b">
        <v>0</v>
      </c>
      <c r="V711" t="b">
        <f t="shared" si="22"/>
        <v>1</v>
      </c>
      <c r="W711">
        <v>0</v>
      </c>
      <c r="Y711">
        <f t="shared" si="23"/>
        <v>0</v>
      </c>
    </row>
    <row r="712" spans="1:25" x14ac:dyDescent="0.3">
      <c r="A712" t="s">
        <v>2143</v>
      </c>
      <c r="B712" t="s">
        <v>196</v>
      </c>
      <c r="C712">
        <v>115.32</v>
      </c>
      <c r="D712" s="1">
        <v>45132.725081018521</v>
      </c>
      <c r="E712" t="s">
        <v>25</v>
      </c>
      <c r="F712" t="s">
        <v>126</v>
      </c>
      <c r="G712" t="s">
        <v>592</v>
      </c>
      <c r="H712" t="s">
        <v>2144</v>
      </c>
      <c r="I712" t="s">
        <v>339</v>
      </c>
      <c r="J712" t="s">
        <v>81</v>
      </c>
      <c r="K712">
        <v>53</v>
      </c>
      <c r="L712" t="s">
        <v>82</v>
      </c>
      <c r="M712">
        <v>113</v>
      </c>
      <c r="N712">
        <v>1</v>
      </c>
      <c r="O712">
        <v>5929.08</v>
      </c>
      <c r="P712" s="1">
        <v>45600.339305555557</v>
      </c>
      <c r="Q712">
        <v>17</v>
      </c>
      <c r="R712" t="s">
        <v>32</v>
      </c>
      <c r="S712">
        <v>-0.62434020645191202</v>
      </c>
      <c r="T712" t="b">
        <v>0</v>
      </c>
      <c r="U712" t="b">
        <v>0</v>
      </c>
      <c r="V712" t="b">
        <f t="shared" si="22"/>
        <v>1</v>
      </c>
      <c r="W712">
        <v>0</v>
      </c>
      <c r="Y712">
        <f t="shared" si="23"/>
        <v>0</v>
      </c>
    </row>
    <row r="713" spans="1:25" x14ac:dyDescent="0.3">
      <c r="A713" t="s">
        <v>2145</v>
      </c>
      <c r="B713" t="s">
        <v>2146</v>
      </c>
      <c r="C713">
        <v>33.61</v>
      </c>
      <c r="D713" s="1">
        <v>45159.725694444445</v>
      </c>
      <c r="E713" t="s">
        <v>25</v>
      </c>
      <c r="F713" t="s">
        <v>191</v>
      </c>
      <c r="G713" t="s">
        <v>1623</v>
      </c>
      <c r="H713" t="s">
        <v>1654</v>
      </c>
      <c r="I713" t="s">
        <v>253</v>
      </c>
      <c r="J713" t="s">
        <v>45</v>
      </c>
      <c r="K713">
        <v>23</v>
      </c>
      <c r="L713" t="s">
        <v>46</v>
      </c>
      <c r="M713">
        <v>72</v>
      </c>
      <c r="N713">
        <v>1</v>
      </c>
      <c r="O713">
        <v>479.08</v>
      </c>
      <c r="P713" s="1">
        <v>45600.33935185185</v>
      </c>
      <c r="Q713">
        <v>17</v>
      </c>
      <c r="R713" t="s">
        <v>47</v>
      </c>
      <c r="S713">
        <v>-0.90422049897880497</v>
      </c>
      <c r="T713" t="b">
        <v>0</v>
      </c>
      <c r="U713" t="b">
        <v>0</v>
      </c>
      <c r="V713" t="b">
        <f t="shared" si="22"/>
        <v>1</v>
      </c>
      <c r="W713">
        <v>0</v>
      </c>
      <c r="Y713">
        <f t="shared" si="23"/>
        <v>0</v>
      </c>
    </row>
    <row r="714" spans="1:25" x14ac:dyDescent="0.3">
      <c r="A714" t="s">
        <v>2147</v>
      </c>
      <c r="B714" t="s">
        <v>1758</v>
      </c>
      <c r="C714">
        <v>498.59</v>
      </c>
      <c r="D714" s="1">
        <v>44956.680856481478</v>
      </c>
      <c r="E714" t="s">
        <v>57</v>
      </c>
      <c r="F714" t="s">
        <v>64</v>
      </c>
      <c r="G714" t="s">
        <v>1698</v>
      </c>
      <c r="H714" t="s">
        <v>1456</v>
      </c>
      <c r="I714" t="s">
        <v>431</v>
      </c>
      <c r="J714" t="s">
        <v>45</v>
      </c>
      <c r="K714">
        <v>33</v>
      </c>
      <c r="L714" t="s">
        <v>31</v>
      </c>
      <c r="M714">
        <v>32</v>
      </c>
      <c r="N714">
        <v>1</v>
      </c>
      <c r="O714">
        <v>5862.99</v>
      </c>
      <c r="P714" s="1">
        <v>45600.338171296295</v>
      </c>
      <c r="Q714">
        <v>16</v>
      </c>
      <c r="R714" t="s">
        <v>47</v>
      </c>
      <c r="S714">
        <v>0.68846997243417596</v>
      </c>
      <c r="T714" t="b">
        <v>0</v>
      </c>
      <c r="U714" t="b">
        <v>0</v>
      </c>
      <c r="V714" t="b">
        <f t="shared" si="22"/>
        <v>1</v>
      </c>
      <c r="W714">
        <v>0</v>
      </c>
      <c r="Y714">
        <f t="shared" si="23"/>
        <v>0</v>
      </c>
    </row>
    <row r="715" spans="1:25" x14ac:dyDescent="0.3">
      <c r="A715" t="s">
        <v>2148</v>
      </c>
      <c r="B715" t="s">
        <v>634</v>
      </c>
      <c r="C715">
        <v>98.81</v>
      </c>
      <c r="D715" s="1">
        <v>45173.700150462966</v>
      </c>
      <c r="E715" t="s">
        <v>25</v>
      </c>
      <c r="F715" t="s">
        <v>225</v>
      </c>
      <c r="G715" t="s">
        <v>1601</v>
      </c>
      <c r="H715" t="s">
        <v>1262</v>
      </c>
      <c r="I715" t="s">
        <v>491</v>
      </c>
      <c r="J715" t="s">
        <v>81</v>
      </c>
      <c r="K715">
        <v>27</v>
      </c>
      <c r="L715" t="s">
        <v>46</v>
      </c>
      <c r="M715">
        <v>91</v>
      </c>
      <c r="N715">
        <v>1</v>
      </c>
      <c r="O715">
        <v>797.1</v>
      </c>
      <c r="P715" s="1">
        <v>45600.339016203703</v>
      </c>
      <c r="Q715">
        <v>16</v>
      </c>
      <c r="R715" t="s">
        <v>47</v>
      </c>
      <c r="S715">
        <v>-0.68089171336194798</v>
      </c>
      <c r="T715" t="b">
        <v>0</v>
      </c>
      <c r="U715" t="b">
        <v>0</v>
      </c>
      <c r="V715" t="b">
        <f t="shared" si="22"/>
        <v>1</v>
      </c>
      <c r="W715">
        <v>0</v>
      </c>
      <c r="Y715">
        <f t="shared" si="23"/>
        <v>0</v>
      </c>
    </row>
    <row r="716" spans="1:25" x14ac:dyDescent="0.3">
      <c r="A716" t="s">
        <v>2149</v>
      </c>
      <c r="B716" t="s">
        <v>987</v>
      </c>
      <c r="C716">
        <v>1.87</v>
      </c>
      <c r="D716" s="1">
        <v>45219.774085648147</v>
      </c>
      <c r="E716" t="s">
        <v>25</v>
      </c>
      <c r="F716" t="s">
        <v>466</v>
      </c>
      <c r="G716" t="s">
        <v>1734</v>
      </c>
      <c r="H716" t="s">
        <v>824</v>
      </c>
      <c r="I716" t="s">
        <v>253</v>
      </c>
      <c r="J716" t="s">
        <v>30</v>
      </c>
      <c r="K716">
        <v>65</v>
      </c>
      <c r="L716" t="s">
        <v>82</v>
      </c>
      <c r="M716">
        <v>147</v>
      </c>
      <c r="N716">
        <v>1</v>
      </c>
      <c r="O716">
        <v>7287.94</v>
      </c>
      <c r="P716" s="1">
        <v>45600.340138888889</v>
      </c>
      <c r="Q716">
        <v>18</v>
      </c>
      <c r="R716" t="s">
        <v>54</v>
      </c>
      <c r="S716">
        <v>-1.0129391440014901</v>
      </c>
      <c r="T716" t="b">
        <v>0</v>
      </c>
      <c r="U716" t="b">
        <v>0</v>
      </c>
      <c r="V716" t="b">
        <f t="shared" si="22"/>
        <v>1</v>
      </c>
      <c r="W716">
        <v>0</v>
      </c>
      <c r="Y716">
        <f t="shared" si="23"/>
        <v>0</v>
      </c>
    </row>
    <row r="717" spans="1:25" x14ac:dyDescent="0.3">
      <c r="A717" t="s">
        <v>2150</v>
      </c>
      <c r="B717" t="s">
        <v>790</v>
      </c>
      <c r="C717">
        <v>78.92</v>
      </c>
      <c r="D717" s="1">
        <v>45092.790069444447</v>
      </c>
      <c r="E717" t="s">
        <v>57</v>
      </c>
      <c r="F717" t="s">
        <v>405</v>
      </c>
      <c r="G717" t="s">
        <v>635</v>
      </c>
      <c r="H717" t="s">
        <v>509</v>
      </c>
      <c r="I717" t="s">
        <v>339</v>
      </c>
      <c r="J717" t="s">
        <v>45</v>
      </c>
      <c r="K717">
        <v>59</v>
      </c>
      <c r="L717" t="s">
        <v>89</v>
      </c>
      <c r="M717">
        <v>95</v>
      </c>
      <c r="N717">
        <v>1</v>
      </c>
      <c r="O717">
        <v>5624.86</v>
      </c>
      <c r="P717" s="1">
        <v>45600.339212962965</v>
      </c>
      <c r="Q717">
        <v>18</v>
      </c>
      <c r="R717" t="s">
        <v>141</v>
      </c>
      <c r="S717">
        <v>-0.74902069412758099</v>
      </c>
      <c r="T717" t="b">
        <v>0</v>
      </c>
      <c r="U717" t="b">
        <v>0</v>
      </c>
      <c r="V717" t="b">
        <f t="shared" si="22"/>
        <v>1</v>
      </c>
      <c r="W717">
        <v>0</v>
      </c>
      <c r="Y717">
        <f t="shared" si="23"/>
        <v>0</v>
      </c>
    </row>
    <row r="718" spans="1:25" x14ac:dyDescent="0.3">
      <c r="A718" t="s">
        <v>2151</v>
      </c>
      <c r="B718" t="s">
        <v>1219</v>
      </c>
      <c r="C718">
        <v>194.29</v>
      </c>
      <c r="D718" s="1">
        <v>44949.670624999999</v>
      </c>
      <c r="E718" t="s">
        <v>57</v>
      </c>
      <c r="F718" t="s">
        <v>70</v>
      </c>
      <c r="G718" t="s">
        <v>2152</v>
      </c>
      <c r="H718" t="s">
        <v>2153</v>
      </c>
      <c r="I718" t="s">
        <v>140</v>
      </c>
      <c r="J718" t="s">
        <v>81</v>
      </c>
      <c r="K718">
        <v>39</v>
      </c>
      <c r="L718" t="s">
        <v>89</v>
      </c>
      <c r="M718">
        <v>10</v>
      </c>
      <c r="N718">
        <v>1</v>
      </c>
      <c r="O718">
        <v>2988.41</v>
      </c>
      <c r="P718" s="1">
        <v>45600.339548611111</v>
      </c>
      <c r="Q718">
        <v>16</v>
      </c>
      <c r="R718" t="s">
        <v>47</v>
      </c>
      <c r="S718">
        <v>-0.35384520338192399</v>
      </c>
      <c r="T718" t="b">
        <v>0</v>
      </c>
      <c r="U718" t="b">
        <v>0</v>
      </c>
      <c r="V718" t="b">
        <f t="shared" si="22"/>
        <v>1</v>
      </c>
      <c r="W718">
        <v>0</v>
      </c>
      <c r="Y718">
        <f t="shared" si="23"/>
        <v>0</v>
      </c>
    </row>
    <row r="719" spans="1:25" x14ac:dyDescent="0.3">
      <c r="A719" t="s">
        <v>2154</v>
      </c>
      <c r="B719" t="s">
        <v>1995</v>
      </c>
      <c r="C719">
        <v>28.73</v>
      </c>
      <c r="D719" s="1">
        <v>45230.67496527778</v>
      </c>
      <c r="E719" t="s">
        <v>25</v>
      </c>
      <c r="F719" t="s">
        <v>304</v>
      </c>
      <c r="G719" t="s">
        <v>2155</v>
      </c>
      <c r="H719" t="s">
        <v>796</v>
      </c>
      <c r="I719" t="s">
        <v>1823</v>
      </c>
      <c r="J719" t="s">
        <v>30</v>
      </c>
      <c r="K719">
        <v>53</v>
      </c>
      <c r="L719" t="s">
        <v>89</v>
      </c>
      <c r="M719">
        <v>185</v>
      </c>
      <c r="N719">
        <v>1</v>
      </c>
      <c r="O719">
        <v>2712.96</v>
      </c>
      <c r="P719" s="1">
        <v>45600.339317129627</v>
      </c>
      <c r="Q719">
        <v>16</v>
      </c>
      <c r="R719" t="s">
        <v>32</v>
      </c>
      <c r="S719">
        <v>-0.92093590501884004</v>
      </c>
      <c r="T719" t="b">
        <v>0</v>
      </c>
      <c r="U719" t="b">
        <v>0</v>
      </c>
      <c r="V719" t="b">
        <f t="shared" si="22"/>
        <v>1</v>
      </c>
      <c r="W719">
        <v>0</v>
      </c>
      <c r="Y719">
        <f t="shared" si="23"/>
        <v>0</v>
      </c>
    </row>
    <row r="720" spans="1:25" x14ac:dyDescent="0.3">
      <c r="A720" t="s">
        <v>2156</v>
      </c>
      <c r="B720" t="s">
        <v>1794</v>
      </c>
      <c r="C720">
        <v>105.53</v>
      </c>
      <c r="D720" s="1">
        <v>45093.69189814815</v>
      </c>
      <c r="E720" t="s">
        <v>25</v>
      </c>
      <c r="F720" t="s">
        <v>534</v>
      </c>
      <c r="G720" t="s">
        <v>2157</v>
      </c>
      <c r="H720" t="s">
        <v>2158</v>
      </c>
      <c r="I720" t="s">
        <v>620</v>
      </c>
      <c r="J720" t="s">
        <v>45</v>
      </c>
      <c r="K720">
        <v>24</v>
      </c>
      <c r="L720" t="s">
        <v>46</v>
      </c>
      <c r="M720">
        <v>88</v>
      </c>
      <c r="N720">
        <v>1</v>
      </c>
      <c r="O720">
        <v>1433.66</v>
      </c>
      <c r="P720" s="1">
        <v>45600.340439814812</v>
      </c>
      <c r="Q720">
        <v>16</v>
      </c>
      <c r="R720" t="s">
        <v>54</v>
      </c>
      <c r="S720">
        <v>-0.65787377717566997</v>
      </c>
      <c r="T720" t="b">
        <v>0</v>
      </c>
      <c r="U720" t="b">
        <v>0</v>
      </c>
      <c r="V720" t="b">
        <f t="shared" si="22"/>
        <v>1</v>
      </c>
      <c r="W720">
        <v>0</v>
      </c>
      <c r="Y720">
        <f t="shared" si="23"/>
        <v>0</v>
      </c>
    </row>
    <row r="721" spans="1:25" x14ac:dyDescent="0.3">
      <c r="A721" t="s">
        <v>2159</v>
      </c>
      <c r="B721" t="s">
        <v>1809</v>
      </c>
      <c r="C721">
        <v>737.34</v>
      </c>
      <c r="D721" s="1">
        <v>45005.739837962959</v>
      </c>
      <c r="E721" t="s">
        <v>25</v>
      </c>
      <c r="F721" t="s">
        <v>185</v>
      </c>
      <c r="G721" t="s">
        <v>2160</v>
      </c>
      <c r="H721" t="s">
        <v>294</v>
      </c>
      <c r="I721" t="s">
        <v>611</v>
      </c>
      <c r="J721" t="s">
        <v>45</v>
      </c>
      <c r="K721">
        <v>30</v>
      </c>
      <c r="L721" t="s">
        <v>31</v>
      </c>
      <c r="M721">
        <v>34</v>
      </c>
      <c r="N721">
        <v>1</v>
      </c>
      <c r="O721">
        <v>7336.56</v>
      </c>
      <c r="P721" s="1">
        <v>45600.338958333334</v>
      </c>
      <c r="Q721">
        <v>17</v>
      </c>
      <c r="R721" t="s">
        <v>47</v>
      </c>
      <c r="S721">
        <v>1.50625751179038</v>
      </c>
      <c r="T721" t="b">
        <v>0</v>
      </c>
      <c r="U721" t="b">
        <v>0</v>
      </c>
      <c r="V721" t="b">
        <f t="shared" si="22"/>
        <v>1</v>
      </c>
      <c r="W721">
        <v>0</v>
      </c>
      <c r="Y721">
        <f t="shared" si="23"/>
        <v>0</v>
      </c>
    </row>
    <row r="722" spans="1:25" x14ac:dyDescent="0.3">
      <c r="A722" t="s">
        <v>2161</v>
      </c>
      <c r="B722" t="s">
        <v>2162</v>
      </c>
      <c r="C722">
        <v>237.86</v>
      </c>
      <c r="D722" s="1">
        <v>44963.742118055554</v>
      </c>
      <c r="E722" t="s">
        <v>25</v>
      </c>
      <c r="F722" t="s">
        <v>256</v>
      </c>
      <c r="G722" t="s">
        <v>1432</v>
      </c>
      <c r="H722" t="s">
        <v>2163</v>
      </c>
      <c r="I722" t="s">
        <v>265</v>
      </c>
      <c r="J722" t="s">
        <v>30</v>
      </c>
      <c r="K722">
        <v>18</v>
      </c>
      <c r="L722" t="s">
        <v>46</v>
      </c>
      <c r="M722">
        <v>210</v>
      </c>
      <c r="N722">
        <v>1</v>
      </c>
      <c r="O722">
        <v>475.63</v>
      </c>
      <c r="P722" s="1">
        <v>45600.340509259258</v>
      </c>
      <c r="Q722">
        <v>17</v>
      </c>
      <c r="R722" t="s">
        <v>47</v>
      </c>
      <c r="S722">
        <v>-0.20460539986464599</v>
      </c>
      <c r="T722" t="b">
        <v>0</v>
      </c>
      <c r="U722" t="b">
        <v>0</v>
      </c>
      <c r="V722" t="b">
        <f t="shared" si="22"/>
        <v>1</v>
      </c>
      <c r="W722">
        <v>0</v>
      </c>
      <c r="Y722">
        <f t="shared" si="23"/>
        <v>0</v>
      </c>
    </row>
    <row r="723" spans="1:25" x14ac:dyDescent="0.3">
      <c r="A723" t="s">
        <v>2164</v>
      </c>
      <c r="B723" t="s">
        <v>1180</v>
      </c>
      <c r="C723">
        <v>409.61</v>
      </c>
      <c r="D723" s="1">
        <v>45133.670694444445</v>
      </c>
      <c r="E723" t="s">
        <v>25</v>
      </c>
      <c r="F723" t="s">
        <v>304</v>
      </c>
      <c r="G723" t="s">
        <v>1104</v>
      </c>
      <c r="H723" t="s">
        <v>1865</v>
      </c>
      <c r="I723" t="s">
        <v>1222</v>
      </c>
      <c r="J723" t="s">
        <v>81</v>
      </c>
      <c r="K723">
        <v>65</v>
      </c>
      <c r="L723" t="s">
        <v>31</v>
      </c>
      <c r="M723">
        <v>89</v>
      </c>
      <c r="N723">
        <v>1</v>
      </c>
      <c r="O723">
        <v>11698.15</v>
      </c>
      <c r="P723" s="1">
        <v>45600.340462962966</v>
      </c>
      <c r="Q723">
        <v>16</v>
      </c>
      <c r="R723" t="s">
        <v>74</v>
      </c>
      <c r="S723">
        <v>0.38368783525337902</v>
      </c>
      <c r="T723" t="b">
        <v>0</v>
      </c>
      <c r="U723" t="b">
        <v>0</v>
      </c>
      <c r="V723" t="b">
        <f t="shared" si="22"/>
        <v>1</v>
      </c>
      <c r="W723">
        <v>0</v>
      </c>
      <c r="Y723">
        <f t="shared" si="23"/>
        <v>0</v>
      </c>
    </row>
    <row r="724" spans="1:25" x14ac:dyDescent="0.3">
      <c r="A724" t="s">
        <v>2165</v>
      </c>
      <c r="B724" t="s">
        <v>1277</v>
      </c>
      <c r="C724">
        <v>75.53</v>
      </c>
      <c r="D724" s="1">
        <v>45159.733391203707</v>
      </c>
      <c r="E724" t="s">
        <v>57</v>
      </c>
      <c r="F724" t="s">
        <v>571</v>
      </c>
      <c r="G724" t="s">
        <v>1303</v>
      </c>
      <c r="H724" t="s">
        <v>1696</v>
      </c>
      <c r="I724" t="s">
        <v>44</v>
      </c>
      <c r="J724" t="s">
        <v>45</v>
      </c>
      <c r="K724">
        <v>21</v>
      </c>
      <c r="L724" t="s">
        <v>46</v>
      </c>
      <c r="M724">
        <v>157</v>
      </c>
      <c r="N724">
        <v>1</v>
      </c>
      <c r="O724">
        <v>1034.3499999999999</v>
      </c>
      <c r="P724" s="1">
        <v>45600.338321759256</v>
      </c>
      <c r="Q724">
        <v>17</v>
      </c>
      <c r="R724" t="s">
        <v>47</v>
      </c>
      <c r="S724">
        <v>-0.76063242086440896</v>
      </c>
      <c r="T724" t="b">
        <v>0</v>
      </c>
      <c r="U724" t="b">
        <v>0</v>
      </c>
      <c r="V724" t="b">
        <f t="shared" si="22"/>
        <v>1</v>
      </c>
      <c r="W724">
        <v>0</v>
      </c>
      <c r="Y724">
        <f t="shared" si="23"/>
        <v>0</v>
      </c>
    </row>
    <row r="725" spans="1:25" x14ac:dyDescent="0.3">
      <c r="A725" t="s">
        <v>2166</v>
      </c>
      <c r="B725" t="s">
        <v>868</v>
      </c>
      <c r="C725">
        <v>72.75</v>
      </c>
      <c r="D725" s="1">
        <v>45047.687534722223</v>
      </c>
      <c r="E725" t="s">
        <v>25</v>
      </c>
      <c r="F725" t="s">
        <v>438</v>
      </c>
      <c r="G725" t="s">
        <v>705</v>
      </c>
      <c r="H725" t="s">
        <v>1433</v>
      </c>
      <c r="I725" t="s">
        <v>665</v>
      </c>
      <c r="J725" t="s">
        <v>30</v>
      </c>
      <c r="K725">
        <v>64</v>
      </c>
      <c r="L725" t="s">
        <v>31</v>
      </c>
      <c r="M725">
        <v>15</v>
      </c>
      <c r="N725">
        <v>1</v>
      </c>
      <c r="O725">
        <v>12042.79</v>
      </c>
      <c r="P725" s="1">
        <v>45600.338414351849</v>
      </c>
      <c r="Q725">
        <v>16</v>
      </c>
      <c r="R725" t="s">
        <v>47</v>
      </c>
      <c r="S725">
        <v>-0.77015472184623202</v>
      </c>
      <c r="T725" t="b">
        <v>0</v>
      </c>
      <c r="U725" t="b">
        <v>0</v>
      </c>
      <c r="V725" t="b">
        <f t="shared" si="22"/>
        <v>1</v>
      </c>
      <c r="W725">
        <v>0</v>
      </c>
      <c r="Y725">
        <f t="shared" si="23"/>
        <v>0</v>
      </c>
    </row>
    <row r="726" spans="1:25" x14ac:dyDescent="0.3">
      <c r="A726" t="s">
        <v>2167</v>
      </c>
      <c r="B726" t="s">
        <v>700</v>
      </c>
      <c r="C726">
        <v>39.11</v>
      </c>
      <c r="D726" s="1">
        <v>45170.753900462965</v>
      </c>
      <c r="E726" t="s">
        <v>25</v>
      </c>
      <c r="F726" t="s">
        <v>137</v>
      </c>
      <c r="G726" t="s">
        <v>71</v>
      </c>
      <c r="H726" t="s">
        <v>1038</v>
      </c>
      <c r="I726" t="s">
        <v>38</v>
      </c>
      <c r="J726" t="s">
        <v>45</v>
      </c>
      <c r="K726">
        <v>26</v>
      </c>
      <c r="L726" t="s">
        <v>46</v>
      </c>
      <c r="M726">
        <v>143</v>
      </c>
      <c r="N726">
        <v>1</v>
      </c>
      <c r="O726">
        <v>518.54</v>
      </c>
      <c r="P726" s="1">
        <v>45600.339201388888</v>
      </c>
      <c r="Q726">
        <v>18</v>
      </c>
      <c r="R726" t="s">
        <v>54</v>
      </c>
      <c r="S726">
        <v>-0.88538141430253703</v>
      </c>
      <c r="T726" t="b">
        <v>0</v>
      </c>
      <c r="U726" t="b">
        <v>0</v>
      </c>
      <c r="V726" t="b">
        <f t="shared" si="22"/>
        <v>1</v>
      </c>
      <c r="W726">
        <v>0</v>
      </c>
      <c r="Y726">
        <f t="shared" si="23"/>
        <v>0</v>
      </c>
    </row>
    <row r="727" spans="1:25" x14ac:dyDescent="0.3">
      <c r="A727" t="s">
        <v>2168</v>
      </c>
      <c r="B727" t="s">
        <v>1206</v>
      </c>
      <c r="C727">
        <v>1309.79</v>
      </c>
      <c r="D727" s="1">
        <v>44991.690081018518</v>
      </c>
      <c r="E727" t="s">
        <v>25</v>
      </c>
      <c r="F727" t="s">
        <v>225</v>
      </c>
      <c r="G727" t="s">
        <v>2169</v>
      </c>
      <c r="H727" t="s">
        <v>2170</v>
      </c>
      <c r="I727" t="s">
        <v>445</v>
      </c>
      <c r="J727" t="s">
        <v>30</v>
      </c>
      <c r="K727">
        <v>23</v>
      </c>
      <c r="L727" t="s">
        <v>46</v>
      </c>
      <c r="M727">
        <v>139</v>
      </c>
      <c r="N727">
        <v>1</v>
      </c>
      <c r="O727">
        <v>1258.93</v>
      </c>
      <c r="P727" s="1">
        <v>45600.341134259259</v>
      </c>
      <c r="Q727">
        <v>16</v>
      </c>
      <c r="R727" t="s">
        <v>47</v>
      </c>
      <c r="S727">
        <v>3.4670636977776499</v>
      </c>
      <c r="T727" t="b">
        <v>1</v>
      </c>
      <c r="U727" t="b">
        <v>0</v>
      </c>
      <c r="V727" t="b">
        <f t="shared" si="22"/>
        <v>1</v>
      </c>
      <c r="W727">
        <v>1</v>
      </c>
      <c r="Y727">
        <f t="shared" si="23"/>
        <v>1</v>
      </c>
    </row>
    <row r="728" spans="1:25" x14ac:dyDescent="0.3">
      <c r="A728" t="s">
        <v>2171</v>
      </c>
      <c r="B728" t="s">
        <v>1752</v>
      </c>
      <c r="C728">
        <v>729.38</v>
      </c>
      <c r="D728" s="1">
        <v>45244.724803240744</v>
      </c>
      <c r="E728" t="s">
        <v>25</v>
      </c>
      <c r="F728" t="s">
        <v>153</v>
      </c>
      <c r="G728" t="s">
        <v>1200</v>
      </c>
      <c r="H728" t="s">
        <v>2023</v>
      </c>
      <c r="I728" t="s">
        <v>495</v>
      </c>
      <c r="J728" t="s">
        <v>30</v>
      </c>
      <c r="K728">
        <v>68</v>
      </c>
      <c r="L728" t="s">
        <v>31</v>
      </c>
      <c r="M728">
        <v>90</v>
      </c>
      <c r="N728">
        <v>1</v>
      </c>
      <c r="O728">
        <v>9127.65</v>
      </c>
      <c r="P728" s="1">
        <v>45600.339074074072</v>
      </c>
      <c r="Q728">
        <v>17</v>
      </c>
      <c r="R728" t="s">
        <v>32</v>
      </c>
      <c r="S728">
        <v>1.47899221833163</v>
      </c>
      <c r="T728" t="b">
        <v>0</v>
      </c>
      <c r="U728" t="b">
        <v>0</v>
      </c>
      <c r="V728" t="b">
        <f t="shared" si="22"/>
        <v>1</v>
      </c>
      <c r="W728">
        <v>0</v>
      </c>
      <c r="Y728">
        <f t="shared" si="23"/>
        <v>0</v>
      </c>
    </row>
    <row r="729" spans="1:25" x14ac:dyDescent="0.3">
      <c r="A729" t="s">
        <v>2172</v>
      </c>
      <c r="B729" t="s">
        <v>1723</v>
      </c>
      <c r="C729">
        <v>137.49</v>
      </c>
      <c r="D729" s="1">
        <v>45133.704259259262</v>
      </c>
      <c r="E729" t="s">
        <v>25</v>
      </c>
      <c r="F729" t="s">
        <v>170</v>
      </c>
      <c r="G729" t="s">
        <v>2173</v>
      </c>
      <c r="H729" t="s">
        <v>850</v>
      </c>
      <c r="I729" t="s">
        <v>156</v>
      </c>
      <c r="J729" t="s">
        <v>30</v>
      </c>
      <c r="K729">
        <v>34</v>
      </c>
      <c r="L729" t="s">
        <v>89</v>
      </c>
      <c r="M729">
        <v>50</v>
      </c>
      <c r="N729">
        <v>1</v>
      </c>
      <c r="O729">
        <v>4471.05</v>
      </c>
      <c r="P729" s="1">
        <v>45600.338240740741</v>
      </c>
      <c r="Q729">
        <v>16</v>
      </c>
      <c r="R729" t="s">
        <v>74</v>
      </c>
      <c r="S729">
        <v>-0.54840156876593504</v>
      </c>
      <c r="T729" t="b">
        <v>0</v>
      </c>
      <c r="U729" t="b">
        <v>0</v>
      </c>
      <c r="V729" t="b">
        <f t="shared" si="22"/>
        <v>1</v>
      </c>
      <c r="W729">
        <v>0</v>
      </c>
      <c r="Y729">
        <f t="shared" si="23"/>
        <v>0</v>
      </c>
    </row>
    <row r="730" spans="1:25" x14ac:dyDescent="0.3">
      <c r="A730" t="s">
        <v>2174</v>
      </c>
      <c r="B730" t="s">
        <v>2175</v>
      </c>
      <c r="C730">
        <v>504.71</v>
      </c>
      <c r="D730" s="1">
        <v>45026.76934027778</v>
      </c>
      <c r="E730" t="s">
        <v>25</v>
      </c>
      <c r="F730" t="s">
        <v>85</v>
      </c>
      <c r="G730" t="s">
        <v>2176</v>
      </c>
      <c r="H730" t="s">
        <v>87</v>
      </c>
      <c r="I730" t="s">
        <v>419</v>
      </c>
      <c r="J730" t="s">
        <v>45</v>
      </c>
      <c r="K730">
        <v>29</v>
      </c>
      <c r="L730" t="s">
        <v>89</v>
      </c>
      <c r="M730">
        <v>61</v>
      </c>
      <c r="N730">
        <v>1</v>
      </c>
      <c r="O730">
        <v>6214.54</v>
      </c>
      <c r="P730" s="1">
        <v>45600.339317129627</v>
      </c>
      <c r="Q730">
        <v>18</v>
      </c>
      <c r="R730" t="s">
        <v>47</v>
      </c>
      <c r="S730">
        <v>0.70943273574667898</v>
      </c>
      <c r="T730" t="b">
        <v>0</v>
      </c>
      <c r="U730" t="b">
        <v>0</v>
      </c>
      <c r="V730" t="b">
        <f t="shared" si="22"/>
        <v>1</v>
      </c>
      <c r="W730">
        <v>0</v>
      </c>
      <c r="Y730">
        <f t="shared" si="23"/>
        <v>0</v>
      </c>
    </row>
    <row r="731" spans="1:25" x14ac:dyDescent="0.3">
      <c r="A731" t="s">
        <v>2177</v>
      </c>
      <c r="B731" t="s">
        <v>389</v>
      </c>
      <c r="C731">
        <v>371.47</v>
      </c>
      <c r="D731" s="1">
        <v>45076.677199074074</v>
      </c>
      <c r="E731" t="s">
        <v>57</v>
      </c>
      <c r="F731" t="s">
        <v>191</v>
      </c>
      <c r="G731" t="s">
        <v>305</v>
      </c>
      <c r="H731" t="s">
        <v>1531</v>
      </c>
      <c r="I731" t="s">
        <v>361</v>
      </c>
      <c r="J731" t="s">
        <v>81</v>
      </c>
      <c r="K731">
        <v>24</v>
      </c>
      <c r="L731" t="s">
        <v>46</v>
      </c>
      <c r="M731">
        <v>58</v>
      </c>
      <c r="N731">
        <v>1</v>
      </c>
      <c r="O731">
        <v>1187.04</v>
      </c>
      <c r="P731" s="1">
        <v>45600.33829861111</v>
      </c>
      <c r="Q731">
        <v>16</v>
      </c>
      <c r="R731" t="s">
        <v>32</v>
      </c>
      <c r="S731">
        <v>0.25304734624376302</v>
      </c>
      <c r="T731" t="b">
        <v>0</v>
      </c>
      <c r="U731" t="b">
        <v>0</v>
      </c>
      <c r="V731" t="b">
        <f t="shared" si="22"/>
        <v>1</v>
      </c>
      <c r="W731">
        <v>0</v>
      </c>
      <c r="Y731">
        <f t="shared" si="23"/>
        <v>0</v>
      </c>
    </row>
    <row r="732" spans="1:25" x14ac:dyDescent="0.3">
      <c r="A732" t="s">
        <v>2178</v>
      </c>
      <c r="B732" t="s">
        <v>1033</v>
      </c>
      <c r="C732">
        <v>430.35</v>
      </c>
      <c r="D732" s="1">
        <v>44977.724340277775</v>
      </c>
      <c r="E732" t="s">
        <v>25</v>
      </c>
      <c r="F732" t="s">
        <v>262</v>
      </c>
      <c r="G732" t="s">
        <v>1813</v>
      </c>
      <c r="H732" t="s">
        <v>1146</v>
      </c>
      <c r="I732" t="s">
        <v>95</v>
      </c>
      <c r="J732" t="s">
        <v>45</v>
      </c>
      <c r="K732">
        <v>36</v>
      </c>
      <c r="L732" t="s">
        <v>31</v>
      </c>
      <c r="M732">
        <v>205</v>
      </c>
      <c r="N732">
        <v>1</v>
      </c>
      <c r="O732">
        <v>354.9</v>
      </c>
      <c r="P732" s="1">
        <v>45600.340868055559</v>
      </c>
      <c r="Q732">
        <v>17</v>
      </c>
      <c r="R732" t="s">
        <v>47</v>
      </c>
      <c r="S732">
        <v>0.454728310923526</v>
      </c>
      <c r="T732" t="b">
        <v>0</v>
      </c>
      <c r="U732" t="b">
        <v>0</v>
      </c>
      <c r="V732" t="b">
        <f t="shared" si="22"/>
        <v>1</v>
      </c>
      <c r="W732">
        <v>0</v>
      </c>
      <c r="Y732">
        <f t="shared" si="23"/>
        <v>0</v>
      </c>
    </row>
    <row r="733" spans="1:25" x14ac:dyDescent="0.3">
      <c r="A733" t="s">
        <v>2179</v>
      </c>
      <c r="B733" t="s">
        <v>999</v>
      </c>
      <c r="C733">
        <v>230.32</v>
      </c>
      <c r="D733" s="1">
        <v>45061.760798611111</v>
      </c>
      <c r="E733" t="s">
        <v>25</v>
      </c>
      <c r="F733" t="s">
        <v>159</v>
      </c>
      <c r="G733" t="s">
        <v>815</v>
      </c>
      <c r="H733" t="s">
        <v>2180</v>
      </c>
      <c r="I733" t="s">
        <v>29</v>
      </c>
      <c r="J733" t="s">
        <v>81</v>
      </c>
      <c r="K733">
        <v>35</v>
      </c>
      <c r="L733" t="s">
        <v>89</v>
      </c>
      <c r="M733">
        <v>56</v>
      </c>
      <c r="N733">
        <v>1</v>
      </c>
      <c r="O733">
        <v>791.46</v>
      </c>
      <c r="P733" s="1">
        <v>45600.339282407411</v>
      </c>
      <c r="Q733">
        <v>18</v>
      </c>
      <c r="R733" t="s">
        <v>47</v>
      </c>
      <c r="S733">
        <v>-0.230432072311749</v>
      </c>
      <c r="T733" t="b">
        <v>0</v>
      </c>
      <c r="U733" t="b">
        <v>0</v>
      </c>
      <c r="V733" t="b">
        <f t="shared" si="22"/>
        <v>1</v>
      </c>
      <c r="W733">
        <v>0</v>
      </c>
      <c r="Y733">
        <f t="shared" si="23"/>
        <v>0</v>
      </c>
    </row>
    <row r="734" spans="1:25" x14ac:dyDescent="0.3">
      <c r="A734" t="s">
        <v>2181</v>
      </c>
      <c r="B734" t="s">
        <v>2182</v>
      </c>
      <c r="C734">
        <v>121.71</v>
      </c>
      <c r="D734" s="1">
        <v>45174.709988425922</v>
      </c>
      <c r="E734" t="s">
        <v>25</v>
      </c>
      <c r="F734" t="s">
        <v>278</v>
      </c>
      <c r="G734" t="s">
        <v>2183</v>
      </c>
      <c r="H734" t="s">
        <v>274</v>
      </c>
      <c r="I734" t="s">
        <v>29</v>
      </c>
      <c r="J734" t="s">
        <v>30</v>
      </c>
      <c r="K734">
        <v>52</v>
      </c>
      <c r="L734" t="s">
        <v>82</v>
      </c>
      <c r="M734">
        <v>140</v>
      </c>
      <c r="N734">
        <v>1</v>
      </c>
      <c r="O734">
        <v>5878.89</v>
      </c>
      <c r="P734" s="1">
        <v>45600.341238425928</v>
      </c>
      <c r="Q734">
        <v>17</v>
      </c>
      <c r="R734" t="s">
        <v>32</v>
      </c>
      <c r="S734">
        <v>-0.60245261534621097</v>
      </c>
      <c r="T734" t="b">
        <v>0</v>
      </c>
      <c r="U734" t="b">
        <v>0</v>
      </c>
      <c r="V734" t="b">
        <f t="shared" si="22"/>
        <v>1</v>
      </c>
      <c r="W734">
        <v>0</v>
      </c>
      <c r="Y734">
        <f t="shared" si="23"/>
        <v>0</v>
      </c>
    </row>
    <row r="735" spans="1:25" x14ac:dyDescent="0.3">
      <c r="A735" t="s">
        <v>2184</v>
      </c>
      <c r="B735" t="s">
        <v>2185</v>
      </c>
      <c r="C735">
        <v>98.87</v>
      </c>
      <c r="D735" s="1">
        <v>44929.743831018517</v>
      </c>
      <c r="E735" t="s">
        <v>25</v>
      </c>
      <c r="F735" t="s">
        <v>85</v>
      </c>
      <c r="G735" t="s">
        <v>1980</v>
      </c>
      <c r="H735" t="s">
        <v>1843</v>
      </c>
      <c r="I735" t="s">
        <v>419</v>
      </c>
      <c r="J735" t="s">
        <v>45</v>
      </c>
      <c r="K735">
        <v>20</v>
      </c>
      <c r="L735" t="s">
        <v>46</v>
      </c>
      <c r="M735">
        <v>179</v>
      </c>
      <c r="N735">
        <v>1</v>
      </c>
      <c r="O735">
        <v>533.20000000000005</v>
      </c>
      <c r="P735" s="1">
        <v>45600.338171296295</v>
      </c>
      <c r="Q735">
        <v>17</v>
      </c>
      <c r="R735" t="s">
        <v>32</v>
      </c>
      <c r="S735">
        <v>-0.68068619607457004</v>
      </c>
      <c r="T735" t="b">
        <v>0</v>
      </c>
      <c r="U735" t="b">
        <v>0</v>
      </c>
      <c r="V735" t="b">
        <f t="shared" si="22"/>
        <v>1</v>
      </c>
      <c r="W735">
        <v>0</v>
      </c>
      <c r="Y735">
        <f t="shared" si="23"/>
        <v>0</v>
      </c>
    </row>
    <row r="736" spans="1:25" x14ac:dyDescent="0.3">
      <c r="A736" t="s">
        <v>2186</v>
      </c>
      <c r="B736" t="s">
        <v>272</v>
      </c>
      <c r="C736">
        <v>117.55</v>
      </c>
      <c r="D736" s="1">
        <v>45065.691053240742</v>
      </c>
      <c r="E736" t="s">
        <v>25</v>
      </c>
      <c r="F736" t="s">
        <v>571</v>
      </c>
      <c r="G736" t="s">
        <v>1954</v>
      </c>
      <c r="H736" t="s">
        <v>1934</v>
      </c>
      <c r="I736" t="s">
        <v>259</v>
      </c>
      <c r="J736" t="s">
        <v>30</v>
      </c>
      <c r="K736">
        <v>24</v>
      </c>
      <c r="L736" t="s">
        <v>46</v>
      </c>
      <c r="M736">
        <v>35</v>
      </c>
      <c r="N736">
        <v>1</v>
      </c>
      <c r="O736">
        <v>897.94</v>
      </c>
      <c r="P736" s="1">
        <v>45600.341122685182</v>
      </c>
      <c r="Q736">
        <v>16</v>
      </c>
      <c r="R736" t="s">
        <v>54</v>
      </c>
      <c r="S736">
        <v>-0.61670181393771595</v>
      </c>
      <c r="T736" t="b">
        <v>0</v>
      </c>
      <c r="U736" t="b">
        <v>0</v>
      </c>
      <c r="V736" t="b">
        <f t="shared" si="22"/>
        <v>1</v>
      </c>
      <c r="W736">
        <v>0</v>
      </c>
      <c r="Y736">
        <f t="shared" si="23"/>
        <v>0</v>
      </c>
    </row>
    <row r="737" spans="1:25" x14ac:dyDescent="0.3">
      <c r="A737" t="s">
        <v>2187</v>
      </c>
      <c r="B737" t="s">
        <v>1798</v>
      </c>
      <c r="C737">
        <v>244.64</v>
      </c>
      <c r="D737" s="1">
        <v>44978.778923611113</v>
      </c>
      <c r="E737" t="s">
        <v>25</v>
      </c>
      <c r="F737" t="s">
        <v>268</v>
      </c>
      <c r="G737" t="s">
        <v>1958</v>
      </c>
      <c r="H737" t="s">
        <v>2188</v>
      </c>
      <c r="I737" t="s">
        <v>844</v>
      </c>
      <c r="J737" t="s">
        <v>81</v>
      </c>
      <c r="K737">
        <v>30</v>
      </c>
      <c r="L737" t="s">
        <v>31</v>
      </c>
      <c r="M737">
        <v>103</v>
      </c>
      <c r="N737">
        <v>1</v>
      </c>
      <c r="O737">
        <v>9159.56</v>
      </c>
      <c r="P737" s="1">
        <v>45600.338113425925</v>
      </c>
      <c r="Q737">
        <v>18</v>
      </c>
      <c r="R737" t="s">
        <v>32</v>
      </c>
      <c r="S737">
        <v>-0.181381946390992</v>
      </c>
      <c r="T737" t="b">
        <v>0</v>
      </c>
      <c r="U737" t="b">
        <v>0</v>
      </c>
      <c r="V737" t="b">
        <f t="shared" si="22"/>
        <v>1</v>
      </c>
      <c r="W737">
        <v>0</v>
      </c>
      <c r="Y737">
        <f t="shared" si="23"/>
        <v>0</v>
      </c>
    </row>
    <row r="738" spans="1:25" x14ac:dyDescent="0.3">
      <c r="A738" t="s">
        <v>2189</v>
      </c>
      <c r="B738" t="s">
        <v>893</v>
      </c>
      <c r="C738">
        <v>321.93</v>
      </c>
      <c r="D738" s="1">
        <v>45264.768877314818</v>
      </c>
      <c r="E738" t="s">
        <v>25</v>
      </c>
      <c r="F738" t="s">
        <v>92</v>
      </c>
      <c r="G738" t="s">
        <v>1482</v>
      </c>
      <c r="H738" t="s">
        <v>1255</v>
      </c>
      <c r="I738" t="s">
        <v>199</v>
      </c>
      <c r="J738" t="s">
        <v>30</v>
      </c>
      <c r="K738">
        <v>45</v>
      </c>
      <c r="L738" t="s">
        <v>89</v>
      </c>
      <c r="M738">
        <v>12</v>
      </c>
      <c r="N738">
        <v>1</v>
      </c>
      <c r="O738">
        <v>4392.7299999999996</v>
      </c>
      <c r="P738" s="1">
        <v>45600.338784722226</v>
      </c>
      <c r="Q738">
        <v>18</v>
      </c>
      <c r="R738" t="s">
        <v>47</v>
      </c>
      <c r="S738">
        <v>8.3358572632427103E-2</v>
      </c>
      <c r="T738" t="b">
        <v>0</v>
      </c>
      <c r="U738" t="b">
        <v>0</v>
      </c>
      <c r="V738" t="b">
        <f t="shared" si="22"/>
        <v>1</v>
      </c>
      <c r="W738">
        <v>0</v>
      </c>
      <c r="Y738">
        <f t="shared" si="23"/>
        <v>0</v>
      </c>
    </row>
    <row r="739" spans="1:25" x14ac:dyDescent="0.3">
      <c r="A739" t="s">
        <v>2190</v>
      </c>
      <c r="B739" t="s">
        <v>484</v>
      </c>
      <c r="C739">
        <v>1092.73</v>
      </c>
      <c r="D739" s="1">
        <v>44949.725335648145</v>
      </c>
      <c r="E739" t="s">
        <v>25</v>
      </c>
      <c r="F739" t="s">
        <v>137</v>
      </c>
      <c r="G739" t="s">
        <v>2000</v>
      </c>
      <c r="H739" t="s">
        <v>1564</v>
      </c>
      <c r="I739" t="s">
        <v>344</v>
      </c>
      <c r="J739" t="s">
        <v>81</v>
      </c>
      <c r="K739">
        <v>58</v>
      </c>
      <c r="L739" t="s">
        <v>82</v>
      </c>
      <c r="M739">
        <v>11</v>
      </c>
      <c r="N739">
        <v>1</v>
      </c>
      <c r="O739">
        <v>1390.98</v>
      </c>
      <c r="P739" s="1">
        <v>45600.338773148149</v>
      </c>
      <c r="Q739">
        <v>17</v>
      </c>
      <c r="R739" t="s">
        <v>47</v>
      </c>
      <c r="S739">
        <v>2.7235706578083998</v>
      </c>
      <c r="T739" t="b">
        <v>1</v>
      </c>
      <c r="U739" t="b">
        <v>0</v>
      </c>
      <c r="V739" t="b">
        <f t="shared" si="22"/>
        <v>1</v>
      </c>
      <c r="W739">
        <v>1</v>
      </c>
      <c r="Y739">
        <f t="shared" si="23"/>
        <v>1</v>
      </c>
    </row>
    <row r="740" spans="1:25" x14ac:dyDescent="0.3">
      <c r="A740" t="s">
        <v>2191</v>
      </c>
      <c r="B740" t="s">
        <v>2192</v>
      </c>
      <c r="C740">
        <v>283.23</v>
      </c>
      <c r="D740" s="1">
        <v>44963.700520833336</v>
      </c>
      <c r="E740" t="s">
        <v>25</v>
      </c>
      <c r="F740" t="s">
        <v>519</v>
      </c>
      <c r="G740" t="s">
        <v>2116</v>
      </c>
      <c r="H740" t="s">
        <v>1132</v>
      </c>
      <c r="I740" t="s">
        <v>898</v>
      </c>
      <c r="J740" t="s">
        <v>45</v>
      </c>
      <c r="K740">
        <v>40</v>
      </c>
      <c r="L740" t="s">
        <v>89</v>
      </c>
      <c r="M740">
        <v>98</v>
      </c>
      <c r="N740">
        <v>1</v>
      </c>
      <c r="O740">
        <v>2008.77</v>
      </c>
      <c r="P740" s="1">
        <v>45600.338634259257</v>
      </c>
      <c r="Q740">
        <v>16</v>
      </c>
      <c r="R740" t="s">
        <v>47</v>
      </c>
      <c r="S740">
        <v>-4.9200077726044997E-2</v>
      </c>
      <c r="T740" t="b">
        <v>0</v>
      </c>
      <c r="U740" t="b">
        <v>0</v>
      </c>
      <c r="V740" t="b">
        <f t="shared" si="22"/>
        <v>1</v>
      </c>
      <c r="W740">
        <v>0</v>
      </c>
      <c r="Y740">
        <f t="shared" si="23"/>
        <v>0</v>
      </c>
    </row>
    <row r="741" spans="1:25" x14ac:dyDescent="0.3">
      <c r="A741" t="s">
        <v>2193</v>
      </c>
      <c r="B741" t="s">
        <v>158</v>
      </c>
      <c r="C741">
        <v>346.65</v>
      </c>
      <c r="D741" s="1">
        <v>45292.678622685184</v>
      </c>
      <c r="E741" t="s">
        <v>25</v>
      </c>
      <c r="F741" t="s">
        <v>466</v>
      </c>
      <c r="G741" t="s">
        <v>242</v>
      </c>
      <c r="H741" t="s">
        <v>2194</v>
      </c>
      <c r="I741" t="s">
        <v>632</v>
      </c>
      <c r="J741" t="s">
        <v>45</v>
      </c>
      <c r="K741">
        <v>30</v>
      </c>
      <c r="L741" t="s">
        <v>89</v>
      </c>
      <c r="M741">
        <v>60</v>
      </c>
      <c r="N741">
        <v>1</v>
      </c>
      <c r="O741">
        <v>6356.96</v>
      </c>
      <c r="P741" s="1">
        <v>45600.338171296295</v>
      </c>
      <c r="Q741">
        <v>16</v>
      </c>
      <c r="R741" t="s">
        <v>47</v>
      </c>
      <c r="S741">
        <v>0.16803169503194701</v>
      </c>
      <c r="T741" t="b">
        <v>0</v>
      </c>
      <c r="U741" t="b">
        <v>0</v>
      </c>
      <c r="V741" t="b">
        <f t="shared" si="22"/>
        <v>1</v>
      </c>
      <c r="W741">
        <v>0</v>
      </c>
      <c r="Y741">
        <f t="shared" si="23"/>
        <v>0</v>
      </c>
    </row>
    <row r="742" spans="1:25" x14ac:dyDescent="0.3">
      <c r="A742" t="s">
        <v>2195</v>
      </c>
      <c r="B742" t="s">
        <v>1720</v>
      </c>
      <c r="C742">
        <v>381.62</v>
      </c>
      <c r="D742" s="1">
        <v>44953.694768518515</v>
      </c>
      <c r="E742" t="s">
        <v>25</v>
      </c>
      <c r="F742" t="s">
        <v>159</v>
      </c>
      <c r="G742" t="s">
        <v>1535</v>
      </c>
      <c r="H742" t="s">
        <v>2196</v>
      </c>
      <c r="I742" t="s">
        <v>361</v>
      </c>
      <c r="J742" t="s">
        <v>45</v>
      </c>
      <c r="K742">
        <v>64</v>
      </c>
      <c r="L742" t="s">
        <v>82</v>
      </c>
      <c r="M742">
        <v>164</v>
      </c>
      <c r="N742">
        <v>1</v>
      </c>
      <c r="O742">
        <v>6009.12</v>
      </c>
      <c r="P742" s="1">
        <v>45600.341504629629</v>
      </c>
      <c r="Q742">
        <v>16</v>
      </c>
      <c r="R742" t="s">
        <v>54</v>
      </c>
      <c r="S742">
        <v>0.28781402069178602</v>
      </c>
      <c r="T742" t="b">
        <v>0</v>
      </c>
      <c r="U742" t="b">
        <v>0</v>
      </c>
      <c r="V742" t="b">
        <f t="shared" si="22"/>
        <v>1</v>
      </c>
      <c r="W742">
        <v>0</v>
      </c>
      <c r="Y742">
        <f t="shared" si="23"/>
        <v>0</v>
      </c>
    </row>
    <row r="743" spans="1:25" x14ac:dyDescent="0.3">
      <c r="A743" t="s">
        <v>2197</v>
      </c>
      <c r="B743" t="s">
        <v>1230</v>
      </c>
      <c r="C743">
        <v>388.65</v>
      </c>
      <c r="D743" s="1">
        <v>44978.668437499997</v>
      </c>
      <c r="E743" t="s">
        <v>25</v>
      </c>
      <c r="F743" t="s">
        <v>64</v>
      </c>
      <c r="G743" t="s">
        <v>293</v>
      </c>
      <c r="H743" t="s">
        <v>2054</v>
      </c>
      <c r="I743" t="s">
        <v>162</v>
      </c>
      <c r="J743" t="s">
        <v>30</v>
      </c>
      <c r="K743">
        <v>76</v>
      </c>
      <c r="L743" t="s">
        <v>82</v>
      </c>
      <c r="M743">
        <v>43</v>
      </c>
      <c r="N743">
        <v>1</v>
      </c>
      <c r="O743">
        <v>7896.85</v>
      </c>
      <c r="P743" s="1">
        <v>45600.339062500003</v>
      </c>
      <c r="Q743">
        <v>16</v>
      </c>
      <c r="R743" t="s">
        <v>32</v>
      </c>
      <c r="S743">
        <v>0.31189379619618002</v>
      </c>
      <c r="T743" t="b">
        <v>0</v>
      </c>
      <c r="U743" t="b">
        <v>0</v>
      </c>
      <c r="V743" t="b">
        <f t="shared" si="22"/>
        <v>1</v>
      </c>
      <c r="W743">
        <v>0</v>
      </c>
      <c r="Y743">
        <f t="shared" si="23"/>
        <v>0</v>
      </c>
    </row>
    <row r="744" spans="1:25" x14ac:dyDescent="0.3">
      <c r="A744" t="s">
        <v>2198</v>
      </c>
      <c r="B744" t="s">
        <v>303</v>
      </c>
      <c r="C744">
        <v>29.22</v>
      </c>
      <c r="D744" s="1">
        <v>45113.76116898148</v>
      </c>
      <c r="E744" t="s">
        <v>25</v>
      </c>
      <c r="F744" t="s">
        <v>250</v>
      </c>
      <c r="G744" t="s">
        <v>138</v>
      </c>
      <c r="H744" t="s">
        <v>2199</v>
      </c>
      <c r="I744" t="s">
        <v>1537</v>
      </c>
      <c r="J744" t="s">
        <v>30</v>
      </c>
      <c r="K744">
        <v>24</v>
      </c>
      <c r="L744" t="s">
        <v>46</v>
      </c>
      <c r="M744">
        <v>151</v>
      </c>
      <c r="N744">
        <v>1</v>
      </c>
      <c r="O744">
        <v>1649.43</v>
      </c>
      <c r="P744" s="1">
        <v>45600.339618055557</v>
      </c>
      <c r="Q744">
        <v>18</v>
      </c>
      <c r="R744" t="s">
        <v>141</v>
      </c>
      <c r="S744">
        <v>-0.919257513838591</v>
      </c>
      <c r="T744" t="b">
        <v>0</v>
      </c>
      <c r="U744" t="b">
        <v>0</v>
      </c>
      <c r="V744" t="b">
        <f t="shared" si="22"/>
        <v>1</v>
      </c>
      <c r="W744">
        <v>0</v>
      </c>
      <c r="Y744">
        <f t="shared" si="23"/>
        <v>0</v>
      </c>
    </row>
    <row r="745" spans="1:25" x14ac:dyDescent="0.3">
      <c r="A745" t="s">
        <v>2200</v>
      </c>
      <c r="B745" t="s">
        <v>1749</v>
      </c>
      <c r="C745">
        <v>46.75</v>
      </c>
      <c r="D745" s="1">
        <v>45138.734386574077</v>
      </c>
      <c r="E745" t="s">
        <v>25</v>
      </c>
      <c r="F745" t="s">
        <v>534</v>
      </c>
      <c r="G745" t="s">
        <v>551</v>
      </c>
      <c r="H745" t="s">
        <v>1497</v>
      </c>
      <c r="I745" t="s">
        <v>316</v>
      </c>
      <c r="J745" t="s">
        <v>81</v>
      </c>
      <c r="K745">
        <v>67</v>
      </c>
      <c r="L745" t="s">
        <v>82</v>
      </c>
      <c r="M745">
        <v>150</v>
      </c>
      <c r="N745">
        <v>1</v>
      </c>
      <c r="O745">
        <v>2840.43</v>
      </c>
      <c r="P745" s="1">
        <v>45600.339814814812</v>
      </c>
      <c r="Q745">
        <v>17</v>
      </c>
      <c r="R745" t="s">
        <v>47</v>
      </c>
      <c r="S745">
        <v>-0.859212213043138</v>
      </c>
      <c r="T745" t="b">
        <v>0</v>
      </c>
      <c r="U745" t="b">
        <v>0</v>
      </c>
      <c r="V745" t="b">
        <f t="shared" si="22"/>
        <v>1</v>
      </c>
      <c r="W745">
        <v>0</v>
      </c>
      <c r="Y745">
        <f t="shared" si="23"/>
        <v>0</v>
      </c>
    </row>
    <row r="746" spans="1:25" x14ac:dyDescent="0.3">
      <c r="A746" t="s">
        <v>2201</v>
      </c>
      <c r="B746" t="s">
        <v>1446</v>
      </c>
      <c r="C746">
        <v>348.64</v>
      </c>
      <c r="D746" s="1">
        <v>45086.716770833336</v>
      </c>
      <c r="E746" t="s">
        <v>25</v>
      </c>
      <c r="F746" t="s">
        <v>236</v>
      </c>
      <c r="G746" t="s">
        <v>995</v>
      </c>
      <c r="H746" t="s">
        <v>513</v>
      </c>
      <c r="I746" t="s">
        <v>647</v>
      </c>
      <c r="J746" t="s">
        <v>45</v>
      </c>
      <c r="K746">
        <v>57</v>
      </c>
      <c r="L746" t="s">
        <v>82</v>
      </c>
      <c r="M746">
        <v>128</v>
      </c>
      <c r="N746">
        <v>1</v>
      </c>
      <c r="O746">
        <v>3274.96</v>
      </c>
      <c r="P746" s="1">
        <v>45600.341226851851</v>
      </c>
      <c r="Q746">
        <v>17</v>
      </c>
      <c r="R746" t="s">
        <v>54</v>
      </c>
      <c r="S746">
        <v>0.174848018396633</v>
      </c>
      <c r="T746" t="b">
        <v>0</v>
      </c>
      <c r="U746" t="b">
        <v>0</v>
      </c>
      <c r="V746" t="b">
        <f t="shared" si="22"/>
        <v>1</v>
      </c>
      <c r="W746">
        <v>0</v>
      </c>
      <c r="Y746">
        <f t="shared" si="23"/>
        <v>0</v>
      </c>
    </row>
    <row r="747" spans="1:25" x14ac:dyDescent="0.3">
      <c r="A747" t="s">
        <v>2202</v>
      </c>
      <c r="B747" t="s">
        <v>404</v>
      </c>
      <c r="C747">
        <v>319.17</v>
      </c>
      <c r="D747" s="1">
        <v>44937.706967592596</v>
      </c>
      <c r="E747" t="s">
        <v>25</v>
      </c>
      <c r="F747" t="s">
        <v>268</v>
      </c>
      <c r="G747" t="s">
        <v>1563</v>
      </c>
      <c r="H747" t="s">
        <v>2203</v>
      </c>
      <c r="I747" t="s">
        <v>782</v>
      </c>
      <c r="J747" t="s">
        <v>45</v>
      </c>
      <c r="K747">
        <v>73</v>
      </c>
      <c r="L747" t="s">
        <v>82</v>
      </c>
      <c r="M747">
        <v>81</v>
      </c>
      <c r="N747">
        <v>1</v>
      </c>
      <c r="O747">
        <v>6501.56</v>
      </c>
      <c r="P747" s="1">
        <v>45600.339456018519</v>
      </c>
      <c r="Q747">
        <v>16</v>
      </c>
      <c r="R747" t="s">
        <v>74</v>
      </c>
      <c r="S747">
        <v>7.39047774130632E-2</v>
      </c>
      <c r="T747" t="b">
        <v>0</v>
      </c>
      <c r="U747" t="b">
        <v>0</v>
      </c>
      <c r="V747" t="b">
        <f t="shared" si="22"/>
        <v>1</v>
      </c>
      <c r="W747">
        <v>0</v>
      </c>
      <c r="Y747">
        <f t="shared" si="23"/>
        <v>0</v>
      </c>
    </row>
    <row r="748" spans="1:25" x14ac:dyDescent="0.3">
      <c r="A748" t="s">
        <v>2204</v>
      </c>
      <c r="B748" t="s">
        <v>404</v>
      </c>
      <c r="C748">
        <v>73.95</v>
      </c>
      <c r="D748" s="1">
        <v>45233.69427083333</v>
      </c>
      <c r="E748" t="s">
        <v>25</v>
      </c>
      <c r="F748" t="s">
        <v>304</v>
      </c>
      <c r="G748" t="s">
        <v>2205</v>
      </c>
      <c r="H748" t="s">
        <v>2206</v>
      </c>
      <c r="I748" t="s">
        <v>458</v>
      </c>
      <c r="J748" t="s">
        <v>30</v>
      </c>
      <c r="K748">
        <v>26</v>
      </c>
      <c r="L748" t="s">
        <v>46</v>
      </c>
      <c r="M748">
        <v>76</v>
      </c>
      <c r="N748">
        <v>1</v>
      </c>
      <c r="O748">
        <v>363.92</v>
      </c>
      <c r="P748" s="1">
        <v>45600.338449074072</v>
      </c>
      <c r="Q748">
        <v>16</v>
      </c>
      <c r="R748" t="s">
        <v>54</v>
      </c>
      <c r="S748">
        <v>-0.76604437609868203</v>
      </c>
      <c r="T748" t="b">
        <v>0</v>
      </c>
      <c r="U748" t="b">
        <v>0</v>
      </c>
      <c r="V748" t="b">
        <f t="shared" si="22"/>
        <v>1</v>
      </c>
      <c r="W748">
        <v>0</v>
      </c>
      <c r="Y748">
        <f t="shared" si="23"/>
        <v>0</v>
      </c>
    </row>
    <row r="749" spans="1:25" x14ac:dyDescent="0.3">
      <c r="A749" t="s">
        <v>2207</v>
      </c>
      <c r="B749" t="s">
        <v>742</v>
      </c>
      <c r="C749">
        <v>389.63</v>
      </c>
      <c r="D749" s="1">
        <v>44973.680625000001</v>
      </c>
      <c r="E749" t="s">
        <v>25</v>
      </c>
      <c r="F749" t="s">
        <v>41</v>
      </c>
      <c r="G749" t="s">
        <v>489</v>
      </c>
      <c r="H749" t="s">
        <v>1215</v>
      </c>
      <c r="I749" t="s">
        <v>753</v>
      </c>
      <c r="J749" t="s">
        <v>45</v>
      </c>
      <c r="K749">
        <v>27</v>
      </c>
      <c r="L749" t="s">
        <v>89</v>
      </c>
      <c r="M749">
        <v>99</v>
      </c>
      <c r="N749">
        <v>1</v>
      </c>
      <c r="O749">
        <v>9748.48</v>
      </c>
      <c r="P749" s="1">
        <v>45600.339525462965</v>
      </c>
      <c r="Q749">
        <v>16</v>
      </c>
      <c r="R749" t="s">
        <v>141</v>
      </c>
      <c r="S749">
        <v>0.31525057855667898</v>
      </c>
      <c r="T749" t="b">
        <v>0</v>
      </c>
      <c r="U749" t="b">
        <v>0</v>
      </c>
      <c r="V749" t="b">
        <f t="shared" si="22"/>
        <v>1</v>
      </c>
      <c r="W749">
        <v>0</v>
      </c>
      <c r="Y749">
        <f t="shared" si="23"/>
        <v>0</v>
      </c>
    </row>
    <row r="750" spans="1:25" x14ac:dyDescent="0.3">
      <c r="A750" t="s">
        <v>2208</v>
      </c>
      <c r="B750" t="s">
        <v>1459</v>
      </c>
      <c r="C750">
        <v>217.61</v>
      </c>
      <c r="D750" s="1">
        <v>45001.73369212963</v>
      </c>
      <c r="E750" t="s">
        <v>25</v>
      </c>
      <c r="F750" t="s">
        <v>278</v>
      </c>
      <c r="G750" t="s">
        <v>1958</v>
      </c>
      <c r="H750" t="s">
        <v>709</v>
      </c>
      <c r="I750" t="s">
        <v>117</v>
      </c>
      <c r="J750" t="s">
        <v>30</v>
      </c>
      <c r="K750">
        <v>19</v>
      </c>
      <c r="L750" t="s">
        <v>46</v>
      </c>
      <c r="M750">
        <v>45</v>
      </c>
      <c r="N750">
        <v>1</v>
      </c>
      <c r="O750">
        <v>1404.53</v>
      </c>
      <c r="P750" s="1">
        <v>45600.340370370373</v>
      </c>
      <c r="Q750">
        <v>17</v>
      </c>
      <c r="R750" t="s">
        <v>141</v>
      </c>
      <c r="S750">
        <v>-0.27396748435454499</v>
      </c>
      <c r="T750" t="b">
        <v>0</v>
      </c>
      <c r="U750" t="b">
        <v>0</v>
      </c>
      <c r="V750" t="b">
        <f t="shared" si="22"/>
        <v>1</v>
      </c>
      <c r="W750">
        <v>0</v>
      </c>
      <c r="Y750">
        <f t="shared" si="23"/>
        <v>0</v>
      </c>
    </row>
    <row r="751" spans="1:25" x14ac:dyDescent="0.3">
      <c r="A751" t="s">
        <v>2209</v>
      </c>
      <c r="B751" t="s">
        <v>34</v>
      </c>
      <c r="C751">
        <v>199.84</v>
      </c>
      <c r="D751" s="1">
        <v>44942.667754629627</v>
      </c>
      <c r="E751" t="s">
        <v>25</v>
      </c>
      <c r="F751" t="s">
        <v>336</v>
      </c>
      <c r="G751" t="s">
        <v>698</v>
      </c>
      <c r="H751" t="s">
        <v>1308</v>
      </c>
      <c r="I751" t="s">
        <v>997</v>
      </c>
      <c r="J751" t="s">
        <v>30</v>
      </c>
      <c r="K751">
        <v>21</v>
      </c>
      <c r="L751" t="s">
        <v>46</v>
      </c>
      <c r="M751">
        <v>150</v>
      </c>
      <c r="N751">
        <v>1</v>
      </c>
      <c r="O751">
        <v>706.44</v>
      </c>
      <c r="P751" s="1">
        <v>45600.339745370373</v>
      </c>
      <c r="Q751">
        <v>16</v>
      </c>
      <c r="R751" t="s">
        <v>47</v>
      </c>
      <c r="S751">
        <v>-0.33483485429950699</v>
      </c>
      <c r="T751" t="b">
        <v>0</v>
      </c>
      <c r="U751" t="b">
        <v>0</v>
      </c>
      <c r="V751" t="b">
        <f t="shared" si="22"/>
        <v>1</v>
      </c>
      <c r="W751">
        <v>0</v>
      </c>
      <c r="Y751">
        <f t="shared" si="23"/>
        <v>0</v>
      </c>
    </row>
    <row r="752" spans="1:25" x14ac:dyDescent="0.3">
      <c r="A752" t="s">
        <v>2210</v>
      </c>
      <c r="B752" t="s">
        <v>282</v>
      </c>
      <c r="C752">
        <v>56.35</v>
      </c>
      <c r="D752" s="1">
        <v>44966.67291666667</v>
      </c>
      <c r="E752" t="s">
        <v>25</v>
      </c>
      <c r="F752" t="s">
        <v>262</v>
      </c>
      <c r="G752" t="s">
        <v>579</v>
      </c>
      <c r="H752" t="s">
        <v>1832</v>
      </c>
      <c r="I752" t="s">
        <v>463</v>
      </c>
      <c r="J752" t="s">
        <v>30</v>
      </c>
      <c r="K752">
        <v>44</v>
      </c>
      <c r="L752" t="s">
        <v>31</v>
      </c>
      <c r="M752">
        <v>75</v>
      </c>
      <c r="N752">
        <v>1</v>
      </c>
      <c r="O752">
        <v>5095.7299999999996</v>
      </c>
      <c r="P752" s="1">
        <v>45600.33861111111</v>
      </c>
      <c r="Q752">
        <v>16</v>
      </c>
      <c r="R752" t="s">
        <v>141</v>
      </c>
      <c r="S752">
        <v>-0.82632944706274203</v>
      </c>
      <c r="T752" t="b">
        <v>0</v>
      </c>
      <c r="U752" t="b">
        <v>0</v>
      </c>
      <c r="V752" t="b">
        <f t="shared" si="22"/>
        <v>1</v>
      </c>
      <c r="W752">
        <v>0</v>
      </c>
      <c r="Y752">
        <f t="shared" si="23"/>
        <v>0</v>
      </c>
    </row>
    <row r="753" spans="1:25" x14ac:dyDescent="0.3">
      <c r="A753" t="s">
        <v>2211</v>
      </c>
      <c r="B753" t="s">
        <v>1798</v>
      </c>
      <c r="C753">
        <v>248.95</v>
      </c>
      <c r="D753" s="1">
        <v>45093.680266203701</v>
      </c>
      <c r="E753" t="s">
        <v>57</v>
      </c>
      <c r="F753" t="s">
        <v>225</v>
      </c>
      <c r="G753" t="s">
        <v>2212</v>
      </c>
      <c r="H753" t="s">
        <v>1262</v>
      </c>
      <c r="I753" t="s">
        <v>1537</v>
      </c>
      <c r="J753" t="s">
        <v>81</v>
      </c>
      <c r="K753">
        <v>65</v>
      </c>
      <c r="L753" t="s">
        <v>82</v>
      </c>
      <c r="M753">
        <v>29</v>
      </c>
      <c r="N753">
        <v>1</v>
      </c>
      <c r="O753">
        <v>3059.79</v>
      </c>
      <c r="P753" s="1">
        <v>45600.339953703704</v>
      </c>
      <c r="Q753">
        <v>16</v>
      </c>
      <c r="R753" t="s">
        <v>54</v>
      </c>
      <c r="S753">
        <v>-0.16661895458104301</v>
      </c>
      <c r="T753" t="b">
        <v>0</v>
      </c>
      <c r="U753" t="b">
        <v>0</v>
      </c>
      <c r="V753" t="b">
        <f t="shared" si="22"/>
        <v>1</v>
      </c>
      <c r="W753">
        <v>0</v>
      </c>
      <c r="Y753">
        <f t="shared" si="23"/>
        <v>0</v>
      </c>
    </row>
    <row r="754" spans="1:25" x14ac:dyDescent="0.3">
      <c r="A754" t="s">
        <v>2213</v>
      </c>
      <c r="B754" t="s">
        <v>196</v>
      </c>
      <c r="C754">
        <v>142.58000000000001</v>
      </c>
      <c r="D754" s="1">
        <v>45096.681145833332</v>
      </c>
      <c r="E754" t="s">
        <v>25</v>
      </c>
      <c r="F754" t="s">
        <v>250</v>
      </c>
      <c r="G754" t="s">
        <v>530</v>
      </c>
      <c r="H754" t="s">
        <v>306</v>
      </c>
      <c r="I754" t="s">
        <v>134</v>
      </c>
      <c r="J754" t="s">
        <v>30</v>
      </c>
      <c r="K754">
        <v>33</v>
      </c>
      <c r="L754" t="s">
        <v>89</v>
      </c>
      <c r="M754">
        <v>145</v>
      </c>
      <c r="N754">
        <v>1</v>
      </c>
      <c r="O754">
        <v>7844.23</v>
      </c>
      <c r="P754" s="1">
        <v>45600.33803240741</v>
      </c>
      <c r="Q754">
        <v>16</v>
      </c>
      <c r="R754" t="s">
        <v>47</v>
      </c>
      <c r="S754">
        <v>-0.530966852220079</v>
      </c>
      <c r="T754" t="b">
        <v>0</v>
      </c>
      <c r="U754" t="b">
        <v>0</v>
      </c>
      <c r="V754" t="b">
        <f t="shared" si="22"/>
        <v>1</v>
      </c>
      <c r="W754">
        <v>0</v>
      </c>
      <c r="Y754">
        <f t="shared" si="23"/>
        <v>0</v>
      </c>
    </row>
    <row r="755" spans="1:25" x14ac:dyDescent="0.3">
      <c r="A755" t="s">
        <v>2214</v>
      </c>
      <c r="B755" t="s">
        <v>2005</v>
      </c>
      <c r="C755">
        <v>1020.73</v>
      </c>
      <c r="D755" s="1">
        <v>45131.695902777778</v>
      </c>
      <c r="E755" t="s">
        <v>25</v>
      </c>
      <c r="F755" t="s">
        <v>170</v>
      </c>
      <c r="G755" t="s">
        <v>937</v>
      </c>
      <c r="H755" t="s">
        <v>1832</v>
      </c>
      <c r="I755" t="s">
        <v>356</v>
      </c>
      <c r="J755" t="s">
        <v>30</v>
      </c>
      <c r="K755">
        <v>28</v>
      </c>
      <c r="L755" t="s">
        <v>46</v>
      </c>
      <c r="M755">
        <v>87</v>
      </c>
      <c r="N755">
        <v>1</v>
      </c>
      <c r="O755">
        <v>1119.6099999999999</v>
      </c>
      <c r="P755" s="1">
        <v>45600.34134259259</v>
      </c>
      <c r="Q755">
        <v>16</v>
      </c>
      <c r="R755" t="s">
        <v>47</v>
      </c>
      <c r="S755">
        <v>2.4769499129554302</v>
      </c>
      <c r="T755" t="b">
        <v>1</v>
      </c>
      <c r="U755" t="b">
        <v>0</v>
      </c>
      <c r="V755" t="b">
        <f t="shared" si="22"/>
        <v>1</v>
      </c>
      <c r="W755">
        <v>1</v>
      </c>
      <c r="Y755">
        <f t="shared" si="23"/>
        <v>1</v>
      </c>
    </row>
    <row r="756" spans="1:25" x14ac:dyDescent="0.3">
      <c r="A756" t="s">
        <v>2215</v>
      </c>
      <c r="B756" t="s">
        <v>1720</v>
      </c>
      <c r="C756">
        <v>84.34</v>
      </c>
      <c r="D756" s="1">
        <v>45085.686064814814</v>
      </c>
      <c r="E756" t="s">
        <v>25</v>
      </c>
      <c r="F756" t="s">
        <v>104</v>
      </c>
      <c r="G756" t="s">
        <v>2216</v>
      </c>
      <c r="H756" t="s">
        <v>1427</v>
      </c>
      <c r="I756" t="s">
        <v>150</v>
      </c>
      <c r="J756" t="s">
        <v>45</v>
      </c>
      <c r="K756">
        <v>58</v>
      </c>
      <c r="L756" t="s">
        <v>82</v>
      </c>
      <c r="M756">
        <v>248</v>
      </c>
      <c r="N756">
        <v>3</v>
      </c>
      <c r="O756">
        <v>5313.97</v>
      </c>
      <c r="P756" s="1">
        <v>45600.339942129627</v>
      </c>
      <c r="Q756">
        <v>16</v>
      </c>
      <c r="R756" t="s">
        <v>141</v>
      </c>
      <c r="S756">
        <v>-0.73045563250114898</v>
      </c>
      <c r="T756" t="b">
        <v>0</v>
      </c>
      <c r="U756" t="b">
        <v>1</v>
      </c>
      <c r="V756" t="b">
        <f t="shared" si="22"/>
        <v>1</v>
      </c>
      <c r="W756">
        <v>1</v>
      </c>
      <c r="Y756">
        <f t="shared" si="23"/>
        <v>0</v>
      </c>
    </row>
    <row r="757" spans="1:25" x14ac:dyDescent="0.3">
      <c r="A757" t="s">
        <v>2217</v>
      </c>
      <c r="B757" t="s">
        <v>380</v>
      </c>
      <c r="C757">
        <v>1607.55</v>
      </c>
      <c r="D757" s="1">
        <v>45176.68545138889</v>
      </c>
      <c r="E757" t="s">
        <v>25</v>
      </c>
      <c r="F757" t="s">
        <v>438</v>
      </c>
      <c r="G757" t="s">
        <v>417</v>
      </c>
      <c r="H757" t="s">
        <v>423</v>
      </c>
      <c r="I757" t="s">
        <v>1013</v>
      </c>
      <c r="J757" t="s">
        <v>30</v>
      </c>
      <c r="K757">
        <v>31</v>
      </c>
      <c r="L757" t="s">
        <v>89</v>
      </c>
      <c r="M757">
        <v>156</v>
      </c>
      <c r="N757">
        <v>1</v>
      </c>
      <c r="O757">
        <v>6227.99</v>
      </c>
      <c r="P757" s="1">
        <v>45600.338576388887</v>
      </c>
      <c r="Q757">
        <v>16</v>
      </c>
      <c r="R757" t="s">
        <v>141</v>
      </c>
      <c r="S757">
        <v>4.4869774892696102</v>
      </c>
      <c r="T757" t="b">
        <v>1</v>
      </c>
      <c r="U757" t="b">
        <v>0</v>
      </c>
      <c r="V757" t="b">
        <f t="shared" si="22"/>
        <v>1</v>
      </c>
      <c r="W757">
        <v>1</v>
      </c>
      <c r="Y757">
        <f t="shared" si="23"/>
        <v>1</v>
      </c>
    </row>
    <row r="758" spans="1:25" x14ac:dyDescent="0.3">
      <c r="A758" t="s">
        <v>2218</v>
      </c>
      <c r="B758" t="s">
        <v>550</v>
      </c>
      <c r="C758">
        <v>333.78</v>
      </c>
      <c r="D758" s="1">
        <v>45260.745694444442</v>
      </c>
      <c r="E758" t="s">
        <v>25</v>
      </c>
      <c r="F758" t="s">
        <v>26</v>
      </c>
      <c r="G758" t="s">
        <v>1563</v>
      </c>
      <c r="H758" t="s">
        <v>2219</v>
      </c>
      <c r="I758" t="s">
        <v>112</v>
      </c>
      <c r="J758" t="s">
        <v>30</v>
      </c>
      <c r="K758">
        <v>60</v>
      </c>
      <c r="L758" t="s">
        <v>82</v>
      </c>
      <c r="M758">
        <v>98</v>
      </c>
      <c r="N758">
        <v>1</v>
      </c>
      <c r="O758">
        <v>6810.94</v>
      </c>
      <c r="P758" s="1">
        <v>45600.338773148149</v>
      </c>
      <c r="Q758">
        <v>17</v>
      </c>
      <c r="R758" t="s">
        <v>141</v>
      </c>
      <c r="S758">
        <v>0.12394823688947799</v>
      </c>
      <c r="T758" t="b">
        <v>0</v>
      </c>
      <c r="U758" t="b">
        <v>0</v>
      </c>
      <c r="V758" t="b">
        <f t="shared" si="22"/>
        <v>1</v>
      </c>
      <c r="W758">
        <v>0</v>
      </c>
      <c r="Y758">
        <f t="shared" si="23"/>
        <v>0</v>
      </c>
    </row>
    <row r="759" spans="1:25" x14ac:dyDescent="0.3">
      <c r="A759" t="s">
        <v>2220</v>
      </c>
      <c r="B759" t="s">
        <v>2221</v>
      </c>
      <c r="C759">
        <v>332.59</v>
      </c>
      <c r="D759" s="1">
        <v>45120.743206018517</v>
      </c>
      <c r="E759" t="s">
        <v>25</v>
      </c>
      <c r="F759" t="s">
        <v>250</v>
      </c>
      <c r="G759" t="s">
        <v>2222</v>
      </c>
      <c r="H759" t="s">
        <v>1584</v>
      </c>
      <c r="I759" t="s">
        <v>419</v>
      </c>
      <c r="J759" t="s">
        <v>45</v>
      </c>
      <c r="K759">
        <v>55</v>
      </c>
      <c r="L759" t="s">
        <v>82</v>
      </c>
      <c r="M759">
        <v>143</v>
      </c>
      <c r="N759">
        <v>1</v>
      </c>
      <c r="O759">
        <v>1457.07</v>
      </c>
      <c r="P759" s="1">
        <v>45600.339641203704</v>
      </c>
      <c r="Q759">
        <v>17</v>
      </c>
      <c r="R759" t="s">
        <v>141</v>
      </c>
      <c r="S759">
        <v>0.119872144023158</v>
      </c>
      <c r="T759" t="b">
        <v>0</v>
      </c>
      <c r="U759" t="b">
        <v>0</v>
      </c>
      <c r="V759" t="b">
        <f t="shared" si="22"/>
        <v>1</v>
      </c>
      <c r="W759">
        <v>0</v>
      </c>
      <c r="Y759">
        <f t="shared" si="23"/>
        <v>0</v>
      </c>
    </row>
    <row r="760" spans="1:25" x14ac:dyDescent="0.3">
      <c r="A760" t="s">
        <v>2223</v>
      </c>
      <c r="B760" t="s">
        <v>802</v>
      </c>
      <c r="C760">
        <v>236.81</v>
      </c>
      <c r="D760" s="1">
        <v>45225.708275462966</v>
      </c>
      <c r="E760" t="s">
        <v>25</v>
      </c>
      <c r="F760" t="s">
        <v>64</v>
      </c>
      <c r="G760" t="s">
        <v>1432</v>
      </c>
      <c r="H760" t="s">
        <v>2224</v>
      </c>
      <c r="I760" t="s">
        <v>772</v>
      </c>
      <c r="J760" t="s">
        <v>81</v>
      </c>
      <c r="K760">
        <v>22</v>
      </c>
      <c r="L760" t="s">
        <v>46</v>
      </c>
      <c r="M760">
        <v>15</v>
      </c>
      <c r="N760">
        <v>1</v>
      </c>
      <c r="O760">
        <v>813.68</v>
      </c>
      <c r="P760" s="1">
        <v>45600.338402777779</v>
      </c>
      <c r="Q760">
        <v>16</v>
      </c>
      <c r="R760" t="s">
        <v>141</v>
      </c>
      <c r="S760">
        <v>-0.208201952393752</v>
      </c>
      <c r="T760" t="b">
        <v>0</v>
      </c>
      <c r="U760" t="b">
        <v>0</v>
      </c>
      <c r="V760" t="b">
        <f t="shared" si="22"/>
        <v>1</v>
      </c>
      <c r="W760">
        <v>0</v>
      </c>
      <c r="Y760">
        <f t="shared" si="23"/>
        <v>0</v>
      </c>
    </row>
    <row r="761" spans="1:25" x14ac:dyDescent="0.3">
      <c r="A761" t="s">
        <v>2225</v>
      </c>
      <c r="B761" t="s">
        <v>856</v>
      </c>
      <c r="C761">
        <v>417.8</v>
      </c>
      <c r="D761" s="1">
        <v>45103.68141203704</v>
      </c>
      <c r="E761" t="s">
        <v>57</v>
      </c>
      <c r="F761" t="s">
        <v>256</v>
      </c>
      <c r="G761" t="s">
        <v>1613</v>
      </c>
      <c r="H761" t="s">
        <v>2219</v>
      </c>
      <c r="I761" t="s">
        <v>399</v>
      </c>
      <c r="J761" t="s">
        <v>81</v>
      </c>
      <c r="K761">
        <v>27</v>
      </c>
      <c r="L761" t="s">
        <v>46</v>
      </c>
      <c r="M761">
        <v>130</v>
      </c>
      <c r="N761">
        <v>1</v>
      </c>
      <c r="O761">
        <v>1518.82</v>
      </c>
      <c r="P761" s="1">
        <v>45600.339780092596</v>
      </c>
      <c r="Q761">
        <v>16</v>
      </c>
      <c r="R761" t="s">
        <v>47</v>
      </c>
      <c r="S761">
        <v>0.41174094498040398</v>
      </c>
      <c r="T761" t="b">
        <v>0</v>
      </c>
      <c r="U761" t="b">
        <v>0</v>
      </c>
      <c r="V761" t="b">
        <f t="shared" si="22"/>
        <v>1</v>
      </c>
      <c r="W761">
        <v>0</v>
      </c>
      <c r="Y761">
        <f t="shared" si="23"/>
        <v>0</v>
      </c>
    </row>
    <row r="762" spans="1:25" x14ac:dyDescent="0.3">
      <c r="A762" t="s">
        <v>2226</v>
      </c>
      <c r="B762" t="s">
        <v>1036</v>
      </c>
      <c r="C762">
        <v>319.27</v>
      </c>
      <c r="D762" s="1">
        <v>45145.704837962963</v>
      </c>
      <c r="E762" t="s">
        <v>25</v>
      </c>
      <c r="F762" t="s">
        <v>250</v>
      </c>
      <c r="G762" t="s">
        <v>1958</v>
      </c>
      <c r="H762" t="s">
        <v>1012</v>
      </c>
      <c r="I762" t="s">
        <v>38</v>
      </c>
      <c r="J762" t="s">
        <v>30</v>
      </c>
      <c r="K762">
        <v>50</v>
      </c>
      <c r="L762" t="s">
        <v>31</v>
      </c>
      <c r="M762">
        <v>150</v>
      </c>
      <c r="N762">
        <v>1</v>
      </c>
      <c r="O762">
        <v>10269.780000000001</v>
      </c>
      <c r="P762" s="1">
        <v>45600.341874999998</v>
      </c>
      <c r="Q762">
        <v>16</v>
      </c>
      <c r="R762" t="s">
        <v>47</v>
      </c>
      <c r="S762">
        <v>7.4247306225358897E-2</v>
      </c>
      <c r="T762" t="b">
        <v>0</v>
      </c>
      <c r="U762" t="b">
        <v>0</v>
      </c>
      <c r="V762" t="b">
        <f t="shared" si="22"/>
        <v>1</v>
      </c>
      <c r="W762">
        <v>0</v>
      </c>
      <c r="Y762">
        <f t="shared" si="23"/>
        <v>0</v>
      </c>
    </row>
    <row r="763" spans="1:25" x14ac:dyDescent="0.3">
      <c r="A763" t="s">
        <v>2227</v>
      </c>
      <c r="B763" t="s">
        <v>2138</v>
      </c>
      <c r="C763">
        <v>384.1</v>
      </c>
      <c r="D763" s="1">
        <v>45070.772893518515</v>
      </c>
      <c r="E763" t="s">
        <v>25</v>
      </c>
      <c r="F763" t="s">
        <v>85</v>
      </c>
      <c r="G763" t="s">
        <v>2228</v>
      </c>
      <c r="H763" t="s">
        <v>1480</v>
      </c>
      <c r="I763" t="s">
        <v>445</v>
      </c>
      <c r="J763" t="s">
        <v>81</v>
      </c>
      <c r="K763">
        <v>42</v>
      </c>
      <c r="L763" t="s">
        <v>89</v>
      </c>
      <c r="M763">
        <v>172</v>
      </c>
      <c r="N763">
        <v>1</v>
      </c>
      <c r="O763">
        <v>672.79</v>
      </c>
      <c r="P763" s="1">
        <v>45600.341458333336</v>
      </c>
      <c r="Q763">
        <v>18</v>
      </c>
      <c r="R763" t="s">
        <v>74</v>
      </c>
      <c r="S763">
        <v>0.29630873523672202</v>
      </c>
      <c r="T763" t="b">
        <v>0</v>
      </c>
      <c r="U763" t="b">
        <v>0</v>
      </c>
      <c r="V763" t="b">
        <f t="shared" si="22"/>
        <v>1</v>
      </c>
      <c r="W763">
        <v>0</v>
      </c>
      <c r="Y763">
        <f t="shared" si="23"/>
        <v>0</v>
      </c>
    </row>
    <row r="764" spans="1:25" x14ac:dyDescent="0.3">
      <c r="A764" t="s">
        <v>2229</v>
      </c>
      <c r="B764" t="s">
        <v>1346</v>
      </c>
      <c r="C764">
        <v>820.62</v>
      </c>
      <c r="D764" s="1">
        <v>44988.721516203703</v>
      </c>
      <c r="E764" t="s">
        <v>57</v>
      </c>
      <c r="F764" t="s">
        <v>571</v>
      </c>
      <c r="G764" t="s">
        <v>498</v>
      </c>
      <c r="H764" t="s">
        <v>1304</v>
      </c>
      <c r="I764" t="s">
        <v>833</v>
      </c>
      <c r="J764" t="s">
        <v>81</v>
      </c>
      <c r="K764">
        <v>61</v>
      </c>
      <c r="L764" t="s">
        <v>31</v>
      </c>
      <c r="M764">
        <v>158</v>
      </c>
      <c r="N764">
        <v>1</v>
      </c>
      <c r="O764">
        <v>6024.8</v>
      </c>
      <c r="P764" s="1">
        <v>45600.338518518518</v>
      </c>
      <c r="Q764">
        <v>17</v>
      </c>
      <c r="R764" t="s">
        <v>54</v>
      </c>
      <c r="S764">
        <v>1.7915155066703199</v>
      </c>
      <c r="T764" t="b">
        <v>0</v>
      </c>
      <c r="U764" t="b">
        <v>0</v>
      </c>
      <c r="V764" t="b">
        <f t="shared" si="22"/>
        <v>1</v>
      </c>
      <c r="W764">
        <v>0</v>
      </c>
      <c r="Y764">
        <f t="shared" si="23"/>
        <v>0</v>
      </c>
    </row>
    <row r="765" spans="1:25" x14ac:dyDescent="0.3">
      <c r="A765" t="s">
        <v>2230</v>
      </c>
      <c r="B765" t="s">
        <v>1555</v>
      </c>
      <c r="C765">
        <v>474.77</v>
      </c>
      <c r="D765" s="1">
        <v>45285.686342592591</v>
      </c>
      <c r="E765" t="s">
        <v>57</v>
      </c>
      <c r="F765" t="s">
        <v>77</v>
      </c>
      <c r="G765" t="s">
        <v>186</v>
      </c>
      <c r="H765" t="s">
        <v>1290</v>
      </c>
      <c r="I765" t="s">
        <v>101</v>
      </c>
      <c r="J765" t="s">
        <v>45</v>
      </c>
      <c r="K765">
        <v>56</v>
      </c>
      <c r="L765" t="s">
        <v>89</v>
      </c>
      <c r="M765">
        <v>50</v>
      </c>
      <c r="N765">
        <v>1</v>
      </c>
      <c r="O765">
        <v>2158.59</v>
      </c>
      <c r="P765" s="1">
        <v>45600.339305555557</v>
      </c>
      <c r="Q765">
        <v>16</v>
      </c>
      <c r="R765" t="s">
        <v>47</v>
      </c>
      <c r="S765">
        <v>0.60687960934531804</v>
      </c>
      <c r="T765" t="b">
        <v>0</v>
      </c>
      <c r="U765" t="b">
        <v>0</v>
      </c>
      <c r="V765" t="b">
        <f t="shared" si="22"/>
        <v>1</v>
      </c>
      <c r="W765">
        <v>0</v>
      </c>
      <c r="Y765">
        <f t="shared" si="23"/>
        <v>0</v>
      </c>
    </row>
    <row r="766" spans="1:25" x14ac:dyDescent="0.3">
      <c r="A766" t="s">
        <v>2231</v>
      </c>
      <c r="B766" t="s">
        <v>1404</v>
      </c>
      <c r="C766">
        <v>542.72</v>
      </c>
      <c r="D766" s="1">
        <v>45173.776354166665</v>
      </c>
      <c r="E766" t="s">
        <v>57</v>
      </c>
      <c r="F766" t="s">
        <v>77</v>
      </c>
      <c r="G766" t="s">
        <v>1466</v>
      </c>
      <c r="H766" t="s">
        <v>1642</v>
      </c>
      <c r="I766" t="s">
        <v>753</v>
      </c>
      <c r="J766" t="s">
        <v>81</v>
      </c>
      <c r="K766">
        <v>43</v>
      </c>
      <c r="L766" t="s">
        <v>31</v>
      </c>
      <c r="M766">
        <v>92</v>
      </c>
      <c r="N766">
        <v>1</v>
      </c>
      <c r="O766">
        <v>6011.8</v>
      </c>
      <c r="P766" s="1">
        <v>45600.339502314811</v>
      </c>
      <c r="Q766">
        <v>18</v>
      </c>
      <c r="R766" t="s">
        <v>47</v>
      </c>
      <c r="S766">
        <v>0.83962793730031005</v>
      </c>
      <c r="T766" t="b">
        <v>0</v>
      </c>
      <c r="U766" t="b">
        <v>0</v>
      </c>
      <c r="V766" t="b">
        <f t="shared" si="22"/>
        <v>1</v>
      </c>
      <c r="W766">
        <v>0</v>
      </c>
      <c r="Y766">
        <f t="shared" si="23"/>
        <v>0</v>
      </c>
    </row>
    <row r="767" spans="1:25" x14ac:dyDescent="0.3">
      <c r="A767" t="s">
        <v>2232</v>
      </c>
      <c r="B767" t="s">
        <v>2233</v>
      </c>
      <c r="C767">
        <v>79.8</v>
      </c>
      <c r="D767" s="1">
        <v>45282.720532407409</v>
      </c>
      <c r="E767" t="s">
        <v>25</v>
      </c>
      <c r="F767" t="s">
        <v>170</v>
      </c>
      <c r="G767" t="s">
        <v>564</v>
      </c>
      <c r="H767" t="s">
        <v>1248</v>
      </c>
      <c r="I767" t="s">
        <v>285</v>
      </c>
      <c r="J767" t="s">
        <v>30</v>
      </c>
      <c r="K767">
        <v>73</v>
      </c>
      <c r="L767" t="s">
        <v>82</v>
      </c>
      <c r="M767">
        <v>76</v>
      </c>
      <c r="N767">
        <v>1</v>
      </c>
      <c r="O767">
        <v>6372.58</v>
      </c>
      <c r="P767" s="1">
        <v>45600.338055555556</v>
      </c>
      <c r="Q767">
        <v>17</v>
      </c>
      <c r="R767" t="s">
        <v>54</v>
      </c>
      <c r="S767">
        <v>-0.74600644057937804</v>
      </c>
      <c r="T767" t="b">
        <v>0</v>
      </c>
      <c r="U767" t="b">
        <v>0</v>
      </c>
      <c r="V767" t="b">
        <f t="shared" si="22"/>
        <v>1</v>
      </c>
      <c r="W767">
        <v>0</v>
      </c>
      <c r="Y767">
        <f t="shared" si="23"/>
        <v>0</v>
      </c>
    </row>
    <row r="768" spans="1:25" x14ac:dyDescent="0.3">
      <c r="A768" t="s">
        <v>2234</v>
      </c>
      <c r="B768" t="s">
        <v>1453</v>
      </c>
      <c r="C768">
        <v>46.24</v>
      </c>
      <c r="D768" s="1">
        <v>44998.670671296299</v>
      </c>
      <c r="E768" t="s">
        <v>25</v>
      </c>
      <c r="F768" t="s">
        <v>26</v>
      </c>
      <c r="G768" t="s">
        <v>2235</v>
      </c>
      <c r="H768" t="s">
        <v>2236</v>
      </c>
      <c r="I768" t="s">
        <v>182</v>
      </c>
      <c r="J768" t="s">
        <v>81</v>
      </c>
      <c r="K768">
        <v>57</v>
      </c>
      <c r="L768" t="s">
        <v>89</v>
      </c>
      <c r="M768">
        <v>52</v>
      </c>
      <c r="N768">
        <v>1</v>
      </c>
      <c r="O768">
        <v>2569.56</v>
      </c>
      <c r="P768" s="1">
        <v>45600.338472222225</v>
      </c>
      <c r="Q768">
        <v>16</v>
      </c>
      <c r="R768" t="s">
        <v>47</v>
      </c>
      <c r="S768">
        <v>-0.86095910998584702</v>
      </c>
      <c r="T768" t="b">
        <v>0</v>
      </c>
      <c r="U768" t="b">
        <v>0</v>
      </c>
      <c r="V768" t="b">
        <f t="shared" si="22"/>
        <v>1</v>
      </c>
      <c r="W768">
        <v>0</v>
      </c>
      <c r="Y768">
        <f t="shared" si="23"/>
        <v>0</v>
      </c>
    </row>
    <row r="769" spans="1:25" x14ac:dyDescent="0.3">
      <c r="A769" t="s">
        <v>2237</v>
      </c>
      <c r="B769" t="s">
        <v>2238</v>
      </c>
      <c r="C769">
        <v>327.8</v>
      </c>
      <c r="D769" s="1">
        <v>45253.739224537036</v>
      </c>
      <c r="E769" t="s">
        <v>25</v>
      </c>
      <c r="F769" t="s">
        <v>225</v>
      </c>
      <c r="G769" t="s">
        <v>927</v>
      </c>
      <c r="H769" t="s">
        <v>1553</v>
      </c>
      <c r="I769" t="s">
        <v>67</v>
      </c>
      <c r="J769" t="s">
        <v>30</v>
      </c>
      <c r="K769">
        <v>61</v>
      </c>
      <c r="L769" t="s">
        <v>31</v>
      </c>
      <c r="M769">
        <v>54</v>
      </c>
      <c r="N769">
        <v>1</v>
      </c>
      <c r="O769">
        <v>10585.48</v>
      </c>
      <c r="P769" s="1">
        <v>45600.339791666665</v>
      </c>
      <c r="Q769">
        <v>17</v>
      </c>
      <c r="R769" t="s">
        <v>141</v>
      </c>
      <c r="S769">
        <v>0.10346501391419</v>
      </c>
      <c r="T769" t="b">
        <v>0</v>
      </c>
      <c r="U769" t="b">
        <v>0</v>
      </c>
      <c r="V769" t="b">
        <f t="shared" si="22"/>
        <v>1</v>
      </c>
      <c r="W769">
        <v>0</v>
      </c>
      <c r="Y769">
        <f t="shared" si="23"/>
        <v>0</v>
      </c>
    </row>
    <row r="770" spans="1:25" x14ac:dyDescent="0.3">
      <c r="A770" t="s">
        <v>2239</v>
      </c>
      <c r="B770" t="s">
        <v>1199</v>
      </c>
      <c r="C770">
        <v>445.79</v>
      </c>
      <c r="D770" s="1">
        <v>45114.721979166665</v>
      </c>
      <c r="E770" t="s">
        <v>25</v>
      </c>
      <c r="F770" t="s">
        <v>159</v>
      </c>
      <c r="G770" t="s">
        <v>59</v>
      </c>
      <c r="H770" t="s">
        <v>1113</v>
      </c>
      <c r="I770" t="s">
        <v>38</v>
      </c>
      <c r="J770" t="s">
        <v>30</v>
      </c>
      <c r="K770">
        <v>52</v>
      </c>
      <c r="L770" t="s">
        <v>31</v>
      </c>
      <c r="M770">
        <v>161</v>
      </c>
      <c r="N770">
        <v>1</v>
      </c>
      <c r="O770">
        <v>717.99</v>
      </c>
      <c r="P770" s="1">
        <v>45600.341724537036</v>
      </c>
      <c r="Q770">
        <v>17</v>
      </c>
      <c r="R770" t="s">
        <v>54</v>
      </c>
      <c r="S770">
        <v>0.50761475954199697</v>
      </c>
      <c r="T770" t="b">
        <v>0</v>
      </c>
      <c r="U770" t="b">
        <v>0</v>
      </c>
      <c r="V770" t="b">
        <f t="shared" si="22"/>
        <v>1</v>
      </c>
      <c r="W770">
        <v>0</v>
      </c>
      <c r="Y770">
        <f t="shared" si="23"/>
        <v>0</v>
      </c>
    </row>
    <row r="771" spans="1:25" x14ac:dyDescent="0.3">
      <c r="A771" t="s">
        <v>2240</v>
      </c>
      <c r="B771" t="s">
        <v>533</v>
      </c>
      <c r="C771">
        <v>55.89</v>
      </c>
      <c r="D771" s="1">
        <v>45155.704513888886</v>
      </c>
      <c r="E771" t="s">
        <v>25</v>
      </c>
      <c r="F771" t="s">
        <v>571</v>
      </c>
      <c r="G771" t="s">
        <v>369</v>
      </c>
      <c r="H771" t="s">
        <v>503</v>
      </c>
      <c r="I771" t="s">
        <v>620</v>
      </c>
      <c r="J771" t="s">
        <v>45</v>
      </c>
      <c r="K771">
        <v>72</v>
      </c>
      <c r="L771" t="s">
        <v>82</v>
      </c>
      <c r="M771">
        <v>150</v>
      </c>
      <c r="N771">
        <v>1</v>
      </c>
      <c r="O771">
        <v>3689.65</v>
      </c>
      <c r="P771" s="1">
        <v>45600.341354166667</v>
      </c>
      <c r="Q771">
        <v>16</v>
      </c>
      <c r="R771" t="s">
        <v>141</v>
      </c>
      <c r="S771">
        <v>-0.82790507959930304</v>
      </c>
      <c r="T771" t="b">
        <v>0</v>
      </c>
      <c r="U771" t="b">
        <v>0</v>
      </c>
      <c r="V771" t="b">
        <f t="shared" ref="V771:V834" si="24">ISLOGICAL(T771)</f>
        <v>1</v>
      </c>
      <c r="W771">
        <v>0</v>
      </c>
      <c r="Y771">
        <f t="shared" ref="Y771:Y834" si="25">--T771</f>
        <v>0</v>
      </c>
    </row>
    <row r="772" spans="1:25" x14ac:dyDescent="0.3">
      <c r="A772" t="s">
        <v>2241</v>
      </c>
      <c r="B772" t="s">
        <v>2242</v>
      </c>
      <c r="C772">
        <v>158.41</v>
      </c>
      <c r="D772" s="1">
        <v>44966.686782407407</v>
      </c>
      <c r="E772" t="s">
        <v>25</v>
      </c>
      <c r="F772" t="s">
        <v>298</v>
      </c>
      <c r="G772" t="s">
        <v>2243</v>
      </c>
      <c r="H772" t="s">
        <v>1608</v>
      </c>
      <c r="I772" t="s">
        <v>772</v>
      </c>
      <c r="J772" t="s">
        <v>81</v>
      </c>
      <c r="K772">
        <v>28</v>
      </c>
      <c r="L772" t="s">
        <v>46</v>
      </c>
      <c r="M772">
        <v>16</v>
      </c>
      <c r="N772">
        <v>1</v>
      </c>
      <c r="O772">
        <v>1512.16</v>
      </c>
      <c r="P772" s="1">
        <v>45600.340312499997</v>
      </c>
      <c r="Q772">
        <v>16</v>
      </c>
      <c r="R772" t="s">
        <v>141</v>
      </c>
      <c r="S772">
        <v>-0.47674454123365501</v>
      </c>
      <c r="T772" t="b">
        <v>0</v>
      </c>
      <c r="U772" t="b">
        <v>0</v>
      </c>
      <c r="V772" t="b">
        <f t="shared" si="24"/>
        <v>1</v>
      </c>
      <c r="W772">
        <v>0</v>
      </c>
      <c r="Y772">
        <f t="shared" si="25"/>
        <v>0</v>
      </c>
    </row>
    <row r="773" spans="1:25" x14ac:dyDescent="0.3">
      <c r="A773" t="s">
        <v>2244</v>
      </c>
      <c r="B773" t="s">
        <v>1324</v>
      </c>
      <c r="C773">
        <v>101.19</v>
      </c>
      <c r="D773" s="1">
        <v>45259.776863425926</v>
      </c>
      <c r="E773" t="s">
        <v>57</v>
      </c>
      <c r="F773" t="s">
        <v>126</v>
      </c>
      <c r="G773" t="s">
        <v>2245</v>
      </c>
      <c r="H773" t="s">
        <v>2236</v>
      </c>
      <c r="I773" t="s">
        <v>463</v>
      </c>
      <c r="J773" t="s">
        <v>45</v>
      </c>
      <c r="K773">
        <v>64</v>
      </c>
      <c r="L773" t="s">
        <v>31</v>
      </c>
      <c r="M773">
        <v>75</v>
      </c>
      <c r="N773">
        <v>1</v>
      </c>
      <c r="O773">
        <v>14389.45</v>
      </c>
      <c r="P773" s="1">
        <v>45600.340092592596</v>
      </c>
      <c r="Q773">
        <v>18</v>
      </c>
      <c r="R773" t="s">
        <v>74</v>
      </c>
      <c r="S773">
        <v>-0.672739527629308</v>
      </c>
      <c r="T773" t="b">
        <v>0</v>
      </c>
      <c r="U773" t="b">
        <v>0</v>
      </c>
      <c r="V773" t="b">
        <f t="shared" si="24"/>
        <v>1</v>
      </c>
      <c r="W773">
        <v>0</v>
      </c>
      <c r="Y773">
        <f t="shared" si="25"/>
        <v>0</v>
      </c>
    </row>
    <row r="774" spans="1:25" x14ac:dyDescent="0.3">
      <c r="A774" t="s">
        <v>2246</v>
      </c>
      <c r="B774" t="s">
        <v>1150</v>
      </c>
      <c r="C774">
        <v>827.14</v>
      </c>
      <c r="D774" s="1">
        <v>44943.725844907407</v>
      </c>
      <c r="E774" t="s">
        <v>25</v>
      </c>
      <c r="F774" t="s">
        <v>519</v>
      </c>
      <c r="G774" t="s">
        <v>489</v>
      </c>
      <c r="H774" t="s">
        <v>43</v>
      </c>
      <c r="I774" t="s">
        <v>775</v>
      </c>
      <c r="J774" t="s">
        <v>81</v>
      </c>
      <c r="K774">
        <v>36</v>
      </c>
      <c r="L774" t="s">
        <v>89</v>
      </c>
      <c r="M774">
        <v>265</v>
      </c>
      <c r="N774">
        <v>4</v>
      </c>
      <c r="O774">
        <v>9800.2099999999991</v>
      </c>
      <c r="P774" s="1">
        <v>45600.339050925926</v>
      </c>
      <c r="Q774">
        <v>17</v>
      </c>
      <c r="R774" t="s">
        <v>32</v>
      </c>
      <c r="S774">
        <v>1.813848385232</v>
      </c>
      <c r="T774" t="b">
        <v>0</v>
      </c>
      <c r="U774" t="b">
        <v>1</v>
      </c>
      <c r="V774" t="b">
        <f t="shared" si="24"/>
        <v>1</v>
      </c>
      <c r="W774">
        <v>1</v>
      </c>
      <c r="Y774">
        <f t="shared" si="25"/>
        <v>0</v>
      </c>
    </row>
    <row r="775" spans="1:25" x14ac:dyDescent="0.3">
      <c r="A775" t="s">
        <v>2247</v>
      </c>
      <c r="B775" t="s">
        <v>1285</v>
      </c>
      <c r="C775">
        <v>61.97</v>
      </c>
      <c r="D775" s="1">
        <v>45068.7815162037</v>
      </c>
      <c r="E775" t="s">
        <v>25</v>
      </c>
      <c r="F775" t="s">
        <v>438</v>
      </c>
      <c r="G775" t="s">
        <v>2248</v>
      </c>
      <c r="H775" t="s">
        <v>2249</v>
      </c>
      <c r="I775" t="s">
        <v>695</v>
      </c>
      <c r="J775" t="s">
        <v>30</v>
      </c>
      <c r="K775">
        <v>74</v>
      </c>
      <c r="L775" t="s">
        <v>82</v>
      </c>
      <c r="M775">
        <v>95</v>
      </c>
      <c r="N775">
        <v>1</v>
      </c>
      <c r="O775">
        <v>7014.69</v>
      </c>
      <c r="P775" s="1">
        <v>45600.340821759259</v>
      </c>
      <c r="Q775">
        <v>18</v>
      </c>
      <c r="R775" t="s">
        <v>47</v>
      </c>
      <c r="S775">
        <v>-0.80707932781171798</v>
      </c>
      <c r="T775" t="b">
        <v>0</v>
      </c>
      <c r="U775" t="b">
        <v>0</v>
      </c>
      <c r="V775" t="b">
        <f t="shared" si="24"/>
        <v>1</v>
      </c>
      <c r="W775">
        <v>0</v>
      </c>
      <c r="Y775">
        <f t="shared" si="25"/>
        <v>0</v>
      </c>
    </row>
    <row r="776" spans="1:25" x14ac:dyDescent="0.3">
      <c r="A776" t="s">
        <v>2250</v>
      </c>
      <c r="B776" t="s">
        <v>2251</v>
      </c>
      <c r="C776">
        <v>27.21</v>
      </c>
      <c r="D776" s="1">
        <v>45091.69090277778</v>
      </c>
      <c r="E776" t="s">
        <v>25</v>
      </c>
      <c r="F776" t="s">
        <v>236</v>
      </c>
      <c r="G776" t="s">
        <v>906</v>
      </c>
      <c r="H776" t="s">
        <v>934</v>
      </c>
      <c r="I776" t="s">
        <v>1358</v>
      </c>
      <c r="J776" t="s">
        <v>30</v>
      </c>
      <c r="K776">
        <v>79</v>
      </c>
      <c r="L776" t="s">
        <v>82</v>
      </c>
      <c r="M776">
        <v>102</v>
      </c>
      <c r="N776">
        <v>1</v>
      </c>
      <c r="O776">
        <v>3520.61</v>
      </c>
      <c r="P776" s="1">
        <v>45600.338067129633</v>
      </c>
      <c r="Q776">
        <v>16</v>
      </c>
      <c r="R776" t="s">
        <v>74</v>
      </c>
      <c r="S776">
        <v>-0.92614234296573605</v>
      </c>
      <c r="T776" t="b">
        <v>0</v>
      </c>
      <c r="U776" t="b">
        <v>0</v>
      </c>
      <c r="V776" t="b">
        <f t="shared" si="24"/>
        <v>1</v>
      </c>
      <c r="W776">
        <v>0</v>
      </c>
      <c r="Y776">
        <f t="shared" si="25"/>
        <v>0</v>
      </c>
    </row>
    <row r="777" spans="1:25" x14ac:dyDescent="0.3">
      <c r="A777" t="s">
        <v>2252</v>
      </c>
      <c r="B777" t="s">
        <v>591</v>
      </c>
      <c r="C777">
        <v>173.74</v>
      </c>
      <c r="D777" s="1">
        <v>45177.7419212963</v>
      </c>
      <c r="E777" t="s">
        <v>25</v>
      </c>
      <c r="F777" t="s">
        <v>35</v>
      </c>
      <c r="G777" t="s">
        <v>2050</v>
      </c>
      <c r="H777" t="s">
        <v>656</v>
      </c>
      <c r="I777" t="s">
        <v>239</v>
      </c>
      <c r="J777" t="s">
        <v>45</v>
      </c>
      <c r="K777">
        <v>80</v>
      </c>
      <c r="L777" t="s">
        <v>82</v>
      </c>
      <c r="M777">
        <v>64</v>
      </c>
      <c r="N777">
        <v>1</v>
      </c>
      <c r="O777">
        <v>4913.42</v>
      </c>
      <c r="P777" s="1">
        <v>45600.341574074075</v>
      </c>
      <c r="Q777">
        <v>17</v>
      </c>
      <c r="R777" t="s">
        <v>54</v>
      </c>
      <c r="S777">
        <v>-0.42423487430870899</v>
      </c>
      <c r="T777" t="b">
        <v>0</v>
      </c>
      <c r="U777" t="b">
        <v>0</v>
      </c>
      <c r="V777" t="b">
        <f t="shared" si="24"/>
        <v>1</v>
      </c>
      <c r="W777">
        <v>0</v>
      </c>
      <c r="Y777">
        <f t="shared" si="25"/>
        <v>0</v>
      </c>
    </row>
    <row r="778" spans="1:25" x14ac:dyDescent="0.3">
      <c r="A778" t="s">
        <v>2253</v>
      </c>
      <c r="B778" t="s">
        <v>1968</v>
      </c>
      <c r="C778">
        <v>176.11</v>
      </c>
      <c r="D778" s="1">
        <v>45148.700636574074</v>
      </c>
      <c r="E778" t="s">
        <v>25</v>
      </c>
      <c r="F778" t="s">
        <v>236</v>
      </c>
      <c r="G778" t="s">
        <v>2254</v>
      </c>
      <c r="H778" t="s">
        <v>1221</v>
      </c>
      <c r="I778" t="s">
        <v>61</v>
      </c>
      <c r="J778" t="s">
        <v>81</v>
      </c>
      <c r="K778">
        <v>38</v>
      </c>
      <c r="L778" t="s">
        <v>89</v>
      </c>
      <c r="M778">
        <v>105</v>
      </c>
      <c r="N778">
        <v>1</v>
      </c>
      <c r="O778">
        <v>9155.35</v>
      </c>
      <c r="P778" s="1">
        <v>45600.340624999997</v>
      </c>
      <c r="Q778">
        <v>16</v>
      </c>
      <c r="R778" t="s">
        <v>141</v>
      </c>
      <c r="S778">
        <v>-0.41611694145729899</v>
      </c>
      <c r="T778" t="b">
        <v>0</v>
      </c>
      <c r="U778" t="b">
        <v>0</v>
      </c>
      <c r="V778" t="b">
        <f t="shared" si="24"/>
        <v>1</v>
      </c>
      <c r="W778">
        <v>0</v>
      </c>
      <c r="Y778">
        <f t="shared" si="25"/>
        <v>0</v>
      </c>
    </row>
    <row r="779" spans="1:25" x14ac:dyDescent="0.3">
      <c r="A779" t="s">
        <v>2255</v>
      </c>
      <c r="B779" t="s">
        <v>598</v>
      </c>
      <c r="C779">
        <v>88.4</v>
      </c>
      <c r="D779" s="1">
        <v>45240.751469907409</v>
      </c>
      <c r="E779" t="s">
        <v>25</v>
      </c>
      <c r="F779" t="s">
        <v>170</v>
      </c>
      <c r="G779" t="s">
        <v>618</v>
      </c>
      <c r="H779" t="s">
        <v>1472</v>
      </c>
      <c r="I779" t="s">
        <v>162</v>
      </c>
      <c r="J779" t="s">
        <v>45</v>
      </c>
      <c r="K779">
        <v>46</v>
      </c>
      <c r="L779" t="s">
        <v>89</v>
      </c>
      <c r="M779">
        <v>174</v>
      </c>
      <c r="N779">
        <v>1</v>
      </c>
      <c r="O779">
        <v>2567.5300000000002</v>
      </c>
      <c r="P779" s="1">
        <v>45600.340057870373</v>
      </c>
      <c r="Q779">
        <v>18</v>
      </c>
      <c r="R779" t="s">
        <v>54</v>
      </c>
      <c r="S779">
        <v>-0.71654896272194002</v>
      </c>
      <c r="T779" t="b">
        <v>0</v>
      </c>
      <c r="U779" t="b">
        <v>0</v>
      </c>
      <c r="V779" t="b">
        <f t="shared" si="24"/>
        <v>1</v>
      </c>
      <c r="W779">
        <v>0</v>
      </c>
      <c r="Y779">
        <f t="shared" si="25"/>
        <v>0</v>
      </c>
    </row>
    <row r="780" spans="1:25" x14ac:dyDescent="0.3">
      <c r="A780" t="s">
        <v>2256</v>
      </c>
      <c r="B780" t="s">
        <v>1940</v>
      </c>
      <c r="C780">
        <v>567.91999999999996</v>
      </c>
      <c r="D780" s="1">
        <v>45097.685497685183</v>
      </c>
      <c r="E780" t="s">
        <v>25</v>
      </c>
      <c r="F780" t="s">
        <v>137</v>
      </c>
      <c r="G780" t="s">
        <v>2257</v>
      </c>
      <c r="H780" t="s">
        <v>2258</v>
      </c>
      <c r="I780" t="s">
        <v>577</v>
      </c>
      <c r="J780" t="s">
        <v>45</v>
      </c>
      <c r="K780">
        <v>53</v>
      </c>
      <c r="L780" t="s">
        <v>82</v>
      </c>
      <c r="M780">
        <v>14</v>
      </c>
      <c r="N780">
        <v>1</v>
      </c>
      <c r="O780">
        <v>3779.47</v>
      </c>
      <c r="P780" s="1">
        <v>45600.341805555552</v>
      </c>
      <c r="Q780">
        <v>16</v>
      </c>
      <c r="R780" t="s">
        <v>32</v>
      </c>
      <c r="S780">
        <v>0.92594519799885</v>
      </c>
      <c r="T780" t="b">
        <v>0</v>
      </c>
      <c r="U780" t="b">
        <v>0</v>
      </c>
      <c r="V780" t="b">
        <f t="shared" si="24"/>
        <v>1</v>
      </c>
      <c r="W780">
        <v>0</v>
      </c>
      <c r="Y780">
        <f t="shared" si="25"/>
        <v>0</v>
      </c>
    </row>
    <row r="781" spans="1:25" x14ac:dyDescent="0.3">
      <c r="A781" t="s">
        <v>2259</v>
      </c>
      <c r="B781" t="s">
        <v>538</v>
      </c>
      <c r="C781">
        <v>138.11000000000001</v>
      </c>
      <c r="D781" s="1">
        <v>45271.728495370371</v>
      </c>
      <c r="E781" t="s">
        <v>57</v>
      </c>
      <c r="F781" t="s">
        <v>438</v>
      </c>
      <c r="G781" t="s">
        <v>2260</v>
      </c>
      <c r="H781" t="s">
        <v>1487</v>
      </c>
      <c r="I781" t="s">
        <v>366</v>
      </c>
      <c r="J781" t="s">
        <v>45</v>
      </c>
      <c r="K781">
        <v>68</v>
      </c>
      <c r="L781" t="s">
        <v>82</v>
      </c>
      <c r="M781">
        <v>104</v>
      </c>
      <c r="N781">
        <v>1</v>
      </c>
      <c r="O781">
        <v>4177.6499999999996</v>
      </c>
      <c r="P781" s="1">
        <v>45600.338240740741</v>
      </c>
      <c r="Q781">
        <v>17</v>
      </c>
      <c r="R781" t="s">
        <v>47</v>
      </c>
      <c r="S781">
        <v>-0.54627789012970096</v>
      </c>
      <c r="T781" t="b">
        <v>0</v>
      </c>
      <c r="U781" t="b">
        <v>0</v>
      </c>
      <c r="V781" t="b">
        <f t="shared" si="24"/>
        <v>1</v>
      </c>
      <c r="W781">
        <v>0</v>
      </c>
      <c r="Y781">
        <f t="shared" si="25"/>
        <v>0</v>
      </c>
    </row>
    <row r="782" spans="1:25" x14ac:dyDescent="0.3">
      <c r="A782" t="s">
        <v>2261</v>
      </c>
      <c r="B782" t="s">
        <v>1827</v>
      </c>
      <c r="C782">
        <v>456.93</v>
      </c>
      <c r="D782" s="1">
        <v>45195.679548611108</v>
      </c>
      <c r="E782" t="s">
        <v>57</v>
      </c>
      <c r="F782" t="s">
        <v>314</v>
      </c>
      <c r="G782" t="s">
        <v>206</v>
      </c>
      <c r="H782" t="s">
        <v>1650</v>
      </c>
      <c r="I782" t="s">
        <v>611</v>
      </c>
      <c r="J782" t="s">
        <v>81</v>
      </c>
      <c r="K782">
        <v>28</v>
      </c>
      <c r="L782" t="s">
        <v>89</v>
      </c>
      <c r="M782">
        <v>193</v>
      </c>
      <c r="N782">
        <v>1</v>
      </c>
      <c r="O782">
        <v>7284.76</v>
      </c>
      <c r="P782" s="1">
        <v>45600.339918981481</v>
      </c>
      <c r="Q782">
        <v>16</v>
      </c>
      <c r="R782" t="s">
        <v>32</v>
      </c>
      <c r="S782">
        <v>0.54577246923174805</v>
      </c>
      <c r="T782" t="b">
        <v>0</v>
      </c>
      <c r="U782" t="b">
        <v>0</v>
      </c>
      <c r="V782" t="b">
        <f t="shared" si="24"/>
        <v>1</v>
      </c>
      <c r="W782">
        <v>0</v>
      </c>
      <c r="Y782">
        <f t="shared" si="25"/>
        <v>0</v>
      </c>
    </row>
    <row r="783" spans="1:25" x14ac:dyDescent="0.3">
      <c r="A783" t="s">
        <v>2262</v>
      </c>
      <c r="B783" t="s">
        <v>1612</v>
      </c>
      <c r="C783">
        <v>101.42</v>
      </c>
      <c r="D783" s="1">
        <v>45041.708506944444</v>
      </c>
      <c r="E783" t="s">
        <v>25</v>
      </c>
      <c r="F783" t="s">
        <v>58</v>
      </c>
      <c r="G783" t="s">
        <v>1658</v>
      </c>
      <c r="H783" t="s">
        <v>1122</v>
      </c>
      <c r="I783" t="s">
        <v>321</v>
      </c>
      <c r="J783" t="s">
        <v>45</v>
      </c>
      <c r="K783">
        <v>66</v>
      </c>
      <c r="L783" t="s">
        <v>82</v>
      </c>
      <c r="M783">
        <v>146</v>
      </c>
      <c r="N783">
        <v>1</v>
      </c>
      <c r="O783">
        <v>6530.59</v>
      </c>
      <c r="P783" s="1">
        <v>45600.341921296298</v>
      </c>
      <c r="Q783">
        <v>17</v>
      </c>
      <c r="R783" t="s">
        <v>32</v>
      </c>
      <c r="S783">
        <v>-0.67195171136102705</v>
      </c>
      <c r="T783" t="b">
        <v>0</v>
      </c>
      <c r="U783" t="b">
        <v>0</v>
      </c>
      <c r="V783" t="b">
        <f t="shared" si="24"/>
        <v>1</v>
      </c>
      <c r="W783">
        <v>0</v>
      </c>
      <c r="Y783">
        <f t="shared" si="25"/>
        <v>0</v>
      </c>
    </row>
    <row r="784" spans="1:25" x14ac:dyDescent="0.3">
      <c r="A784" t="s">
        <v>2263</v>
      </c>
      <c r="B784" t="s">
        <v>2264</v>
      </c>
      <c r="C784">
        <v>300.61</v>
      </c>
      <c r="D784" s="1">
        <v>45047.723449074074</v>
      </c>
      <c r="E784" t="s">
        <v>25</v>
      </c>
      <c r="F784" t="s">
        <v>519</v>
      </c>
      <c r="G784" t="s">
        <v>2265</v>
      </c>
      <c r="H784" t="s">
        <v>2043</v>
      </c>
      <c r="I784" t="s">
        <v>611</v>
      </c>
      <c r="J784" t="s">
        <v>45</v>
      </c>
      <c r="K784">
        <v>44</v>
      </c>
      <c r="L784" t="s">
        <v>31</v>
      </c>
      <c r="M784">
        <v>51</v>
      </c>
      <c r="N784">
        <v>1</v>
      </c>
      <c r="O784">
        <v>7895.54</v>
      </c>
      <c r="P784" s="1">
        <v>45600.341620370367</v>
      </c>
      <c r="Q784">
        <v>17</v>
      </c>
      <c r="R784" t="s">
        <v>47</v>
      </c>
      <c r="S784">
        <v>1.03314298509639E-2</v>
      </c>
      <c r="T784" t="b">
        <v>0</v>
      </c>
      <c r="U784" t="b">
        <v>0</v>
      </c>
      <c r="V784" t="b">
        <f t="shared" si="24"/>
        <v>1</v>
      </c>
      <c r="W784">
        <v>0</v>
      </c>
      <c r="Y784">
        <f t="shared" si="25"/>
        <v>0</v>
      </c>
    </row>
    <row r="785" spans="1:25" x14ac:dyDescent="0.3">
      <c r="A785" t="s">
        <v>2266</v>
      </c>
      <c r="B785" t="s">
        <v>2063</v>
      </c>
      <c r="C785">
        <v>265.94</v>
      </c>
      <c r="D785" s="1">
        <v>45082.674386574072</v>
      </c>
      <c r="E785" t="s">
        <v>25</v>
      </c>
      <c r="F785" t="s">
        <v>401</v>
      </c>
      <c r="G785" t="s">
        <v>1231</v>
      </c>
      <c r="H785" t="s">
        <v>2267</v>
      </c>
      <c r="I785" t="s">
        <v>687</v>
      </c>
      <c r="J785" t="s">
        <v>45</v>
      </c>
      <c r="K785">
        <v>54</v>
      </c>
      <c r="L785" t="s">
        <v>89</v>
      </c>
      <c r="M785">
        <v>132</v>
      </c>
      <c r="N785">
        <v>1</v>
      </c>
      <c r="O785">
        <v>6781.3</v>
      </c>
      <c r="P785" s="1">
        <v>45600.33792824074</v>
      </c>
      <c r="Q785">
        <v>16</v>
      </c>
      <c r="R785" t="s">
        <v>47</v>
      </c>
      <c r="S785">
        <v>-0.10842330937198701</v>
      </c>
      <c r="T785" t="b">
        <v>0</v>
      </c>
      <c r="U785" t="b">
        <v>0</v>
      </c>
      <c r="V785" t="b">
        <f t="shared" si="24"/>
        <v>1</v>
      </c>
      <c r="W785">
        <v>0</v>
      </c>
      <c r="Y785">
        <f t="shared" si="25"/>
        <v>0</v>
      </c>
    </row>
    <row r="786" spans="1:25" x14ac:dyDescent="0.3">
      <c r="A786" t="s">
        <v>2268</v>
      </c>
      <c r="B786" t="s">
        <v>864</v>
      </c>
      <c r="C786">
        <v>345.54</v>
      </c>
      <c r="D786" s="1">
        <v>44950.670601851853</v>
      </c>
      <c r="E786" t="s">
        <v>25</v>
      </c>
      <c r="F786" t="s">
        <v>26</v>
      </c>
      <c r="G786" t="s">
        <v>115</v>
      </c>
      <c r="H786" t="s">
        <v>43</v>
      </c>
      <c r="I786" t="s">
        <v>1358</v>
      </c>
      <c r="J786" t="s">
        <v>45</v>
      </c>
      <c r="K786">
        <v>29</v>
      </c>
      <c r="L786" t="s">
        <v>89</v>
      </c>
      <c r="M786">
        <v>50</v>
      </c>
      <c r="N786">
        <v>1</v>
      </c>
      <c r="O786">
        <v>2091.7800000000002</v>
      </c>
      <c r="P786" s="1">
        <v>45600.34107638889</v>
      </c>
      <c r="Q786">
        <v>16</v>
      </c>
      <c r="R786" t="s">
        <v>32</v>
      </c>
      <c r="S786">
        <v>0.164229625215464</v>
      </c>
      <c r="T786" t="b">
        <v>0</v>
      </c>
      <c r="U786" t="b">
        <v>0</v>
      </c>
      <c r="V786" t="b">
        <f t="shared" si="24"/>
        <v>1</v>
      </c>
      <c r="W786">
        <v>0</v>
      </c>
      <c r="Y786">
        <f t="shared" si="25"/>
        <v>0</v>
      </c>
    </row>
    <row r="787" spans="1:25" x14ac:dyDescent="0.3">
      <c r="A787" t="s">
        <v>2269</v>
      </c>
      <c r="B787" t="s">
        <v>1913</v>
      </c>
      <c r="C787">
        <v>411.52</v>
      </c>
      <c r="D787" s="1">
        <v>44936.736296296294</v>
      </c>
      <c r="E787" t="s">
        <v>25</v>
      </c>
      <c r="F787" t="s">
        <v>153</v>
      </c>
      <c r="G787" t="s">
        <v>452</v>
      </c>
      <c r="H787" t="s">
        <v>1059</v>
      </c>
      <c r="I787" t="s">
        <v>295</v>
      </c>
      <c r="J787" t="s">
        <v>30</v>
      </c>
      <c r="K787">
        <v>41</v>
      </c>
      <c r="L787" t="s">
        <v>31</v>
      </c>
      <c r="M787">
        <v>88</v>
      </c>
      <c r="N787">
        <v>1</v>
      </c>
      <c r="O787">
        <v>11108.39</v>
      </c>
      <c r="P787" s="1">
        <v>45600.339733796296</v>
      </c>
      <c r="Q787">
        <v>17</v>
      </c>
      <c r="R787" t="s">
        <v>32</v>
      </c>
      <c r="S787">
        <v>0.390230135568228</v>
      </c>
      <c r="T787" t="b">
        <v>0</v>
      </c>
      <c r="U787" t="b">
        <v>0</v>
      </c>
      <c r="V787" t="b">
        <f t="shared" si="24"/>
        <v>1</v>
      </c>
      <c r="W787">
        <v>0</v>
      </c>
      <c r="Y787">
        <f t="shared" si="25"/>
        <v>0</v>
      </c>
    </row>
    <row r="788" spans="1:25" x14ac:dyDescent="0.3">
      <c r="A788" t="s">
        <v>2270</v>
      </c>
      <c r="B788" t="s">
        <v>2146</v>
      </c>
      <c r="C788">
        <v>111.21</v>
      </c>
      <c r="D788" s="1">
        <v>45159.77547453704</v>
      </c>
      <c r="E788" t="s">
        <v>25</v>
      </c>
      <c r="F788" t="s">
        <v>608</v>
      </c>
      <c r="G788" t="s">
        <v>1790</v>
      </c>
      <c r="H788" t="s">
        <v>548</v>
      </c>
      <c r="I788" t="s">
        <v>605</v>
      </c>
      <c r="J788" t="s">
        <v>81</v>
      </c>
      <c r="K788">
        <v>35</v>
      </c>
      <c r="L788" t="s">
        <v>31</v>
      </c>
      <c r="M788">
        <v>111</v>
      </c>
      <c r="N788">
        <v>1</v>
      </c>
      <c r="O788">
        <v>9088.36</v>
      </c>
      <c r="P788" s="1">
        <v>45600.341805555552</v>
      </c>
      <c r="Q788">
        <v>18</v>
      </c>
      <c r="R788" t="s">
        <v>47</v>
      </c>
      <c r="S788">
        <v>-0.63841814063726898</v>
      </c>
      <c r="T788" t="b">
        <v>0</v>
      </c>
      <c r="U788" t="b">
        <v>0</v>
      </c>
      <c r="V788" t="b">
        <f t="shared" si="24"/>
        <v>1</v>
      </c>
      <c r="W788">
        <v>0</v>
      </c>
      <c r="Y788">
        <f t="shared" si="25"/>
        <v>0</v>
      </c>
    </row>
    <row r="789" spans="1:25" x14ac:dyDescent="0.3">
      <c r="A789" t="s">
        <v>2271</v>
      </c>
      <c r="B789" t="s">
        <v>2162</v>
      </c>
      <c r="C789">
        <v>316.37</v>
      </c>
      <c r="D789" s="1">
        <v>45166.732141203705</v>
      </c>
      <c r="E789" t="s">
        <v>25</v>
      </c>
      <c r="F789" t="s">
        <v>534</v>
      </c>
      <c r="G789" t="s">
        <v>1506</v>
      </c>
      <c r="H789" t="s">
        <v>2272</v>
      </c>
      <c r="I789" t="s">
        <v>782</v>
      </c>
      <c r="J789" t="s">
        <v>30</v>
      </c>
      <c r="K789">
        <v>53</v>
      </c>
      <c r="L789" t="s">
        <v>89</v>
      </c>
      <c r="M789">
        <v>86</v>
      </c>
      <c r="N789">
        <v>1</v>
      </c>
      <c r="O789">
        <v>4671.6899999999996</v>
      </c>
      <c r="P789" s="1">
        <v>45600.338888888888</v>
      </c>
      <c r="Q789">
        <v>17</v>
      </c>
      <c r="R789" t="s">
        <v>47</v>
      </c>
      <c r="S789">
        <v>6.4313970668781001E-2</v>
      </c>
      <c r="T789" t="b">
        <v>0</v>
      </c>
      <c r="U789" t="b">
        <v>0</v>
      </c>
      <c r="V789" t="b">
        <f t="shared" si="24"/>
        <v>1</v>
      </c>
      <c r="W789">
        <v>0</v>
      </c>
      <c r="Y789">
        <f t="shared" si="25"/>
        <v>0</v>
      </c>
    </row>
    <row r="790" spans="1:25" x14ac:dyDescent="0.3">
      <c r="A790" t="s">
        <v>2273</v>
      </c>
      <c r="B790" t="s">
        <v>1525</v>
      </c>
      <c r="C790">
        <v>260.63</v>
      </c>
      <c r="D790" s="1">
        <v>45280.790590277778</v>
      </c>
      <c r="E790" t="s">
        <v>25</v>
      </c>
      <c r="F790" t="s">
        <v>170</v>
      </c>
      <c r="G790" t="s">
        <v>1360</v>
      </c>
      <c r="H790" t="s">
        <v>449</v>
      </c>
      <c r="I790" t="s">
        <v>275</v>
      </c>
      <c r="J790" t="s">
        <v>81</v>
      </c>
      <c r="K790">
        <v>37</v>
      </c>
      <c r="L790" t="s">
        <v>89</v>
      </c>
      <c r="M790">
        <v>142</v>
      </c>
      <c r="N790">
        <v>1</v>
      </c>
      <c r="O790">
        <v>7534.73</v>
      </c>
      <c r="P790" s="1">
        <v>45600.339456018519</v>
      </c>
      <c r="Q790">
        <v>18</v>
      </c>
      <c r="R790" t="s">
        <v>74</v>
      </c>
      <c r="S790">
        <v>-0.126611589304894</v>
      </c>
      <c r="T790" t="b">
        <v>0</v>
      </c>
      <c r="U790" t="b">
        <v>0</v>
      </c>
      <c r="V790" t="b">
        <f t="shared" si="24"/>
        <v>1</v>
      </c>
      <c r="W790">
        <v>0</v>
      </c>
      <c r="Y790">
        <f t="shared" si="25"/>
        <v>0</v>
      </c>
    </row>
    <row r="791" spans="1:25" x14ac:dyDescent="0.3">
      <c r="A791" t="s">
        <v>2274</v>
      </c>
      <c r="B791" t="s">
        <v>2275</v>
      </c>
      <c r="C791">
        <v>92.36</v>
      </c>
      <c r="D791" s="1">
        <v>45012.70039351852</v>
      </c>
      <c r="E791" t="s">
        <v>25</v>
      </c>
      <c r="F791" t="s">
        <v>336</v>
      </c>
      <c r="G791" t="s">
        <v>310</v>
      </c>
      <c r="H791" t="s">
        <v>2170</v>
      </c>
      <c r="I791" t="s">
        <v>199</v>
      </c>
      <c r="J791" t="s">
        <v>30</v>
      </c>
      <c r="K791">
        <v>29</v>
      </c>
      <c r="L791" t="s">
        <v>89</v>
      </c>
      <c r="M791">
        <v>144</v>
      </c>
      <c r="N791">
        <v>1</v>
      </c>
      <c r="O791">
        <v>6353.14</v>
      </c>
      <c r="P791" s="1">
        <v>45600.338831018518</v>
      </c>
      <c r="Q791">
        <v>16</v>
      </c>
      <c r="R791" t="s">
        <v>47</v>
      </c>
      <c r="S791">
        <v>-0.70298482175502697</v>
      </c>
      <c r="T791" t="b">
        <v>0</v>
      </c>
      <c r="U791" t="b">
        <v>0</v>
      </c>
      <c r="V791" t="b">
        <f t="shared" si="24"/>
        <v>1</v>
      </c>
      <c r="W791">
        <v>0</v>
      </c>
      <c r="Y791">
        <f t="shared" si="25"/>
        <v>0</v>
      </c>
    </row>
    <row r="792" spans="1:25" x14ac:dyDescent="0.3">
      <c r="A792" t="s">
        <v>2276</v>
      </c>
      <c r="B792" t="s">
        <v>2277</v>
      </c>
      <c r="C792">
        <v>262.06</v>
      </c>
      <c r="D792" s="1">
        <v>45180.673090277778</v>
      </c>
      <c r="E792" t="s">
        <v>25</v>
      </c>
      <c r="F792" t="s">
        <v>64</v>
      </c>
      <c r="G792" t="s">
        <v>2278</v>
      </c>
      <c r="H792" t="s">
        <v>576</v>
      </c>
      <c r="I792" t="s">
        <v>188</v>
      </c>
      <c r="J792" t="s">
        <v>81</v>
      </c>
      <c r="K792">
        <v>63</v>
      </c>
      <c r="L792" t="s">
        <v>31</v>
      </c>
      <c r="M792">
        <v>118</v>
      </c>
      <c r="N792">
        <v>1</v>
      </c>
      <c r="O792">
        <v>13587.52</v>
      </c>
      <c r="P792" s="1">
        <v>45600.340543981481</v>
      </c>
      <c r="Q792">
        <v>16</v>
      </c>
      <c r="R792" t="s">
        <v>47</v>
      </c>
      <c r="S792">
        <v>-0.12171342728906399</v>
      </c>
      <c r="T792" t="b">
        <v>0</v>
      </c>
      <c r="U792" t="b">
        <v>0</v>
      </c>
      <c r="V792" t="b">
        <f t="shared" si="24"/>
        <v>1</v>
      </c>
      <c r="W792">
        <v>0</v>
      </c>
      <c r="Y792">
        <f t="shared" si="25"/>
        <v>0</v>
      </c>
    </row>
    <row r="793" spans="1:25" x14ac:dyDescent="0.3">
      <c r="A793" t="s">
        <v>2279</v>
      </c>
      <c r="B793" t="s">
        <v>902</v>
      </c>
      <c r="C793">
        <v>64.5</v>
      </c>
      <c r="D793" s="1">
        <v>45155.77244212963</v>
      </c>
      <c r="E793" t="s">
        <v>25</v>
      </c>
      <c r="F793" t="s">
        <v>126</v>
      </c>
      <c r="G793" t="s">
        <v>739</v>
      </c>
      <c r="H793" t="s">
        <v>516</v>
      </c>
      <c r="I793" t="s">
        <v>632</v>
      </c>
      <c r="J793" t="s">
        <v>30</v>
      </c>
      <c r="K793">
        <v>74</v>
      </c>
      <c r="L793" t="s">
        <v>82</v>
      </c>
      <c r="M793">
        <v>230</v>
      </c>
      <c r="N793">
        <v>1</v>
      </c>
      <c r="O793">
        <v>1351.24</v>
      </c>
      <c r="P793" s="1">
        <v>45600.339247685188</v>
      </c>
      <c r="Q793">
        <v>18</v>
      </c>
      <c r="R793" t="s">
        <v>141</v>
      </c>
      <c r="S793">
        <v>-0.79841334886063497</v>
      </c>
      <c r="T793" t="b">
        <v>0</v>
      </c>
      <c r="U793" t="b">
        <v>0</v>
      </c>
      <c r="V793" t="b">
        <f t="shared" si="24"/>
        <v>1</v>
      </c>
      <c r="W793">
        <v>0</v>
      </c>
      <c r="Y793">
        <f t="shared" si="25"/>
        <v>0</v>
      </c>
    </row>
    <row r="794" spans="1:25" x14ac:dyDescent="0.3">
      <c r="A794" t="s">
        <v>2280</v>
      </c>
      <c r="B794" t="s">
        <v>574</v>
      </c>
      <c r="C794">
        <v>253.55</v>
      </c>
      <c r="D794" s="1">
        <v>44937.706226851849</v>
      </c>
      <c r="E794" t="s">
        <v>25</v>
      </c>
      <c r="F794" t="s">
        <v>405</v>
      </c>
      <c r="G794" t="s">
        <v>618</v>
      </c>
      <c r="H794" t="s">
        <v>2281</v>
      </c>
      <c r="I794" t="s">
        <v>95</v>
      </c>
      <c r="J794" t="s">
        <v>30</v>
      </c>
      <c r="K794">
        <v>28</v>
      </c>
      <c r="L794" t="s">
        <v>89</v>
      </c>
      <c r="M794">
        <v>85</v>
      </c>
      <c r="N794">
        <v>5</v>
      </c>
      <c r="O794">
        <v>2797.26</v>
      </c>
      <c r="P794" s="1">
        <v>45600.339722222219</v>
      </c>
      <c r="Q794">
        <v>16</v>
      </c>
      <c r="R794" t="s">
        <v>74</v>
      </c>
      <c r="S794">
        <v>-0.150862629215436</v>
      </c>
      <c r="T794" t="b">
        <v>0</v>
      </c>
      <c r="U794" t="b">
        <v>1</v>
      </c>
      <c r="V794" t="b">
        <f t="shared" si="24"/>
        <v>1</v>
      </c>
      <c r="W794">
        <v>1</v>
      </c>
      <c r="Y794">
        <f t="shared" si="25"/>
        <v>0</v>
      </c>
    </row>
    <row r="795" spans="1:25" x14ac:dyDescent="0.3">
      <c r="A795" t="s">
        <v>2282</v>
      </c>
      <c r="B795" t="s">
        <v>1514</v>
      </c>
      <c r="C795">
        <v>408.28</v>
      </c>
      <c r="D795" s="1">
        <v>45000.689687500002</v>
      </c>
      <c r="E795" t="s">
        <v>57</v>
      </c>
      <c r="F795" t="s">
        <v>92</v>
      </c>
      <c r="G795" t="s">
        <v>2283</v>
      </c>
      <c r="H795" t="s">
        <v>1718</v>
      </c>
      <c r="I795" t="s">
        <v>178</v>
      </c>
      <c r="J795" t="s">
        <v>81</v>
      </c>
      <c r="K795">
        <v>21</v>
      </c>
      <c r="L795" t="s">
        <v>46</v>
      </c>
      <c r="M795">
        <v>125</v>
      </c>
      <c r="N795">
        <v>3</v>
      </c>
      <c r="O795">
        <v>1222.77</v>
      </c>
      <c r="P795" s="1">
        <v>45600.34039351852</v>
      </c>
      <c r="Q795">
        <v>16</v>
      </c>
      <c r="R795" t="s">
        <v>74</v>
      </c>
      <c r="S795">
        <v>0.37913220204984499</v>
      </c>
      <c r="T795" t="b">
        <v>0</v>
      </c>
      <c r="U795" t="b">
        <v>1</v>
      </c>
      <c r="V795" t="b">
        <f t="shared" si="24"/>
        <v>1</v>
      </c>
      <c r="W795">
        <v>1</v>
      </c>
      <c r="Y795">
        <f t="shared" si="25"/>
        <v>0</v>
      </c>
    </row>
    <row r="796" spans="1:25" x14ac:dyDescent="0.3">
      <c r="A796" t="s">
        <v>2284</v>
      </c>
      <c r="B796" t="s">
        <v>358</v>
      </c>
      <c r="C796">
        <v>175.94</v>
      </c>
      <c r="D796" s="1">
        <v>45082.677928240744</v>
      </c>
      <c r="E796" t="s">
        <v>25</v>
      </c>
      <c r="F796" t="s">
        <v>77</v>
      </c>
      <c r="G796" t="s">
        <v>2285</v>
      </c>
      <c r="H796" t="s">
        <v>2286</v>
      </c>
      <c r="I796" t="s">
        <v>265</v>
      </c>
      <c r="J796" t="s">
        <v>30</v>
      </c>
      <c r="K796">
        <v>57</v>
      </c>
      <c r="L796" t="s">
        <v>82</v>
      </c>
      <c r="M796">
        <v>89</v>
      </c>
      <c r="N796">
        <v>1</v>
      </c>
      <c r="O796">
        <v>3728.04</v>
      </c>
      <c r="P796" s="1">
        <v>45600.338321759256</v>
      </c>
      <c r="Q796">
        <v>16</v>
      </c>
      <c r="R796" t="s">
        <v>47</v>
      </c>
      <c r="S796">
        <v>-0.416699240438202</v>
      </c>
      <c r="T796" t="b">
        <v>0</v>
      </c>
      <c r="U796" t="b">
        <v>0</v>
      </c>
      <c r="V796" t="b">
        <f t="shared" si="24"/>
        <v>1</v>
      </c>
      <c r="W796">
        <v>0</v>
      </c>
      <c r="Y796">
        <f t="shared" si="25"/>
        <v>0</v>
      </c>
    </row>
    <row r="797" spans="1:25" x14ac:dyDescent="0.3">
      <c r="A797" t="s">
        <v>2287</v>
      </c>
      <c r="B797" t="s">
        <v>692</v>
      </c>
      <c r="C797">
        <v>199.47</v>
      </c>
      <c r="D797" s="1">
        <v>45152.685162037036</v>
      </c>
      <c r="E797" t="s">
        <v>25</v>
      </c>
      <c r="F797" t="s">
        <v>85</v>
      </c>
      <c r="G797" t="s">
        <v>1207</v>
      </c>
      <c r="H797" t="s">
        <v>715</v>
      </c>
      <c r="I797" t="s">
        <v>589</v>
      </c>
      <c r="J797" t="s">
        <v>45</v>
      </c>
      <c r="K797">
        <v>57</v>
      </c>
      <c r="L797" t="s">
        <v>31</v>
      </c>
      <c r="M797">
        <v>142</v>
      </c>
      <c r="N797">
        <v>1</v>
      </c>
      <c r="O797">
        <v>6067.44</v>
      </c>
      <c r="P797" s="1">
        <v>45600.338449074072</v>
      </c>
      <c r="Q797">
        <v>16</v>
      </c>
      <c r="R797" t="s">
        <v>47</v>
      </c>
      <c r="S797">
        <v>-0.33610221090500197</v>
      </c>
      <c r="T797" t="b">
        <v>0</v>
      </c>
      <c r="U797" t="b">
        <v>0</v>
      </c>
      <c r="V797" t="b">
        <f t="shared" si="24"/>
        <v>1</v>
      </c>
      <c r="W797">
        <v>0</v>
      </c>
      <c r="Y797">
        <f t="shared" si="25"/>
        <v>0</v>
      </c>
    </row>
    <row r="798" spans="1:25" x14ac:dyDescent="0.3">
      <c r="A798" t="s">
        <v>2288</v>
      </c>
      <c r="B798" t="s">
        <v>936</v>
      </c>
      <c r="C798">
        <v>51.07</v>
      </c>
      <c r="D798" s="1">
        <v>44949.754837962966</v>
      </c>
      <c r="E798" t="s">
        <v>25</v>
      </c>
      <c r="F798" t="s">
        <v>336</v>
      </c>
      <c r="G798" t="s">
        <v>2289</v>
      </c>
      <c r="H798" t="s">
        <v>28</v>
      </c>
      <c r="I798" t="s">
        <v>123</v>
      </c>
      <c r="J798" t="s">
        <v>81</v>
      </c>
      <c r="K798">
        <v>63</v>
      </c>
      <c r="L798" t="s">
        <v>82</v>
      </c>
      <c r="M798">
        <v>133</v>
      </c>
      <c r="N798">
        <v>1</v>
      </c>
      <c r="O798">
        <v>4292.16</v>
      </c>
      <c r="P798" s="1">
        <v>45600.341805555552</v>
      </c>
      <c r="Q798">
        <v>18</v>
      </c>
      <c r="R798" t="s">
        <v>47</v>
      </c>
      <c r="S798">
        <v>-0.84441496835195995</v>
      </c>
      <c r="T798" t="b">
        <v>0</v>
      </c>
      <c r="U798" t="b">
        <v>0</v>
      </c>
      <c r="V798" t="b">
        <f t="shared" si="24"/>
        <v>1</v>
      </c>
      <c r="W798">
        <v>0</v>
      </c>
      <c r="Y798">
        <f t="shared" si="25"/>
        <v>0</v>
      </c>
    </row>
    <row r="799" spans="1:25" x14ac:dyDescent="0.3">
      <c r="A799" t="s">
        <v>2290</v>
      </c>
      <c r="B799" t="s">
        <v>622</v>
      </c>
      <c r="C799">
        <v>435.86</v>
      </c>
      <c r="D799" s="1">
        <v>45289.720694444448</v>
      </c>
      <c r="E799" t="s">
        <v>25</v>
      </c>
      <c r="F799" t="s">
        <v>405</v>
      </c>
      <c r="G799" t="s">
        <v>2291</v>
      </c>
      <c r="H799" t="s">
        <v>1926</v>
      </c>
      <c r="I799" t="s">
        <v>339</v>
      </c>
      <c r="J799" t="s">
        <v>30</v>
      </c>
      <c r="K799">
        <v>56</v>
      </c>
      <c r="L799" t="s">
        <v>82</v>
      </c>
      <c r="M799">
        <v>134</v>
      </c>
      <c r="N799">
        <v>1</v>
      </c>
      <c r="O799">
        <v>3801.82</v>
      </c>
      <c r="P799" s="1">
        <v>45600.339791666665</v>
      </c>
      <c r="Q799">
        <v>17</v>
      </c>
      <c r="R799" t="s">
        <v>54</v>
      </c>
      <c r="S799">
        <v>0.47360164848102498</v>
      </c>
      <c r="T799" t="b">
        <v>0</v>
      </c>
      <c r="U799" t="b">
        <v>0</v>
      </c>
      <c r="V799" t="b">
        <f t="shared" si="24"/>
        <v>1</v>
      </c>
      <c r="W799">
        <v>0</v>
      </c>
      <c r="Y799">
        <f t="shared" si="25"/>
        <v>0</v>
      </c>
    </row>
    <row r="800" spans="1:25" x14ac:dyDescent="0.3">
      <c r="A800" t="s">
        <v>2292</v>
      </c>
      <c r="B800" t="s">
        <v>1040</v>
      </c>
      <c r="C800">
        <v>74.73</v>
      </c>
      <c r="D800" s="1">
        <v>44956.720578703702</v>
      </c>
      <c r="E800" t="s">
        <v>57</v>
      </c>
      <c r="F800" t="s">
        <v>405</v>
      </c>
      <c r="G800" t="s">
        <v>2254</v>
      </c>
      <c r="H800" t="s">
        <v>2293</v>
      </c>
      <c r="I800" t="s">
        <v>44</v>
      </c>
      <c r="J800" t="s">
        <v>81</v>
      </c>
      <c r="K800">
        <v>64</v>
      </c>
      <c r="L800" t="s">
        <v>82</v>
      </c>
      <c r="M800">
        <v>162</v>
      </c>
      <c r="N800">
        <v>1</v>
      </c>
      <c r="O800">
        <v>6353.22</v>
      </c>
      <c r="P800" s="1">
        <v>45600.339189814818</v>
      </c>
      <c r="Q800">
        <v>17</v>
      </c>
      <c r="R800" t="s">
        <v>47</v>
      </c>
      <c r="S800">
        <v>-0.76337265136277499</v>
      </c>
      <c r="T800" t="b">
        <v>0</v>
      </c>
      <c r="U800" t="b">
        <v>0</v>
      </c>
      <c r="V800" t="b">
        <f t="shared" si="24"/>
        <v>1</v>
      </c>
      <c r="W800">
        <v>0</v>
      </c>
      <c r="Y800">
        <f t="shared" si="25"/>
        <v>0</v>
      </c>
    </row>
    <row r="801" spans="1:25" x14ac:dyDescent="0.3">
      <c r="A801" t="s">
        <v>2294</v>
      </c>
      <c r="B801" t="s">
        <v>1672</v>
      </c>
      <c r="C801">
        <v>182.79</v>
      </c>
      <c r="D801" s="1">
        <v>45224.681423611109</v>
      </c>
      <c r="E801" t="s">
        <v>57</v>
      </c>
      <c r="F801" t="s">
        <v>120</v>
      </c>
      <c r="G801" t="s">
        <v>2295</v>
      </c>
      <c r="H801" t="s">
        <v>1636</v>
      </c>
      <c r="I801" t="s">
        <v>772</v>
      </c>
      <c r="J801" t="s">
        <v>45</v>
      </c>
      <c r="K801">
        <v>23</v>
      </c>
      <c r="L801" t="s">
        <v>46</v>
      </c>
      <c r="M801">
        <v>14</v>
      </c>
      <c r="N801">
        <v>1</v>
      </c>
      <c r="O801">
        <v>1251.8499999999999</v>
      </c>
      <c r="P801" s="1">
        <v>45600.338125000002</v>
      </c>
      <c r="Q801">
        <v>16</v>
      </c>
      <c r="R801" t="s">
        <v>74</v>
      </c>
      <c r="S801">
        <v>-0.39323601679594</v>
      </c>
      <c r="T801" t="b">
        <v>0</v>
      </c>
      <c r="U801" t="b">
        <v>0</v>
      </c>
      <c r="V801" t="b">
        <f t="shared" si="24"/>
        <v>1</v>
      </c>
      <c r="W801">
        <v>0</v>
      </c>
      <c r="Y801">
        <f t="shared" si="25"/>
        <v>0</v>
      </c>
    </row>
    <row r="802" spans="1:25" x14ac:dyDescent="0.3">
      <c r="A802" t="s">
        <v>2296</v>
      </c>
      <c r="B802" t="s">
        <v>700</v>
      </c>
      <c r="C802">
        <v>628.36</v>
      </c>
      <c r="D802" s="1">
        <v>44946.673344907409</v>
      </c>
      <c r="E802" t="s">
        <v>25</v>
      </c>
      <c r="F802" t="s">
        <v>131</v>
      </c>
      <c r="G802" t="s">
        <v>2297</v>
      </c>
      <c r="H802" t="s">
        <v>1038</v>
      </c>
      <c r="I802" t="s">
        <v>275</v>
      </c>
      <c r="J802" t="s">
        <v>45</v>
      </c>
      <c r="K802">
        <v>44</v>
      </c>
      <c r="L802" t="s">
        <v>31</v>
      </c>
      <c r="M802">
        <v>108</v>
      </c>
      <c r="N802">
        <v>1</v>
      </c>
      <c r="O802">
        <v>11869.71</v>
      </c>
      <c r="P802" s="1">
        <v>45600.338564814818</v>
      </c>
      <c r="Q802">
        <v>16</v>
      </c>
      <c r="R802" t="s">
        <v>54</v>
      </c>
      <c r="S802">
        <v>1.13296961215042</v>
      </c>
      <c r="T802" t="b">
        <v>0</v>
      </c>
      <c r="U802" t="b">
        <v>0</v>
      </c>
      <c r="V802" t="b">
        <f t="shared" si="24"/>
        <v>1</v>
      </c>
      <c r="W802">
        <v>0</v>
      </c>
      <c r="Y802">
        <f t="shared" si="25"/>
        <v>0</v>
      </c>
    </row>
    <row r="803" spans="1:25" x14ac:dyDescent="0.3">
      <c r="A803" t="s">
        <v>2298</v>
      </c>
      <c r="B803" t="s">
        <v>673</v>
      </c>
      <c r="C803">
        <v>268.39</v>
      </c>
      <c r="D803" s="1">
        <v>44978.759050925924</v>
      </c>
      <c r="E803" t="s">
        <v>25</v>
      </c>
      <c r="F803" t="s">
        <v>250</v>
      </c>
      <c r="G803" t="s">
        <v>1258</v>
      </c>
      <c r="H803" t="s">
        <v>329</v>
      </c>
      <c r="I803" t="s">
        <v>1050</v>
      </c>
      <c r="J803" t="s">
        <v>45</v>
      </c>
      <c r="K803">
        <v>29</v>
      </c>
      <c r="L803" t="s">
        <v>31</v>
      </c>
      <c r="M803">
        <v>177</v>
      </c>
      <c r="N803">
        <v>1</v>
      </c>
      <c r="O803">
        <v>9409.43</v>
      </c>
      <c r="P803" s="1">
        <v>45600.341493055559</v>
      </c>
      <c r="Q803">
        <v>18</v>
      </c>
      <c r="R803" t="s">
        <v>32</v>
      </c>
      <c r="S803">
        <v>-0.10003135347074001</v>
      </c>
      <c r="T803" t="b">
        <v>0</v>
      </c>
      <c r="U803" t="b">
        <v>0</v>
      </c>
      <c r="V803" t="b">
        <f t="shared" si="24"/>
        <v>1</v>
      </c>
      <c r="W803">
        <v>0</v>
      </c>
      <c r="Y803">
        <f t="shared" si="25"/>
        <v>0</v>
      </c>
    </row>
    <row r="804" spans="1:25" x14ac:dyDescent="0.3">
      <c r="A804" t="s">
        <v>2299</v>
      </c>
      <c r="B804" t="s">
        <v>56</v>
      </c>
      <c r="C804">
        <v>362.27</v>
      </c>
      <c r="D804" s="1">
        <v>45057.692106481481</v>
      </c>
      <c r="E804" t="s">
        <v>25</v>
      </c>
      <c r="F804" t="s">
        <v>405</v>
      </c>
      <c r="G804" t="s">
        <v>413</v>
      </c>
      <c r="H804" t="s">
        <v>2300</v>
      </c>
      <c r="I804" t="s">
        <v>280</v>
      </c>
      <c r="J804" t="s">
        <v>30</v>
      </c>
      <c r="K804">
        <v>80</v>
      </c>
      <c r="L804" t="s">
        <v>82</v>
      </c>
      <c r="M804">
        <v>47</v>
      </c>
      <c r="N804">
        <v>1</v>
      </c>
      <c r="O804">
        <v>6003.59</v>
      </c>
      <c r="P804" s="1">
        <v>45600.338599537034</v>
      </c>
      <c r="Q804">
        <v>16</v>
      </c>
      <c r="R804" t="s">
        <v>141</v>
      </c>
      <c r="S804">
        <v>0.22153469551255001</v>
      </c>
      <c r="T804" t="b">
        <v>0</v>
      </c>
      <c r="U804" t="b">
        <v>0</v>
      </c>
      <c r="V804" t="b">
        <f t="shared" si="24"/>
        <v>1</v>
      </c>
      <c r="W804">
        <v>0</v>
      </c>
      <c r="Y804">
        <f t="shared" si="25"/>
        <v>0</v>
      </c>
    </row>
    <row r="805" spans="1:25" x14ac:dyDescent="0.3">
      <c r="A805" t="s">
        <v>2301</v>
      </c>
      <c r="B805" t="s">
        <v>735</v>
      </c>
      <c r="C805">
        <v>560.15</v>
      </c>
      <c r="D805" s="1">
        <v>45152.751111111109</v>
      </c>
      <c r="E805" t="s">
        <v>57</v>
      </c>
      <c r="F805" t="s">
        <v>104</v>
      </c>
      <c r="G805" t="s">
        <v>2216</v>
      </c>
      <c r="H805" t="s">
        <v>1456</v>
      </c>
      <c r="I805" t="s">
        <v>140</v>
      </c>
      <c r="J805" t="s">
        <v>45</v>
      </c>
      <c r="K805">
        <v>50</v>
      </c>
      <c r="L805" t="s">
        <v>89</v>
      </c>
      <c r="M805">
        <v>92</v>
      </c>
      <c r="N805">
        <v>1</v>
      </c>
      <c r="O805">
        <v>817.83</v>
      </c>
      <c r="P805" s="1">
        <v>45600.340868055559</v>
      </c>
      <c r="Q805">
        <v>18</v>
      </c>
      <c r="R805" t="s">
        <v>47</v>
      </c>
      <c r="S805">
        <v>0.89933070928346703</v>
      </c>
      <c r="T805" t="b">
        <v>0</v>
      </c>
      <c r="U805" t="b">
        <v>0</v>
      </c>
      <c r="V805" t="b">
        <f t="shared" si="24"/>
        <v>1</v>
      </c>
      <c r="W805">
        <v>0</v>
      </c>
      <c r="Y805">
        <f t="shared" si="25"/>
        <v>0</v>
      </c>
    </row>
    <row r="806" spans="1:25" x14ac:dyDescent="0.3">
      <c r="A806" t="s">
        <v>2302</v>
      </c>
      <c r="B806" t="s">
        <v>661</v>
      </c>
      <c r="C806">
        <v>351.99</v>
      </c>
      <c r="D806" s="1">
        <v>45089.706990740742</v>
      </c>
      <c r="E806" t="s">
        <v>25</v>
      </c>
      <c r="F806" t="s">
        <v>278</v>
      </c>
      <c r="G806" t="s">
        <v>2303</v>
      </c>
      <c r="H806" t="s">
        <v>2304</v>
      </c>
      <c r="I806" t="s">
        <v>366</v>
      </c>
      <c r="J806" t="s">
        <v>30</v>
      </c>
      <c r="K806">
        <v>80</v>
      </c>
      <c r="L806" t="s">
        <v>82</v>
      </c>
      <c r="M806">
        <v>45</v>
      </c>
      <c r="N806">
        <v>2</v>
      </c>
      <c r="O806">
        <v>3663.64</v>
      </c>
      <c r="P806" s="1">
        <v>45600.341238425928</v>
      </c>
      <c r="Q806">
        <v>16</v>
      </c>
      <c r="R806" t="s">
        <v>47</v>
      </c>
      <c r="S806">
        <v>0.18632273360854201</v>
      </c>
      <c r="T806" t="b">
        <v>0</v>
      </c>
      <c r="U806" t="b">
        <v>1</v>
      </c>
      <c r="V806" t="b">
        <f t="shared" si="24"/>
        <v>1</v>
      </c>
      <c r="W806">
        <v>1</v>
      </c>
      <c r="Y806">
        <f t="shared" si="25"/>
        <v>0</v>
      </c>
    </row>
    <row r="807" spans="1:25" x14ac:dyDescent="0.3">
      <c r="A807" t="s">
        <v>2305</v>
      </c>
      <c r="B807" t="s">
        <v>235</v>
      </c>
      <c r="C807">
        <v>132.36000000000001</v>
      </c>
      <c r="D807" s="1">
        <v>44998.709687499999</v>
      </c>
      <c r="E807" t="s">
        <v>25</v>
      </c>
      <c r="F807" t="s">
        <v>534</v>
      </c>
      <c r="G807" t="s">
        <v>941</v>
      </c>
      <c r="H807" t="s">
        <v>1140</v>
      </c>
      <c r="I807" t="s">
        <v>222</v>
      </c>
      <c r="J807" t="s">
        <v>81</v>
      </c>
      <c r="K807">
        <v>28</v>
      </c>
      <c r="L807" t="s">
        <v>46</v>
      </c>
      <c r="M807">
        <v>160</v>
      </c>
      <c r="N807">
        <v>1</v>
      </c>
      <c r="O807">
        <v>319.64999999999998</v>
      </c>
      <c r="P807" s="1">
        <v>45600.34033564815</v>
      </c>
      <c r="Q807">
        <v>17</v>
      </c>
      <c r="R807" t="s">
        <v>47</v>
      </c>
      <c r="S807">
        <v>-0.56597329683670905</v>
      </c>
      <c r="T807" t="b">
        <v>0</v>
      </c>
      <c r="U807" t="b">
        <v>0</v>
      </c>
      <c r="V807" t="b">
        <f t="shared" si="24"/>
        <v>1</v>
      </c>
      <c r="W807">
        <v>0</v>
      </c>
      <c r="Y807">
        <f t="shared" si="25"/>
        <v>0</v>
      </c>
    </row>
    <row r="808" spans="1:25" x14ac:dyDescent="0.3">
      <c r="A808" t="s">
        <v>2306</v>
      </c>
      <c r="B808" t="s">
        <v>397</v>
      </c>
      <c r="C808">
        <v>24.77</v>
      </c>
      <c r="D808" s="1">
        <v>45231.70553240741</v>
      </c>
      <c r="E808" t="s">
        <v>57</v>
      </c>
      <c r="F808" t="s">
        <v>92</v>
      </c>
      <c r="G808" t="s">
        <v>1916</v>
      </c>
      <c r="H808" t="s">
        <v>812</v>
      </c>
      <c r="I808" t="s">
        <v>53</v>
      </c>
      <c r="J808" t="s">
        <v>45</v>
      </c>
      <c r="K808">
        <v>40</v>
      </c>
      <c r="L808" t="s">
        <v>89</v>
      </c>
      <c r="M808">
        <v>17</v>
      </c>
      <c r="N808">
        <v>1</v>
      </c>
      <c r="O808">
        <v>478.23</v>
      </c>
      <c r="P808" s="1">
        <v>45600.338425925926</v>
      </c>
      <c r="Q808">
        <v>16</v>
      </c>
      <c r="R808" t="s">
        <v>74</v>
      </c>
      <c r="S808">
        <v>-0.93450004598575398</v>
      </c>
      <c r="T808" t="b">
        <v>0</v>
      </c>
      <c r="U808" t="b">
        <v>0</v>
      </c>
      <c r="V808" t="b">
        <f t="shared" si="24"/>
        <v>1</v>
      </c>
      <c r="W808">
        <v>0</v>
      </c>
      <c r="Y808">
        <f t="shared" si="25"/>
        <v>0</v>
      </c>
    </row>
    <row r="809" spans="1:25" x14ac:dyDescent="0.3">
      <c r="A809" t="s">
        <v>2307</v>
      </c>
      <c r="B809" t="s">
        <v>1269</v>
      </c>
      <c r="C809">
        <v>668.67</v>
      </c>
      <c r="D809" s="1">
        <v>45237.734780092593</v>
      </c>
      <c r="E809" t="s">
        <v>25</v>
      </c>
      <c r="F809" t="s">
        <v>85</v>
      </c>
      <c r="G809" t="s">
        <v>2308</v>
      </c>
      <c r="H809" t="s">
        <v>786</v>
      </c>
      <c r="I809" t="s">
        <v>73</v>
      </c>
      <c r="J809" t="s">
        <v>45</v>
      </c>
      <c r="K809">
        <v>44</v>
      </c>
      <c r="L809" t="s">
        <v>31</v>
      </c>
      <c r="M809">
        <v>143</v>
      </c>
      <c r="N809">
        <v>4</v>
      </c>
      <c r="O809">
        <v>13446.81</v>
      </c>
      <c r="P809" s="1">
        <v>45600.337835648148</v>
      </c>
      <c r="Q809">
        <v>17</v>
      </c>
      <c r="R809" t="s">
        <v>32</v>
      </c>
      <c r="S809">
        <v>1.27104297638686</v>
      </c>
      <c r="T809" t="b">
        <v>0</v>
      </c>
      <c r="U809" t="b">
        <v>1</v>
      </c>
      <c r="V809" t="b">
        <f t="shared" si="24"/>
        <v>1</v>
      </c>
      <c r="W809">
        <v>1</v>
      </c>
      <c r="Y809">
        <f t="shared" si="25"/>
        <v>0</v>
      </c>
    </row>
    <row r="810" spans="1:25" x14ac:dyDescent="0.3">
      <c r="A810" t="s">
        <v>2309</v>
      </c>
      <c r="B810" t="s">
        <v>2310</v>
      </c>
      <c r="C810">
        <v>80.239999999999995</v>
      </c>
      <c r="D810" s="1">
        <v>45065.728263888886</v>
      </c>
      <c r="E810" t="s">
        <v>57</v>
      </c>
      <c r="F810" t="s">
        <v>216</v>
      </c>
      <c r="G810" t="s">
        <v>1698</v>
      </c>
      <c r="H810" t="s">
        <v>2311</v>
      </c>
      <c r="I810" t="s">
        <v>1823</v>
      </c>
      <c r="J810" t="s">
        <v>81</v>
      </c>
      <c r="K810">
        <v>53</v>
      </c>
      <c r="L810" t="s">
        <v>31</v>
      </c>
      <c r="M810">
        <v>58</v>
      </c>
      <c r="N810">
        <v>1</v>
      </c>
      <c r="O810">
        <v>8012.81</v>
      </c>
      <c r="P810" s="1">
        <v>45600.341817129629</v>
      </c>
      <c r="Q810">
        <v>17</v>
      </c>
      <c r="R810" t="s">
        <v>54</v>
      </c>
      <c r="S810">
        <v>-0.74449931380527701</v>
      </c>
      <c r="T810" t="b">
        <v>0</v>
      </c>
      <c r="U810" t="b">
        <v>0</v>
      </c>
      <c r="V810" t="b">
        <f t="shared" si="24"/>
        <v>1</v>
      </c>
      <c r="W810">
        <v>0</v>
      </c>
      <c r="Y810">
        <f t="shared" si="25"/>
        <v>0</v>
      </c>
    </row>
    <row r="811" spans="1:25" x14ac:dyDescent="0.3">
      <c r="A811" t="s">
        <v>2312</v>
      </c>
      <c r="B811" t="s">
        <v>1819</v>
      </c>
      <c r="C811">
        <v>8.65</v>
      </c>
      <c r="D811" s="1">
        <v>45250.686331018522</v>
      </c>
      <c r="E811" t="s">
        <v>25</v>
      </c>
      <c r="F811" t="s">
        <v>41</v>
      </c>
      <c r="G811" t="s">
        <v>2025</v>
      </c>
      <c r="H811" t="s">
        <v>1146</v>
      </c>
      <c r="I811" t="s">
        <v>419</v>
      </c>
      <c r="J811" t="s">
        <v>30</v>
      </c>
      <c r="K811">
        <v>68</v>
      </c>
      <c r="L811" t="s">
        <v>82</v>
      </c>
      <c r="M811">
        <v>198</v>
      </c>
      <c r="N811">
        <v>1</v>
      </c>
      <c r="O811">
        <v>4201.22</v>
      </c>
      <c r="P811" s="1">
        <v>45600.341377314813</v>
      </c>
      <c r="Q811">
        <v>16</v>
      </c>
      <c r="R811" t="s">
        <v>47</v>
      </c>
      <c r="S811">
        <v>-0.98971569052783603</v>
      </c>
      <c r="T811" t="b">
        <v>0</v>
      </c>
      <c r="U811" t="b">
        <v>0</v>
      </c>
      <c r="V811" t="b">
        <f t="shared" si="24"/>
        <v>1</v>
      </c>
      <c r="W811">
        <v>0</v>
      </c>
      <c r="Y811">
        <f t="shared" si="25"/>
        <v>0</v>
      </c>
    </row>
    <row r="812" spans="1:25" x14ac:dyDescent="0.3">
      <c r="A812" t="s">
        <v>2313</v>
      </c>
      <c r="B812" t="s">
        <v>1778</v>
      </c>
      <c r="C812">
        <v>178.91</v>
      </c>
      <c r="D812" s="1">
        <v>45000.692407407405</v>
      </c>
      <c r="E812" t="s">
        <v>25</v>
      </c>
      <c r="F812" t="s">
        <v>309</v>
      </c>
      <c r="G812" t="s">
        <v>2160</v>
      </c>
      <c r="H812" t="s">
        <v>207</v>
      </c>
      <c r="I812" t="s">
        <v>88</v>
      </c>
      <c r="J812" t="s">
        <v>30</v>
      </c>
      <c r="K812">
        <v>18</v>
      </c>
      <c r="L812" t="s">
        <v>46</v>
      </c>
      <c r="M812">
        <v>19</v>
      </c>
      <c r="N812">
        <v>1</v>
      </c>
      <c r="O812">
        <v>8870.89</v>
      </c>
      <c r="P812" s="1">
        <v>45600.338263888887</v>
      </c>
      <c r="Q812">
        <v>16</v>
      </c>
      <c r="R812" t="s">
        <v>74</v>
      </c>
      <c r="S812">
        <v>-0.40652613471301702</v>
      </c>
      <c r="T812" t="b">
        <v>0</v>
      </c>
      <c r="U812" t="b">
        <v>0</v>
      </c>
      <c r="V812" t="b">
        <f t="shared" si="24"/>
        <v>1</v>
      </c>
      <c r="W812">
        <v>0</v>
      </c>
      <c r="Y812">
        <f t="shared" si="25"/>
        <v>0</v>
      </c>
    </row>
    <row r="813" spans="1:25" x14ac:dyDescent="0.3">
      <c r="A813" t="s">
        <v>2314</v>
      </c>
      <c r="B813" t="s">
        <v>738</v>
      </c>
      <c r="C813">
        <v>115.22</v>
      </c>
      <c r="D813" s="1">
        <v>45268.712187500001</v>
      </c>
      <c r="E813" t="s">
        <v>25</v>
      </c>
      <c r="F813" t="s">
        <v>225</v>
      </c>
      <c r="G813" t="s">
        <v>2315</v>
      </c>
      <c r="H813" t="s">
        <v>1322</v>
      </c>
      <c r="I813" t="s">
        <v>383</v>
      </c>
      <c r="J813" t="s">
        <v>81</v>
      </c>
      <c r="K813">
        <v>27</v>
      </c>
      <c r="L813" t="s">
        <v>89</v>
      </c>
      <c r="M813">
        <v>108</v>
      </c>
      <c r="N813">
        <v>1</v>
      </c>
      <c r="O813">
        <v>906.2</v>
      </c>
      <c r="P813" s="1">
        <v>45600.33966435185</v>
      </c>
      <c r="Q813">
        <v>17</v>
      </c>
      <c r="R813" t="s">
        <v>54</v>
      </c>
      <c r="S813">
        <v>-0.62468273526420803</v>
      </c>
      <c r="T813" t="b">
        <v>0</v>
      </c>
      <c r="U813" t="b">
        <v>0</v>
      </c>
      <c r="V813" t="b">
        <f t="shared" si="24"/>
        <v>1</v>
      </c>
      <c r="W813">
        <v>0</v>
      </c>
      <c r="Y813">
        <f t="shared" si="25"/>
        <v>0</v>
      </c>
    </row>
    <row r="814" spans="1:25" x14ac:dyDescent="0.3">
      <c r="A814" t="s">
        <v>2316</v>
      </c>
      <c r="B814" t="s">
        <v>1465</v>
      </c>
      <c r="C814">
        <v>161.63</v>
      </c>
      <c r="D814" s="1">
        <v>45285.689398148148</v>
      </c>
      <c r="E814" t="s">
        <v>25</v>
      </c>
      <c r="F814" t="s">
        <v>236</v>
      </c>
      <c r="G814" t="s">
        <v>820</v>
      </c>
      <c r="H814" t="s">
        <v>1642</v>
      </c>
      <c r="I814" t="s">
        <v>556</v>
      </c>
      <c r="J814" t="s">
        <v>45</v>
      </c>
      <c r="K814">
        <v>46</v>
      </c>
      <c r="L814" t="s">
        <v>31</v>
      </c>
      <c r="M814">
        <v>276</v>
      </c>
      <c r="N814">
        <v>1</v>
      </c>
      <c r="O814">
        <v>9286.3700000000008</v>
      </c>
      <c r="P814" s="1">
        <v>45600.339131944442</v>
      </c>
      <c r="Q814">
        <v>16</v>
      </c>
      <c r="R814" t="s">
        <v>47</v>
      </c>
      <c r="S814">
        <v>-0.46571511347772998</v>
      </c>
      <c r="T814" t="b">
        <v>0</v>
      </c>
      <c r="U814" t="b">
        <v>0</v>
      </c>
      <c r="V814" t="b">
        <f t="shared" si="24"/>
        <v>1</v>
      </c>
      <c r="W814">
        <v>0</v>
      </c>
      <c r="Y814">
        <f t="shared" si="25"/>
        <v>0</v>
      </c>
    </row>
    <row r="815" spans="1:25" x14ac:dyDescent="0.3">
      <c r="A815" t="s">
        <v>2317</v>
      </c>
      <c r="B815" t="s">
        <v>377</v>
      </c>
      <c r="C815">
        <v>542.75</v>
      </c>
      <c r="D815" s="1">
        <v>45267.77002314815</v>
      </c>
      <c r="E815" t="s">
        <v>57</v>
      </c>
      <c r="F815" t="s">
        <v>92</v>
      </c>
      <c r="G815" t="s">
        <v>1121</v>
      </c>
      <c r="H815" t="s">
        <v>2318</v>
      </c>
      <c r="I815" t="s">
        <v>427</v>
      </c>
      <c r="J815" t="s">
        <v>81</v>
      </c>
      <c r="K815">
        <v>70</v>
      </c>
      <c r="L815" t="s">
        <v>82</v>
      </c>
      <c r="M815">
        <v>63</v>
      </c>
      <c r="N815">
        <v>1</v>
      </c>
      <c r="O815">
        <v>2224.08</v>
      </c>
      <c r="P815" s="1">
        <v>45600.339201388888</v>
      </c>
      <c r="Q815">
        <v>18</v>
      </c>
      <c r="R815" t="s">
        <v>141</v>
      </c>
      <c r="S815">
        <v>0.83973069594399896</v>
      </c>
      <c r="T815" t="b">
        <v>0</v>
      </c>
      <c r="U815" t="b">
        <v>0</v>
      </c>
      <c r="V815" t="b">
        <f t="shared" si="24"/>
        <v>1</v>
      </c>
      <c r="W815">
        <v>0</v>
      </c>
      <c r="Y815">
        <f t="shared" si="25"/>
        <v>0</v>
      </c>
    </row>
    <row r="816" spans="1:25" x14ac:dyDescent="0.3">
      <c r="A816" t="s">
        <v>2319</v>
      </c>
      <c r="B816" t="s">
        <v>1196</v>
      </c>
      <c r="C816">
        <v>317.47000000000003</v>
      </c>
      <c r="D816" s="1">
        <v>45047.730254629627</v>
      </c>
      <c r="E816" t="s">
        <v>57</v>
      </c>
      <c r="F816" t="s">
        <v>298</v>
      </c>
      <c r="G816" t="s">
        <v>1929</v>
      </c>
      <c r="H816" t="s">
        <v>928</v>
      </c>
      <c r="I816" t="s">
        <v>173</v>
      </c>
      <c r="J816" t="s">
        <v>45</v>
      </c>
      <c r="K816">
        <v>67</v>
      </c>
      <c r="L816" t="s">
        <v>31</v>
      </c>
      <c r="M816">
        <v>16</v>
      </c>
      <c r="N816">
        <v>1</v>
      </c>
      <c r="O816">
        <v>14639.28</v>
      </c>
      <c r="P816" s="1">
        <v>45600.338865740741</v>
      </c>
      <c r="Q816">
        <v>17</v>
      </c>
      <c r="R816" t="s">
        <v>47</v>
      </c>
      <c r="S816">
        <v>6.8081787604034799E-2</v>
      </c>
      <c r="T816" t="b">
        <v>0</v>
      </c>
      <c r="U816" t="b">
        <v>0</v>
      </c>
      <c r="V816" t="b">
        <f t="shared" si="24"/>
        <v>1</v>
      </c>
      <c r="W816">
        <v>0</v>
      </c>
      <c r="Y816">
        <f t="shared" si="25"/>
        <v>0</v>
      </c>
    </row>
    <row r="817" spans="1:25" x14ac:dyDescent="0.3">
      <c r="A817" t="s">
        <v>2320</v>
      </c>
      <c r="B817" t="s">
        <v>224</v>
      </c>
      <c r="C817">
        <v>280.99</v>
      </c>
      <c r="D817" s="1">
        <v>44977.75209490741</v>
      </c>
      <c r="E817" t="s">
        <v>25</v>
      </c>
      <c r="F817" t="s">
        <v>35</v>
      </c>
      <c r="G817" t="s">
        <v>886</v>
      </c>
      <c r="H817" t="s">
        <v>1938</v>
      </c>
      <c r="I817" t="s">
        <v>1300</v>
      </c>
      <c r="J817" t="s">
        <v>81</v>
      </c>
      <c r="K817">
        <v>45</v>
      </c>
      <c r="L817" t="s">
        <v>89</v>
      </c>
      <c r="M817">
        <v>29</v>
      </c>
      <c r="N817">
        <v>1</v>
      </c>
      <c r="O817">
        <v>9733.59</v>
      </c>
      <c r="P817" s="1">
        <v>45600.338472222225</v>
      </c>
      <c r="Q817">
        <v>18</v>
      </c>
      <c r="R817" t="s">
        <v>47</v>
      </c>
      <c r="S817">
        <v>-5.6872723121470799E-2</v>
      </c>
      <c r="T817" t="b">
        <v>0</v>
      </c>
      <c r="U817" t="b">
        <v>0</v>
      </c>
      <c r="V817" t="b">
        <f t="shared" si="24"/>
        <v>1</v>
      </c>
      <c r="W817">
        <v>0</v>
      </c>
      <c r="Y817">
        <f t="shared" si="25"/>
        <v>0</v>
      </c>
    </row>
    <row r="818" spans="1:25" x14ac:dyDescent="0.3">
      <c r="A818" t="s">
        <v>2321</v>
      </c>
      <c r="B818" t="s">
        <v>2322</v>
      </c>
      <c r="C818">
        <v>24.19</v>
      </c>
      <c r="D818" s="1">
        <v>44965.731342592589</v>
      </c>
      <c r="E818" t="s">
        <v>25</v>
      </c>
      <c r="F818" t="s">
        <v>26</v>
      </c>
      <c r="G818" t="s">
        <v>1984</v>
      </c>
      <c r="H818" t="s">
        <v>289</v>
      </c>
      <c r="I818" t="s">
        <v>898</v>
      </c>
      <c r="J818" t="s">
        <v>30</v>
      </c>
      <c r="K818">
        <v>29</v>
      </c>
      <c r="L818" t="s">
        <v>89</v>
      </c>
      <c r="M818">
        <v>28</v>
      </c>
      <c r="N818">
        <v>1</v>
      </c>
      <c r="O818">
        <v>2756.2</v>
      </c>
      <c r="P818" s="1">
        <v>45600.338495370372</v>
      </c>
      <c r="Q818">
        <v>17</v>
      </c>
      <c r="R818" t="s">
        <v>74</v>
      </c>
      <c r="S818">
        <v>-0.93648671309706899</v>
      </c>
      <c r="T818" t="b">
        <v>0</v>
      </c>
      <c r="U818" t="b">
        <v>0</v>
      </c>
      <c r="V818" t="b">
        <f t="shared" si="24"/>
        <v>1</v>
      </c>
      <c r="W818">
        <v>0</v>
      </c>
      <c r="Y818">
        <f t="shared" si="25"/>
        <v>0</v>
      </c>
    </row>
    <row r="819" spans="1:25" x14ac:dyDescent="0.3">
      <c r="A819" t="s">
        <v>2323</v>
      </c>
      <c r="B819" t="s">
        <v>2324</v>
      </c>
      <c r="C819">
        <v>586.85</v>
      </c>
      <c r="D819" s="1">
        <v>45153.706562500003</v>
      </c>
      <c r="E819" t="s">
        <v>25</v>
      </c>
      <c r="F819" t="s">
        <v>41</v>
      </c>
      <c r="G819" t="s">
        <v>2325</v>
      </c>
      <c r="H819" t="s">
        <v>212</v>
      </c>
      <c r="I819" t="s">
        <v>253</v>
      </c>
      <c r="J819" t="s">
        <v>30</v>
      </c>
      <c r="K819">
        <v>36</v>
      </c>
      <c r="L819" t="s">
        <v>31</v>
      </c>
      <c r="M819">
        <v>86</v>
      </c>
      <c r="N819">
        <v>1</v>
      </c>
      <c r="O819">
        <v>6655.15</v>
      </c>
      <c r="P819" s="1">
        <v>45600.341874999998</v>
      </c>
      <c r="Q819">
        <v>16</v>
      </c>
      <c r="R819" t="s">
        <v>32</v>
      </c>
      <c r="S819">
        <v>0.99078590216644402</v>
      </c>
      <c r="T819" t="b">
        <v>0</v>
      </c>
      <c r="U819" t="b">
        <v>0</v>
      </c>
      <c r="V819" t="b">
        <f t="shared" si="24"/>
        <v>1</v>
      </c>
      <c r="W819">
        <v>0</v>
      </c>
      <c r="Y819">
        <f t="shared" si="25"/>
        <v>0</v>
      </c>
    </row>
    <row r="820" spans="1:25" x14ac:dyDescent="0.3">
      <c r="A820" t="s">
        <v>2326</v>
      </c>
      <c r="B820" t="s">
        <v>1079</v>
      </c>
      <c r="C820">
        <v>372.41</v>
      </c>
      <c r="D820" s="1">
        <v>45096.758518518516</v>
      </c>
      <c r="E820" t="s">
        <v>25</v>
      </c>
      <c r="F820" t="s">
        <v>26</v>
      </c>
      <c r="G820" t="s">
        <v>1904</v>
      </c>
      <c r="H820" t="s">
        <v>2327</v>
      </c>
      <c r="I820" t="s">
        <v>782</v>
      </c>
      <c r="J820" t="s">
        <v>30</v>
      </c>
      <c r="K820">
        <v>55</v>
      </c>
      <c r="L820" t="s">
        <v>82</v>
      </c>
      <c r="M820">
        <v>143</v>
      </c>
      <c r="N820">
        <v>1</v>
      </c>
      <c r="O820">
        <v>3233.87</v>
      </c>
      <c r="P820" s="1">
        <v>45600.337893518517</v>
      </c>
      <c r="Q820">
        <v>18</v>
      </c>
      <c r="R820" t="s">
        <v>47</v>
      </c>
      <c r="S820">
        <v>0.25626711707934302</v>
      </c>
      <c r="T820" t="b">
        <v>0</v>
      </c>
      <c r="U820" t="b">
        <v>0</v>
      </c>
      <c r="V820" t="b">
        <f t="shared" si="24"/>
        <v>1</v>
      </c>
      <c r="W820">
        <v>0</v>
      </c>
      <c r="Y820">
        <f t="shared" si="25"/>
        <v>0</v>
      </c>
    </row>
    <row r="821" spans="1:25" x14ac:dyDescent="0.3">
      <c r="A821" t="s">
        <v>2328</v>
      </c>
      <c r="B821" t="s">
        <v>885</v>
      </c>
      <c r="C821">
        <v>63.17</v>
      </c>
      <c r="D821" s="1">
        <v>45132.770104166666</v>
      </c>
      <c r="E821" t="s">
        <v>25</v>
      </c>
      <c r="F821" t="s">
        <v>571</v>
      </c>
      <c r="G821" t="s">
        <v>530</v>
      </c>
      <c r="H821" t="s">
        <v>2329</v>
      </c>
      <c r="I821" t="s">
        <v>150</v>
      </c>
      <c r="J821" t="s">
        <v>30</v>
      </c>
      <c r="K821">
        <v>20</v>
      </c>
      <c r="L821" t="s">
        <v>46</v>
      </c>
      <c r="M821">
        <v>148</v>
      </c>
      <c r="N821">
        <v>1</v>
      </c>
      <c r="O821">
        <v>1676.57</v>
      </c>
      <c r="P821" s="1">
        <v>45600.338402777779</v>
      </c>
      <c r="Q821">
        <v>18</v>
      </c>
      <c r="R821" t="s">
        <v>32</v>
      </c>
      <c r="S821">
        <v>-0.802968982064169</v>
      </c>
      <c r="T821" t="b">
        <v>0</v>
      </c>
      <c r="U821" t="b">
        <v>0</v>
      </c>
      <c r="V821" t="b">
        <f t="shared" si="24"/>
        <v>1</v>
      </c>
      <c r="W821">
        <v>0</v>
      </c>
      <c r="Y821">
        <f t="shared" si="25"/>
        <v>0</v>
      </c>
    </row>
    <row r="822" spans="1:25" x14ac:dyDescent="0.3">
      <c r="A822" t="s">
        <v>2330</v>
      </c>
      <c r="B822" t="s">
        <v>902</v>
      </c>
      <c r="C822">
        <v>383.69</v>
      </c>
      <c r="D822" s="1">
        <v>45230.712592592594</v>
      </c>
      <c r="E822" t="s">
        <v>25</v>
      </c>
      <c r="F822" t="s">
        <v>534</v>
      </c>
      <c r="G822" t="s">
        <v>2331</v>
      </c>
      <c r="H822" t="s">
        <v>2332</v>
      </c>
      <c r="I822" t="s">
        <v>344</v>
      </c>
      <c r="J822" t="s">
        <v>45</v>
      </c>
      <c r="K822">
        <v>54</v>
      </c>
      <c r="L822" t="s">
        <v>89</v>
      </c>
      <c r="M822">
        <v>285</v>
      </c>
      <c r="N822">
        <v>1</v>
      </c>
      <c r="O822">
        <v>8371.11</v>
      </c>
      <c r="P822" s="1">
        <v>45600.340312499997</v>
      </c>
      <c r="Q822">
        <v>17</v>
      </c>
      <c r="R822" t="s">
        <v>32</v>
      </c>
      <c r="S822">
        <v>0.29490436710630902</v>
      </c>
      <c r="T822" t="b">
        <v>0</v>
      </c>
      <c r="U822" t="b">
        <v>0</v>
      </c>
      <c r="V822" t="b">
        <f t="shared" si="24"/>
        <v>1</v>
      </c>
      <c r="W822">
        <v>0</v>
      </c>
      <c r="Y822">
        <f t="shared" si="25"/>
        <v>0</v>
      </c>
    </row>
    <row r="823" spans="1:25" x14ac:dyDescent="0.3">
      <c r="A823" t="s">
        <v>2333</v>
      </c>
      <c r="B823" t="s">
        <v>1203</v>
      </c>
      <c r="C823">
        <v>247.17</v>
      </c>
      <c r="D823" s="1">
        <v>45068.749247685184</v>
      </c>
      <c r="E823" t="s">
        <v>57</v>
      </c>
      <c r="F823" t="s">
        <v>278</v>
      </c>
      <c r="G823" t="s">
        <v>2127</v>
      </c>
      <c r="H823" t="s">
        <v>1564</v>
      </c>
      <c r="I823" t="s">
        <v>1300</v>
      </c>
      <c r="J823" t="s">
        <v>81</v>
      </c>
      <c r="K823">
        <v>65</v>
      </c>
      <c r="L823" t="s">
        <v>82</v>
      </c>
      <c r="M823">
        <v>149</v>
      </c>
      <c r="N823">
        <v>1</v>
      </c>
      <c r="O823">
        <v>2611.64</v>
      </c>
      <c r="P823" s="1">
        <v>45600.338692129626</v>
      </c>
      <c r="Q823">
        <v>17</v>
      </c>
      <c r="R823" t="s">
        <v>47</v>
      </c>
      <c r="S823">
        <v>-0.172715967439908</v>
      </c>
      <c r="T823" t="b">
        <v>0</v>
      </c>
      <c r="U823" t="b">
        <v>0</v>
      </c>
      <c r="V823" t="b">
        <f t="shared" si="24"/>
        <v>1</v>
      </c>
      <c r="W823">
        <v>0</v>
      </c>
      <c r="Y823">
        <f t="shared" si="25"/>
        <v>0</v>
      </c>
    </row>
    <row r="824" spans="1:25" x14ac:dyDescent="0.3">
      <c r="A824" t="s">
        <v>2334</v>
      </c>
      <c r="B824" t="s">
        <v>1411</v>
      </c>
      <c r="C824">
        <v>48.78</v>
      </c>
      <c r="D824" s="1">
        <v>45149.697002314817</v>
      </c>
      <c r="E824" t="s">
        <v>57</v>
      </c>
      <c r="F824" t="s">
        <v>304</v>
      </c>
      <c r="G824" t="s">
        <v>2335</v>
      </c>
      <c r="H824" t="s">
        <v>1503</v>
      </c>
      <c r="I824" t="s">
        <v>611</v>
      </c>
      <c r="J824" t="s">
        <v>81</v>
      </c>
      <c r="K824">
        <v>18</v>
      </c>
      <c r="L824" t="s">
        <v>46</v>
      </c>
      <c r="M824">
        <v>136</v>
      </c>
      <c r="N824">
        <v>1</v>
      </c>
      <c r="O824">
        <v>552.05999999999995</v>
      </c>
      <c r="P824" s="1">
        <v>45600.340405092589</v>
      </c>
      <c r="Q824">
        <v>16</v>
      </c>
      <c r="R824" t="s">
        <v>54</v>
      </c>
      <c r="S824">
        <v>-0.85225887815353396</v>
      </c>
      <c r="T824" t="b">
        <v>0</v>
      </c>
      <c r="U824" t="b">
        <v>0</v>
      </c>
      <c r="V824" t="b">
        <f t="shared" si="24"/>
        <v>1</v>
      </c>
      <c r="W824">
        <v>0</v>
      </c>
      <c r="Y824">
        <f t="shared" si="25"/>
        <v>0</v>
      </c>
    </row>
    <row r="825" spans="1:25" x14ac:dyDescent="0.3">
      <c r="A825" t="s">
        <v>2336</v>
      </c>
      <c r="B825" t="s">
        <v>1451</v>
      </c>
      <c r="C825">
        <v>4.1500000000000004</v>
      </c>
      <c r="D825" s="1">
        <v>45218.690729166665</v>
      </c>
      <c r="E825" t="s">
        <v>57</v>
      </c>
      <c r="F825" t="s">
        <v>309</v>
      </c>
      <c r="G825" t="s">
        <v>952</v>
      </c>
      <c r="H825" t="s">
        <v>1584</v>
      </c>
      <c r="I825" t="s">
        <v>73</v>
      </c>
      <c r="J825" t="s">
        <v>81</v>
      </c>
      <c r="K825">
        <v>60</v>
      </c>
      <c r="L825" t="s">
        <v>82</v>
      </c>
      <c r="M825">
        <v>119</v>
      </c>
      <c r="N825">
        <v>1</v>
      </c>
      <c r="O825">
        <v>6017.36</v>
      </c>
      <c r="P825" s="1">
        <v>45600.340138888889</v>
      </c>
      <c r="Q825">
        <v>16</v>
      </c>
      <c r="R825" t="s">
        <v>141</v>
      </c>
      <c r="S825">
        <v>-1.00512948708114</v>
      </c>
      <c r="T825" t="b">
        <v>0</v>
      </c>
      <c r="U825" t="b">
        <v>0</v>
      </c>
      <c r="V825" t="b">
        <f t="shared" si="24"/>
        <v>1</v>
      </c>
      <c r="W825">
        <v>0</v>
      </c>
      <c r="Y825">
        <f t="shared" si="25"/>
        <v>0</v>
      </c>
    </row>
    <row r="826" spans="1:25" x14ac:dyDescent="0.3">
      <c r="A826" t="s">
        <v>2337</v>
      </c>
      <c r="B826" t="s">
        <v>377</v>
      </c>
      <c r="C826">
        <v>60.99</v>
      </c>
      <c r="D826" s="1">
        <v>45139.718252314815</v>
      </c>
      <c r="E826" t="s">
        <v>25</v>
      </c>
      <c r="F826" t="s">
        <v>64</v>
      </c>
      <c r="G826" t="s">
        <v>1041</v>
      </c>
      <c r="H826" t="s">
        <v>2338</v>
      </c>
      <c r="I826" t="s">
        <v>993</v>
      </c>
      <c r="J826" t="s">
        <v>81</v>
      </c>
      <c r="K826">
        <v>34</v>
      </c>
      <c r="L826" t="s">
        <v>89</v>
      </c>
      <c r="M826">
        <v>58</v>
      </c>
      <c r="N826">
        <v>1</v>
      </c>
      <c r="O826">
        <v>7281.46</v>
      </c>
      <c r="P826" s="1">
        <v>45600.338784722226</v>
      </c>
      <c r="Q826">
        <v>17</v>
      </c>
      <c r="R826" t="s">
        <v>32</v>
      </c>
      <c r="S826">
        <v>-0.81043611017221695</v>
      </c>
      <c r="T826" t="b">
        <v>0</v>
      </c>
      <c r="U826" t="b">
        <v>0</v>
      </c>
      <c r="V826" t="b">
        <f t="shared" si="24"/>
        <v>1</v>
      </c>
      <c r="W826">
        <v>0</v>
      </c>
      <c r="Y826">
        <f t="shared" si="25"/>
        <v>0</v>
      </c>
    </row>
    <row r="827" spans="1:25" x14ac:dyDescent="0.3">
      <c r="A827" t="s">
        <v>2339</v>
      </c>
      <c r="B827" t="s">
        <v>817</v>
      </c>
      <c r="C827">
        <v>408.19</v>
      </c>
      <c r="D827" s="1">
        <v>45275.700092592589</v>
      </c>
      <c r="E827" t="s">
        <v>25</v>
      </c>
      <c r="F827" t="s">
        <v>41</v>
      </c>
      <c r="G827" t="s">
        <v>683</v>
      </c>
      <c r="H827" t="s">
        <v>2340</v>
      </c>
      <c r="I827" t="s">
        <v>871</v>
      </c>
      <c r="J827" t="s">
        <v>81</v>
      </c>
      <c r="K827">
        <v>26</v>
      </c>
      <c r="L827" t="s">
        <v>89</v>
      </c>
      <c r="M827">
        <v>241</v>
      </c>
      <c r="N827">
        <v>1</v>
      </c>
      <c r="O827">
        <v>6847.47</v>
      </c>
      <c r="P827" s="1">
        <v>45600.339224537034</v>
      </c>
      <c r="Q827">
        <v>16</v>
      </c>
      <c r="R827" t="s">
        <v>54</v>
      </c>
      <c r="S827">
        <v>0.37882392611877802</v>
      </c>
      <c r="T827" t="b">
        <v>0</v>
      </c>
      <c r="U827" t="b">
        <v>0</v>
      </c>
      <c r="V827" t="b">
        <f t="shared" si="24"/>
        <v>1</v>
      </c>
      <c r="W827">
        <v>0</v>
      </c>
      <c r="Y827">
        <f t="shared" si="25"/>
        <v>0</v>
      </c>
    </row>
    <row r="828" spans="1:25" x14ac:dyDescent="0.3">
      <c r="A828" t="s">
        <v>2341</v>
      </c>
      <c r="B828" t="s">
        <v>1394</v>
      </c>
      <c r="C828">
        <v>524.6</v>
      </c>
      <c r="D828" s="1">
        <v>45023.7344212963</v>
      </c>
      <c r="E828" t="s">
        <v>25</v>
      </c>
      <c r="F828" t="s">
        <v>519</v>
      </c>
      <c r="G828" t="s">
        <v>1568</v>
      </c>
      <c r="H828" t="s">
        <v>576</v>
      </c>
      <c r="I828" t="s">
        <v>53</v>
      </c>
      <c r="J828" t="s">
        <v>81</v>
      </c>
      <c r="K828">
        <v>58</v>
      </c>
      <c r="L828" t="s">
        <v>31</v>
      </c>
      <c r="M828">
        <v>76</v>
      </c>
      <c r="N828">
        <v>1</v>
      </c>
      <c r="O828">
        <v>13017.7</v>
      </c>
      <c r="P828" s="1">
        <v>45600.340115740742</v>
      </c>
      <c r="Q828">
        <v>17</v>
      </c>
      <c r="R828" t="s">
        <v>54</v>
      </c>
      <c r="S828">
        <v>0.77756171651231198</v>
      </c>
      <c r="T828" t="b">
        <v>0</v>
      </c>
      <c r="U828" t="b">
        <v>0</v>
      </c>
      <c r="V828" t="b">
        <f t="shared" si="24"/>
        <v>1</v>
      </c>
      <c r="W828">
        <v>0</v>
      </c>
      <c r="Y828">
        <f t="shared" si="25"/>
        <v>0</v>
      </c>
    </row>
    <row r="829" spans="1:25" x14ac:dyDescent="0.3">
      <c r="A829" t="s">
        <v>2342</v>
      </c>
      <c r="B829" t="s">
        <v>2343</v>
      </c>
      <c r="C829">
        <v>108.96</v>
      </c>
      <c r="D829" s="1">
        <v>45209.758414351854</v>
      </c>
      <c r="E829" t="s">
        <v>25</v>
      </c>
      <c r="F829" t="s">
        <v>191</v>
      </c>
      <c r="G829" t="s">
        <v>2344</v>
      </c>
      <c r="H829" t="s">
        <v>2219</v>
      </c>
      <c r="I829" t="s">
        <v>285</v>
      </c>
      <c r="J829" t="s">
        <v>30</v>
      </c>
      <c r="K829">
        <v>26</v>
      </c>
      <c r="L829" t="s">
        <v>46</v>
      </c>
      <c r="M829">
        <v>247</v>
      </c>
      <c r="N829">
        <v>1</v>
      </c>
      <c r="O829">
        <v>7597.66</v>
      </c>
      <c r="P829" s="1">
        <v>45600.337962962964</v>
      </c>
      <c r="Q829">
        <v>18</v>
      </c>
      <c r="R829" t="s">
        <v>32</v>
      </c>
      <c r="S829">
        <v>-0.64612503891392503</v>
      </c>
      <c r="T829" t="b">
        <v>0</v>
      </c>
      <c r="U829" t="b">
        <v>0</v>
      </c>
      <c r="V829" t="b">
        <f t="shared" si="24"/>
        <v>1</v>
      </c>
      <c r="W829">
        <v>0</v>
      </c>
      <c r="Y829">
        <f t="shared" si="25"/>
        <v>0</v>
      </c>
    </row>
    <row r="830" spans="1:25" x14ac:dyDescent="0.3">
      <c r="A830" t="s">
        <v>2345</v>
      </c>
      <c r="B830" t="s">
        <v>905</v>
      </c>
      <c r="C830">
        <v>70.03</v>
      </c>
      <c r="D830" s="1">
        <v>45278.773993055554</v>
      </c>
      <c r="E830" t="s">
        <v>25</v>
      </c>
      <c r="F830" t="s">
        <v>92</v>
      </c>
      <c r="G830" t="s">
        <v>2346</v>
      </c>
      <c r="H830" t="s">
        <v>2057</v>
      </c>
      <c r="I830" t="s">
        <v>101</v>
      </c>
      <c r="J830" t="s">
        <v>81</v>
      </c>
      <c r="K830">
        <v>63</v>
      </c>
      <c r="L830" t="s">
        <v>82</v>
      </c>
      <c r="M830">
        <v>49</v>
      </c>
      <c r="N830">
        <v>1</v>
      </c>
      <c r="O830">
        <v>7330.31</v>
      </c>
      <c r="P830" s="1">
        <v>45600.338831018518</v>
      </c>
      <c r="Q830">
        <v>18</v>
      </c>
      <c r="R830" t="s">
        <v>47</v>
      </c>
      <c r="S830">
        <v>-0.77947150554067701</v>
      </c>
      <c r="T830" t="b">
        <v>0</v>
      </c>
      <c r="U830" t="b">
        <v>0</v>
      </c>
      <c r="V830" t="b">
        <f t="shared" si="24"/>
        <v>1</v>
      </c>
      <c r="W830">
        <v>0</v>
      </c>
      <c r="Y830">
        <f t="shared" si="25"/>
        <v>0</v>
      </c>
    </row>
    <row r="831" spans="1:25" x14ac:dyDescent="0.3">
      <c r="A831" t="s">
        <v>2347</v>
      </c>
      <c r="B831" t="s">
        <v>1109</v>
      </c>
      <c r="C831">
        <v>124.84</v>
      </c>
      <c r="D831" s="1">
        <v>45191.739374999997</v>
      </c>
      <c r="E831" t="s">
        <v>25</v>
      </c>
      <c r="F831" t="s">
        <v>120</v>
      </c>
      <c r="G831" t="s">
        <v>1161</v>
      </c>
      <c r="H831" t="s">
        <v>516</v>
      </c>
      <c r="I831" t="s">
        <v>280</v>
      </c>
      <c r="J831" t="s">
        <v>45</v>
      </c>
      <c r="K831">
        <v>52</v>
      </c>
      <c r="L831" t="s">
        <v>82</v>
      </c>
      <c r="M831">
        <v>79</v>
      </c>
      <c r="N831">
        <v>1</v>
      </c>
      <c r="O831">
        <v>6711.78</v>
      </c>
      <c r="P831" s="1">
        <v>45600.341296296298</v>
      </c>
      <c r="Q831">
        <v>17</v>
      </c>
      <c r="R831" t="s">
        <v>54</v>
      </c>
      <c r="S831">
        <v>-0.59173146352135297</v>
      </c>
      <c r="T831" t="b">
        <v>0</v>
      </c>
      <c r="U831" t="b">
        <v>0</v>
      </c>
      <c r="V831" t="b">
        <f t="shared" si="24"/>
        <v>1</v>
      </c>
      <c r="W831">
        <v>0</v>
      </c>
      <c r="Y831">
        <f t="shared" si="25"/>
        <v>0</v>
      </c>
    </row>
    <row r="832" spans="1:25" x14ac:dyDescent="0.3">
      <c r="A832" t="s">
        <v>2348</v>
      </c>
      <c r="B832" t="s">
        <v>1006</v>
      </c>
      <c r="C832">
        <v>324.04000000000002</v>
      </c>
      <c r="D832" s="1">
        <v>45112.700752314813</v>
      </c>
      <c r="E832" t="s">
        <v>25</v>
      </c>
      <c r="F832" t="s">
        <v>314</v>
      </c>
      <c r="G832" t="s">
        <v>324</v>
      </c>
      <c r="H832" t="s">
        <v>2349</v>
      </c>
      <c r="I832" t="s">
        <v>182</v>
      </c>
      <c r="J832" t="s">
        <v>30</v>
      </c>
      <c r="K832">
        <v>54</v>
      </c>
      <c r="L832" t="s">
        <v>82</v>
      </c>
      <c r="M832">
        <v>30</v>
      </c>
      <c r="N832">
        <v>1</v>
      </c>
      <c r="O832">
        <v>2248.06</v>
      </c>
      <c r="P832" s="1">
        <v>45600.338969907411</v>
      </c>
      <c r="Q832">
        <v>16</v>
      </c>
      <c r="R832" t="s">
        <v>74</v>
      </c>
      <c r="S832">
        <v>9.0585930571868395E-2</v>
      </c>
      <c r="T832" t="b">
        <v>0</v>
      </c>
      <c r="U832" t="b">
        <v>0</v>
      </c>
      <c r="V832" t="b">
        <f t="shared" si="24"/>
        <v>1</v>
      </c>
      <c r="W832">
        <v>0</v>
      </c>
      <c r="Y832">
        <f t="shared" si="25"/>
        <v>0</v>
      </c>
    </row>
    <row r="833" spans="1:25" x14ac:dyDescent="0.3">
      <c r="A833" t="s">
        <v>2350</v>
      </c>
      <c r="B833" t="s">
        <v>1213</v>
      </c>
      <c r="C833">
        <v>39.69</v>
      </c>
      <c r="D833" s="1">
        <v>45040.719756944447</v>
      </c>
      <c r="E833" t="s">
        <v>25</v>
      </c>
      <c r="F833" t="s">
        <v>131</v>
      </c>
      <c r="G833" t="s">
        <v>1447</v>
      </c>
      <c r="H833" t="s">
        <v>1490</v>
      </c>
      <c r="I833" t="s">
        <v>561</v>
      </c>
      <c r="J833" t="s">
        <v>45</v>
      </c>
      <c r="K833">
        <v>70</v>
      </c>
      <c r="L833" t="s">
        <v>82</v>
      </c>
      <c r="M833">
        <v>163</v>
      </c>
      <c r="N833">
        <v>1</v>
      </c>
      <c r="O833">
        <v>3524.68</v>
      </c>
      <c r="P833" s="1">
        <v>45600.338703703703</v>
      </c>
      <c r="Q833">
        <v>17</v>
      </c>
      <c r="R833" t="s">
        <v>47</v>
      </c>
      <c r="S833">
        <v>-0.88339474719122102</v>
      </c>
      <c r="T833" t="b">
        <v>0</v>
      </c>
      <c r="U833" t="b">
        <v>0</v>
      </c>
      <c r="V833" t="b">
        <f t="shared" si="24"/>
        <v>1</v>
      </c>
      <c r="W833">
        <v>0</v>
      </c>
      <c r="Y833">
        <f t="shared" si="25"/>
        <v>0</v>
      </c>
    </row>
    <row r="834" spans="1:25" x14ac:dyDescent="0.3">
      <c r="A834" t="s">
        <v>2351</v>
      </c>
      <c r="B834" t="s">
        <v>1242</v>
      </c>
      <c r="C834">
        <v>157.69999999999999</v>
      </c>
      <c r="D834" s="1">
        <v>45261.728645833333</v>
      </c>
      <c r="E834" t="s">
        <v>57</v>
      </c>
      <c r="F834" t="s">
        <v>309</v>
      </c>
      <c r="G834" t="s">
        <v>1944</v>
      </c>
      <c r="H834" t="s">
        <v>907</v>
      </c>
      <c r="I834" t="s">
        <v>73</v>
      </c>
      <c r="J834" t="s">
        <v>81</v>
      </c>
      <c r="K834">
        <v>58</v>
      </c>
      <c r="L834" t="s">
        <v>89</v>
      </c>
      <c r="M834">
        <v>46</v>
      </c>
      <c r="N834">
        <v>1</v>
      </c>
      <c r="O834">
        <v>8332.58</v>
      </c>
      <c r="P834" s="1">
        <v>45600.34097222222</v>
      </c>
      <c r="Q834">
        <v>17</v>
      </c>
      <c r="R834" t="s">
        <v>54</v>
      </c>
      <c r="S834">
        <v>-0.479176495800955</v>
      </c>
      <c r="T834" t="b">
        <v>0</v>
      </c>
      <c r="U834" t="b">
        <v>0</v>
      </c>
      <c r="V834" t="b">
        <f t="shared" si="24"/>
        <v>1</v>
      </c>
      <c r="W834">
        <v>0</v>
      </c>
      <c r="Y834">
        <f t="shared" si="25"/>
        <v>0</v>
      </c>
    </row>
    <row r="835" spans="1:25" x14ac:dyDescent="0.3">
      <c r="A835" t="s">
        <v>2352</v>
      </c>
      <c r="B835" t="s">
        <v>1065</v>
      </c>
      <c r="C835">
        <v>81.27</v>
      </c>
      <c r="D835" s="1">
        <v>45237.692060185182</v>
      </c>
      <c r="E835" t="s">
        <v>57</v>
      </c>
      <c r="F835" t="s">
        <v>70</v>
      </c>
      <c r="G835" t="s">
        <v>2353</v>
      </c>
      <c r="H835" t="s">
        <v>1966</v>
      </c>
      <c r="I835" t="s">
        <v>280</v>
      </c>
      <c r="J835" t="s">
        <v>45</v>
      </c>
      <c r="K835">
        <v>22</v>
      </c>
      <c r="L835" t="s">
        <v>46</v>
      </c>
      <c r="M835">
        <v>68</v>
      </c>
      <c r="N835">
        <v>1</v>
      </c>
      <c r="O835">
        <v>1814.48</v>
      </c>
      <c r="P835" s="1">
        <v>45600.340821759259</v>
      </c>
      <c r="Q835">
        <v>16</v>
      </c>
      <c r="R835" t="s">
        <v>32</v>
      </c>
      <c r="S835">
        <v>-0.74097126703863003</v>
      </c>
      <c r="T835" t="b">
        <v>0</v>
      </c>
      <c r="U835" t="b">
        <v>0</v>
      </c>
      <c r="V835" t="b">
        <f t="shared" ref="V835:V898" si="26">ISLOGICAL(T835)</f>
        <v>1</v>
      </c>
      <c r="W835">
        <v>0</v>
      </c>
      <c r="Y835">
        <f t="shared" ref="Y835:Y898" si="27">--T835</f>
        <v>0</v>
      </c>
    </row>
    <row r="836" spans="1:25" x14ac:dyDescent="0.3">
      <c r="A836" t="s">
        <v>2354</v>
      </c>
      <c r="B836" t="s">
        <v>542</v>
      </c>
      <c r="C836">
        <v>193.82</v>
      </c>
      <c r="D836" s="1">
        <v>45036.744976851849</v>
      </c>
      <c r="E836" t="s">
        <v>25</v>
      </c>
      <c r="F836" t="s">
        <v>304</v>
      </c>
      <c r="G836" t="s">
        <v>915</v>
      </c>
      <c r="H836" t="s">
        <v>1682</v>
      </c>
      <c r="I836" t="s">
        <v>577</v>
      </c>
      <c r="J836" t="s">
        <v>81</v>
      </c>
      <c r="K836">
        <v>37</v>
      </c>
      <c r="L836" t="s">
        <v>89</v>
      </c>
      <c r="M836">
        <v>176</v>
      </c>
      <c r="N836">
        <v>1</v>
      </c>
      <c r="O836">
        <v>3886.77</v>
      </c>
      <c r="P836" s="1">
        <v>45600.341770833336</v>
      </c>
      <c r="Q836">
        <v>17</v>
      </c>
      <c r="R836" t="s">
        <v>141</v>
      </c>
      <c r="S836">
        <v>-0.35545508879971399</v>
      </c>
      <c r="T836" t="b">
        <v>0</v>
      </c>
      <c r="U836" t="b">
        <v>0</v>
      </c>
      <c r="V836" t="b">
        <f t="shared" si="26"/>
        <v>1</v>
      </c>
      <c r="W836">
        <v>0</v>
      </c>
      <c r="Y836">
        <f t="shared" si="27"/>
        <v>0</v>
      </c>
    </row>
    <row r="837" spans="1:25" x14ac:dyDescent="0.3">
      <c r="A837" t="s">
        <v>2355</v>
      </c>
      <c r="B837" t="s">
        <v>1940</v>
      </c>
      <c r="C837">
        <v>16.73</v>
      </c>
      <c r="D837" s="1">
        <v>45260.742083333331</v>
      </c>
      <c r="E837" t="s">
        <v>25</v>
      </c>
      <c r="F837" t="s">
        <v>309</v>
      </c>
      <c r="G837" t="s">
        <v>1511</v>
      </c>
      <c r="H837" t="s">
        <v>976</v>
      </c>
      <c r="I837" t="s">
        <v>167</v>
      </c>
      <c r="J837" t="s">
        <v>45</v>
      </c>
      <c r="K837">
        <v>79</v>
      </c>
      <c r="L837" t="s">
        <v>82</v>
      </c>
      <c r="M837">
        <v>165</v>
      </c>
      <c r="N837">
        <v>1</v>
      </c>
      <c r="O837">
        <v>7591.13</v>
      </c>
      <c r="P837" s="1">
        <v>45600.338935185187</v>
      </c>
      <c r="Q837">
        <v>17</v>
      </c>
      <c r="R837" t="s">
        <v>141</v>
      </c>
      <c r="S837">
        <v>-0.96203936249433497</v>
      </c>
      <c r="T837" t="b">
        <v>0</v>
      </c>
      <c r="U837" t="b">
        <v>0</v>
      </c>
      <c r="V837" t="b">
        <f t="shared" si="26"/>
        <v>1</v>
      </c>
      <c r="W837">
        <v>0</v>
      </c>
      <c r="Y837">
        <f t="shared" si="27"/>
        <v>0</v>
      </c>
    </row>
    <row r="838" spans="1:25" x14ac:dyDescent="0.3">
      <c r="A838" t="s">
        <v>2356</v>
      </c>
      <c r="B838" t="s">
        <v>501</v>
      </c>
      <c r="C838">
        <v>474.05</v>
      </c>
      <c r="D838" s="1">
        <v>45148.771261574075</v>
      </c>
      <c r="E838" t="s">
        <v>25</v>
      </c>
      <c r="F838" t="s">
        <v>236</v>
      </c>
      <c r="G838" t="s">
        <v>1950</v>
      </c>
      <c r="H838" t="s">
        <v>1923</v>
      </c>
      <c r="I838" t="s">
        <v>1013</v>
      </c>
      <c r="J838" t="s">
        <v>30</v>
      </c>
      <c r="K838">
        <v>57</v>
      </c>
      <c r="L838" t="s">
        <v>82</v>
      </c>
      <c r="M838">
        <v>214</v>
      </c>
      <c r="N838">
        <v>1</v>
      </c>
      <c r="O838">
        <v>1484.31</v>
      </c>
      <c r="P838" s="1">
        <v>45600.340810185182</v>
      </c>
      <c r="Q838">
        <v>18</v>
      </c>
      <c r="R838" t="s">
        <v>141</v>
      </c>
      <c r="S838">
        <v>0.60441340189678805</v>
      </c>
      <c r="T838" t="b">
        <v>0</v>
      </c>
      <c r="U838" t="b">
        <v>0</v>
      </c>
      <c r="V838" t="b">
        <f t="shared" si="26"/>
        <v>1</v>
      </c>
      <c r="W838">
        <v>0</v>
      </c>
      <c r="Y838">
        <f t="shared" si="27"/>
        <v>0</v>
      </c>
    </row>
    <row r="839" spans="1:25" x14ac:dyDescent="0.3">
      <c r="A839" t="s">
        <v>2357</v>
      </c>
      <c r="B839" t="s">
        <v>2358</v>
      </c>
      <c r="C839">
        <v>39.21</v>
      </c>
      <c r="D839" s="1">
        <v>45056.677442129629</v>
      </c>
      <c r="E839" t="s">
        <v>25</v>
      </c>
      <c r="F839" t="s">
        <v>185</v>
      </c>
      <c r="G839" t="s">
        <v>791</v>
      </c>
      <c r="H839" t="s">
        <v>2359</v>
      </c>
      <c r="I839" t="s">
        <v>495</v>
      </c>
      <c r="J839" t="s">
        <v>30</v>
      </c>
      <c r="K839">
        <v>66</v>
      </c>
      <c r="L839" t="s">
        <v>31</v>
      </c>
      <c r="M839">
        <v>245</v>
      </c>
      <c r="N839">
        <v>4</v>
      </c>
      <c r="O839">
        <v>9385.57</v>
      </c>
      <c r="P839" s="1">
        <v>45600.341574074075</v>
      </c>
      <c r="Q839">
        <v>16</v>
      </c>
      <c r="R839" t="s">
        <v>74</v>
      </c>
      <c r="S839">
        <v>-0.88503888549024101</v>
      </c>
      <c r="T839" t="b">
        <v>0</v>
      </c>
      <c r="U839" t="b">
        <v>1</v>
      </c>
      <c r="V839" t="b">
        <f t="shared" si="26"/>
        <v>1</v>
      </c>
      <c r="W839">
        <v>1</v>
      </c>
      <c r="Y839">
        <f t="shared" si="27"/>
        <v>0</v>
      </c>
    </row>
    <row r="840" spans="1:25" x14ac:dyDescent="0.3">
      <c r="A840" t="s">
        <v>2360</v>
      </c>
      <c r="B840" t="s">
        <v>416</v>
      </c>
      <c r="C840">
        <v>637.75</v>
      </c>
      <c r="D840" s="1">
        <v>45131.671585648146</v>
      </c>
      <c r="E840" t="s">
        <v>25</v>
      </c>
      <c r="F840" t="s">
        <v>336</v>
      </c>
      <c r="G840" t="s">
        <v>426</v>
      </c>
      <c r="H840" t="s">
        <v>2361</v>
      </c>
      <c r="I840" t="s">
        <v>178</v>
      </c>
      <c r="J840" t="s">
        <v>81</v>
      </c>
      <c r="K840">
        <v>79</v>
      </c>
      <c r="L840" t="s">
        <v>82</v>
      </c>
      <c r="M840">
        <v>152</v>
      </c>
      <c r="N840">
        <v>1</v>
      </c>
      <c r="O840">
        <v>4202.92</v>
      </c>
      <c r="P840" s="1">
        <v>45600.339479166665</v>
      </c>
      <c r="Q840">
        <v>16</v>
      </c>
      <c r="R840" t="s">
        <v>47</v>
      </c>
      <c r="S840">
        <v>1.165133067625</v>
      </c>
      <c r="T840" t="b">
        <v>0</v>
      </c>
      <c r="U840" t="b">
        <v>0</v>
      </c>
      <c r="V840" t="b">
        <f t="shared" si="26"/>
        <v>1</v>
      </c>
      <c r="W840">
        <v>0</v>
      </c>
      <c r="Y840">
        <f t="shared" si="27"/>
        <v>0</v>
      </c>
    </row>
    <row r="841" spans="1:25" x14ac:dyDescent="0.3">
      <c r="A841" t="s">
        <v>2362</v>
      </c>
      <c r="B841" t="s">
        <v>1119</v>
      </c>
      <c r="C841">
        <v>153.59</v>
      </c>
      <c r="D841" s="1">
        <v>45050.738877314812</v>
      </c>
      <c r="E841" t="s">
        <v>57</v>
      </c>
      <c r="F841" t="s">
        <v>608</v>
      </c>
      <c r="G841" t="s">
        <v>1142</v>
      </c>
      <c r="H841" t="s">
        <v>2363</v>
      </c>
      <c r="I841" t="s">
        <v>366</v>
      </c>
      <c r="J841" t="s">
        <v>81</v>
      </c>
      <c r="K841">
        <v>66</v>
      </c>
      <c r="L841" t="s">
        <v>82</v>
      </c>
      <c r="M841">
        <v>174</v>
      </c>
      <c r="N841">
        <v>1</v>
      </c>
      <c r="O841">
        <v>4813.12</v>
      </c>
      <c r="P841" s="1">
        <v>45600.340081018519</v>
      </c>
      <c r="Q841">
        <v>17</v>
      </c>
      <c r="R841" t="s">
        <v>141</v>
      </c>
      <c r="S841">
        <v>-0.49325442998631203</v>
      </c>
      <c r="T841" t="b">
        <v>0</v>
      </c>
      <c r="U841" t="b">
        <v>0</v>
      </c>
      <c r="V841" t="b">
        <f t="shared" si="26"/>
        <v>1</v>
      </c>
      <c r="W841">
        <v>0</v>
      </c>
      <c r="Y841">
        <f t="shared" si="27"/>
        <v>0</v>
      </c>
    </row>
    <row r="842" spans="1:25" x14ac:dyDescent="0.3">
      <c r="A842" t="s">
        <v>2364</v>
      </c>
      <c r="B842" t="s">
        <v>2365</v>
      </c>
      <c r="C842">
        <v>186.6</v>
      </c>
      <c r="D842" s="1">
        <v>45224.668935185182</v>
      </c>
      <c r="E842" t="s">
        <v>25</v>
      </c>
      <c r="F842" t="s">
        <v>268</v>
      </c>
      <c r="G842" t="s">
        <v>2129</v>
      </c>
      <c r="H842" t="s">
        <v>2366</v>
      </c>
      <c r="I842" t="s">
        <v>585</v>
      </c>
      <c r="J842" t="s">
        <v>81</v>
      </c>
      <c r="K842">
        <v>18</v>
      </c>
      <c r="L842" t="s">
        <v>46</v>
      </c>
      <c r="M842">
        <v>139</v>
      </c>
      <c r="N842">
        <v>1</v>
      </c>
      <c r="O842">
        <v>9716.68</v>
      </c>
      <c r="P842" s="1">
        <v>45600.34070601852</v>
      </c>
      <c r="Q842">
        <v>16</v>
      </c>
      <c r="R842" t="s">
        <v>74</v>
      </c>
      <c r="S842">
        <v>-0.38018566904746998</v>
      </c>
      <c r="T842" t="b">
        <v>0</v>
      </c>
      <c r="U842" t="b">
        <v>0</v>
      </c>
      <c r="V842" t="b">
        <f t="shared" si="26"/>
        <v>1</v>
      </c>
      <c r="W842">
        <v>0</v>
      </c>
      <c r="Y842">
        <f t="shared" si="27"/>
        <v>0</v>
      </c>
    </row>
    <row r="843" spans="1:25" x14ac:dyDescent="0.3">
      <c r="A843" t="s">
        <v>2367</v>
      </c>
      <c r="B843" t="s">
        <v>1127</v>
      </c>
      <c r="C843">
        <v>644.08000000000004</v>
      </c>
      <c r="D843" s="1">
        <v>45054.728472222225</v>
      </c>
      <c r="E843" t="s">
        <v>25</v>
      </c>
      <c r="F843" t="s">
        <v>58</v>
      </c>
      <c r="G843" t="s">
        <v>2368</v>
      </c>
      <c r="H843" t="s">
        <v>1275</v>
      </c>
      <c r="I843" t="s">
        <v>775</v>
      </c>
      <c r="J843" t="s">
        <v>45</v>
      </c>
      <c r="K843">
        <v>24</v>
      </c>
      <c r="L843" t="s">
        <v>46</v>
      </c>
      <c r="M843">
        <v>55</v>
      </c>
      <c r="N843">
        <v>1</v>
      </c>
      <c r="O843">
        <v>1980.62</v>
      </c>
      <c r="P843" s="1">
        <v>45600.338402777779</v>
      </c>
      <c r="Q843">
        <v>17</v>
      </c>
      <c r="R843" t="s">
        <v>47</v>
      </c>
      <c r="S843">
        <v>1.1868151414433199</v>
      </c>
      <c r="T843" t="b">
        <v>0</v>
      </c>
      <c r="U843" t="b">
        <v>0</v>
      </c>
      <c r="V843" t="b">
        <f t="shared" si="26"/>
        <v>1</v>
      </c>
      <c r="W843">
        <v>0</v>
      </c>
      <c r="Y843">
        <f t="shared" si="27"/>
        <v>0</v>
      </c>
    </row>
    <row r="844" spans="1:25" x14ac:dyDescent="0.3">
      <c r="A844" t="s">
        <v>2369</v>
      </c>
      <c r="B844" t="s">
        <v>1242</v>
      </c>
      <c r="C844">
        <v>226.66</v>
      </c>
      <c r="D844" s="1">
        <v>45287.788344907407</v>
      </c>
      <c r="E844" t="s">
        <v>25</v>
      </c>
      <c r="F844" t="s">
        <v>131</v>
      </c>
      <c r="G844" t="s">
        <v>2370</v>
      </c>
      <c r="H844" t="s">
        <v>2038</v>
      </c>
      <c r="I844" t="s">
        <v>366</v>
      </c>
      <c r="J844" t="s">
        <v>81</v>
      </c>
      <c r="K844">
        <v>41</v>
      </c>
      <c r="L844" t="s">
        <v>31</v>
      </c>
      <c r="M844">
        <v>168</v>
      </c>
      <c r="N844">
        <v>1</v>
      </c>
      <c r="O844">
        <v>10216.25</v>
      </c>
      <c r="P844" s="1">
        <v>45600.33871527778</v>
      </c>
      <c r="Q844">
        <v>18</v>
      </c>
      <c r="R844" t="s">
        <v>74</v>
      </c>
      <c r="S844">
        <v>-0.242968626841775</v>
      </c>
      <c r="T844" t="b">
        <v>0</v>
      </c>
      <c r="U844" t="b">
        <v>0</v>
      </c>
      <c r="V844" t="b">
        <f t="shared" si="26"/>
        <v>1</v>
      </c>
      <c r="W844">
        <v>0</v>
      </c>
      <c r="Y844">
        <f t="shared" si="27"/>
        <v>0</v>
      </c>
    </row>
    <row r="845" spans="1:25" x14ac:dyDescent="0.3">
      <c r="A845" t="s">
        <v>2371</v>
      </c>
      <c r="B845" t="s">
        <v>476</v>
      </c>
      <c r="C845">
        <v>305</v>
      </c>
      <c r="D845" s="1">
        <v>45211.722569444442</v>
      </c>
      <c r="E845" t="s">
        <v>25</v>
      </c>
      <c r="F845" t="s">
        <v>438</v>
      </c>
      <c r="G845" t="s">
        <v>2372</v>
      </c>
      <c r="H845" t="s">
        <v>1480</v>
      </c>
      <c r="I845" t="s">
        <v>375</v>
      </c>
      <c r="J845" t="s">
        <v>30</v>
      </c>
      <c r="K845">
        <v>22</v>
      </c>
      <c r="L845" t="s">
        <v>46</v>
      </c>
      <c r="M845">
        <v>222</v>
      </c>
      <c r="N845">
        <v>1</v>
      </c>
      <c r="O845">
        <v>944.83</v>
      </c>
      <c r="P845" s="1">
        <v>45600.338078703702</v>
      </c>
      <c r="Q845">
        <v>17</v>
      </c>
      <c r="R845" t="s">
        <v>141</v>
      </c>
      <c r="S845">
        <v>2.5368444710749199E-2</v>
      </c>
      <c r="T845" t="b">
        <v>0</v>
      </c>
      <c r="U845" t="b">
        <v>0</v>
      </c>
      <c r="V845" t="b">
        <f t="shared" si="26"/>
        <v>1</v>
      </c>
      <c r="W845">
        <v>0</v>
      </c>
      <c r="Y845">
        <f t="shared" si="27"/>
        <v>0</v>
      </c>
    </row>
    <row r="846" spans="1:25" x14ac:dyDescent="0.3">
      <c r="A846" t="s">
        <v>2373</v>
      </c>
      <c r="B846" t="s">
        <v>175</v>
      </c>
      <c r="C846">
        <v>233.1</v>
      </c>
      <c r="D846" s="1">
        <v>44942.728333333333</v>
      </c>
      <c r="E846" t="s">
        <v>57</v>
      </c>
      <c r="F846" t="s">
        <v>92</v>
      </c>
      <c r="G846" t="s">
        <v>2374</v>
      </c>
      <c r="H846" t="s">
        <v>2142</v>
      </c>
      <c r="I846" t="s">
        <v>1362</v>
      </c>
      <c r="J846" t="s">
        <v>81</v>
      </c>
      <c r="K846">
        <v>42</v>
      </c>
      <c r="L846" t="s">
        <v>31</v>
      </c>
      <c r="M846">
        <v>37</v>
      </c>
      <c r="N846">
        <v>1</v>
      </c>
      <c r="O846">
        <v>7469.2</v>
      </c>
      <c r="P846" s="1">
        <v>45600.341423611113</v>
      </c>
      <c r="Q846">
        <v>17</v>
      </c>
      <c r="R846" t="s">
        <v>47</v>
      </c>
      <c r="S846">
        <v>-0.22090977132992601</v>
      </c>
      <c r="T846" t="b">
        <v>0</v>
      </c>
      <c r="U846" t="b">
        <v>0</v>
      </c>
      <c r="V846" t="b">
        <f t="shared" si="26"/>
        <v>1</v>
      </c>
      <c r="W846">
        <v>0</v>
      </c>
      <c r="Y846">
        <f t="shared" si="27"/>
        <v>0</v>
      </c>
    </row>
    <row r="847" spans="1:25" x14ac:dyDescent="0.3">
      <c r="A847" t="s">
        <v>2375</v>
      </c>
      <c r="B847" t="s">
        <v>591</v>
      </c>
      <c r="C847">
        <v>793.13</v>
      </c>
      <c r="D847" s="1">
        <v>45056.693136574075</v>
      </c>
      <c r="E847" t="s">
        <v>25</v>
      </c>
      <c r="F847" t="s">
        <v>104</v>
      </c>
      <c r="G847" t="s">
        <v>547</v>
      </c>
      <c r="H847" t="s">
        <v>1162</v>
      </c>
      <c r="I847" t="s">
        <v>88</v>
      </c>
      <c r="J847" t="s">
        <v>45</v>
      </c>
      <c r="K847">
        <v>68</v>
      </c>
      <c r="L847" t="s">
        <v>31</v>
      </c>
      <c r="M847">
        <v>76</v>
      </c>
      <c r="N847">
        <v>1</v>
      </c>
      <c r="O847">
        <v>13389.16</v>
      </c>
      <c r="P847" s="1">
        <v>45600.340104166666</v>
      </c>
      <c r="Q847">
        <v>16</v>
      </c>
      <c r="R847" t="s">
        <v>74</v>
      </c>
      <c r="S847">
        <v>1.6973543361701999</v>
      </c>
      <c r="T847" t="b">
        <v>0</v>
      </c>
      <c r="U847" t="b">
        <v>0</v>
      </c>
      <c r="V847" t="b">
        <f t="shared" si="26"/>
        <v>1</v>
      </c>
      <c r="W847">
        <v>0</v>
      </c>
      <c r="Y847">
        <f t="shared" si="27"/>
        <v>0</v>
      </c>
    </row>
    <row r="848" spans="1:25" x14ac:dyDescent="0.3">
      <c r="A848" t="s">
        <v>2376</v>
      </c>
      <c r="B848" t="s">
        <v>1758</v>
      </c>
      <c r="C848">
        <v>224.19</v>
      </c>
      <c r="D848" s="1">
        <v>45190.696273148147</v>
      </c>
      <c r="E848" t="s">
        <v>25</v>
      </c>
      <c r="F848" t="s">
        <v>35</v>
      </c>
      <c r="G848" t="s">
        <v>579</v>
      </c>
      <c r="H848" t="s">
        <v>387</v>
      </c>
      <c r="I848" t="s">
        <v>123</v>
      </c>
      <c r="J848" t="s">
        <v>30</v>
      </c>
      <c r="K848">
        <v>52</v>
      </c>
      <c r="L848" t="s">
        <v>31</v>
      </c>
      <c r="M848">
        <v>93</v>
      </c>
      <c r="N848">
        <v>1</v>
      </c>
      <c r="O848">
        <v>8475.4699999999993</v>
      </c>
      <c r="P848" s="1">
        <v>45600.338587962964</v>
      </c>
      <c r="Q848">
        <v>16</v>
      </c>
      <c r="R848" t="s">
        <v>141</v>
      </c>
      <c r="S848">
        <v>-0.25142908850548101</v>
      </c>
      <c r="T848" t="b">
        <v>0</v>
      </c>
      <c r="U848" t="b">
        <v>0</v>
      </c>
      <c r="V848" t="b">
        <f t="shared" si="26"/>
        <v>1</v>
      </c>
      <c r="W848">
        <v>0</v>
      </c>
      <c r="Y848">
        <f t="shared" si="27"/>
        <v>0</v>
      </c>
    </row>
    <row r="849" spans="1:25" x14ac:dyDescent="0.3">
      <c r="A849" t="s">
        <v>2377</v>
      </c>
      <c r="B849" t="s">
        <v>794</v>
      </c>
      <c r="C849">
        <v>214.83</v>
      </c>
      <c r="D849" s="1">
        <v>45005.758680555555</v>
      </c>
      <c r="E849" t="s">
        <v>57</v>
      </c>
      <c r="F849" t="s">
        <v>268</v>
      </c>
      <c r="G849" t="s">
        <v>2353</v>
      </c>
      <c r="H849" t="s">
        <v>976</v>
      </c>
      <c r="I849" t="s">
        <v>44</v>
      </c>
      <c r="J849" t="s">
        <v>30</v>
      </c>
      <c r="K849">
        <v>23</v>
      </c>
      <c r="L849" t="s">
        <v>46</v>
      </c>
      <c r="M849">
        <v>63</v>
      </c>
      <c r="N849">
        <v>1</v>
      </c>
      <c r="O849">
        <v>991.69</v>
      </c>
      <c r="P849" s="1">
        <v>45600.341493055559</v>
      </c>
      <c r="Q849">
        <v>18</v>
      </c>
      <c r="R849" t="s">
        <v>47</v>
      </c>
      <c r="S849">
        <v>-0.28348978533636798</v>
      </c>
      <c r="T849" t="b">
        <v>0</v>
      </c>
      <c r="U849" t="b">
        <v>0</v>
      </c>
      <c r="V849" t="b">
        <f t="shared" si="26"/>
        <v>1</v>
      </c>
      <c r="W849">
        <v>0</v>
      </c>
      <c r="Y849">
        <f t="shared" si="27"/>
        <v>0</v>
      </c>
    </row>
    <row r="850" spans="1:25" x14ac:dyDescent="0.3">
      <c r="A850" t="s">
        <v>2378</v>
      </c>
      <c r="B850" t="s">
        <v>2379</v>
      </c>
      <c r="C850">
        <v>163.46</v>
      </c>
      <c r="D850" s="1">
        <v>45177.715208333335</v>
      </c>
      <c r="E850" t="s">
        <v>57</v>
      </c>
      <c r="F850" t="s">
        <v>210</v>
      </c>
      <c r="G850" t="s">
        <v>811</v>
      </c>
      <c r="H850" t="s">
        <v>2380</v>
      </c>
      <c r="I850" t="s">
        <v>993</v>
      </c>
      <c r="J850" t="s">
        <v>81</v>
      </c>
      <c r="K850">
        <v>63</v>
      </c>
      <c r="L850" t="s">
        <v>82</v>
      </c>
      <c r="M850">
        <v>111</v>
      </c>
      <c r="N850">
        <v>1</v>
      </c>
      <c r="O850">
        <v>6953.8</v>
      </c>
      <c r="P850" s="1">
        <v>45600.34134259259</v>
      </c>
      <c r="Q850">
        <v>17</v>
      </c>
      <c r="R850" t="s">
        <v>54</v>
      </c>
      <c r="S850">
        <v>-0.45944683621271698</v>
      </c>
      <c r="T850" t="b">
        <v>0</v>
      </c>
      <c r="U850" t="b">
        <v>0</v>
      </c>
      <c r="V850" t="b">
        <f t="shared" si="26"/>
        <v>1</v>
      </c>
      <c r="W850">
        <v>0</v>
      </c>
      <c r="Y850">
        <f t="shared" si="27"/>
        <v>0</v>
      </c>
    </row>
    <row r="851" spans="1:25" x14ac:dyDescent="0.3">
      <c r="A851" t="s">
        <v>2381</v>
      </c>
      <c r="B851" t="s">
        <v>897</v>
      </c>
      <c r="C851">
        <v>194.99</v>
      </c>
      <c r="D851" s="1">
        <v>45261.709374999999</v>
      </c>
      <c r="E851" t="s">
        <v>25</v>
      </c>
      <c r="F851" t="s">
        <v>405</v>
      </c>
      <c r="G851" t="s">
        <v>319</v>
      </c>
      <c r="H851" t="s">
        <v>1162</v>
      </c>
      <c r="I851" t="s">
        <v>361</v>
      </c>
      <c r="J851" t="s">
        <v>81</v>
      </c>
      <c r="K851">
        <v>34</v>
      </c>
      <c r="L851" t="s">
        <v>89</v>
      </c>
      <c r="M851">
        <v>91</v>
      </c>
      <c r="N851">
        <v>1</v>
      </c>
      <c r="O851">
        <v>1370.03</v>
      </c>
      <c r="P851" s="1">
        <v>45600.338773148149</v>
      </c>
      <c r="Q851">
        <v>17</v>
      </c>
      <c r="R851" t="s">
        <v>54</v>
      </c>
      <c r="S851">
        <v>-0.35144750169585298</v>
      </c>
      <c r="T851" t="b">
        <v>0</v>
      </c>
      <c r="U851" t="b">
        <v>0</v>
      </c>
      <c r="V851" t="b">
        <f t="shared" si="26"/>
        <v>1</v>
      </c>
      <c r="W851">
        <v>0</v>
      </c>
      <c r="Y851">
        <f t="shared" si="27"/>
        <v>0</v>
      </c>
    </row>
    <row r="852" spans="1:25" x14ac:dyDescent="0.3">
      <c r="A852" t="s">
        <v>2382</v>
      </c>
      <c r="B852" t="s">
        <v>2383</v>
      </c>
      <c r="C852">
        <v>23.4</v>
      </c>
      <c r="D852" s="1">
        <v>44965.769317129627</v>
      </c>
      <c r="E852" t="s">
        <v>25</v>
      </c>
      <c r="F852" t="s">
        <v>519</v>
      </c>
      <c r="G852" t="s">
        <v>1588</v>
      </c>
      <c r="H852" t="s">
        <v>1494</v>
      </c>
      <c r="I852" t="s">
        <v>1575</v>
      </c>
      <c r="J852" t="s">
        <v>30</v>
      </c>
      <c r="K852">
        <v>46</v>
      </c>
      <c r="L852" t="s">
        <v>31</v>
      </c>
      <c r="M852">
        <v>175</v>
      </c>
      <c r="N852">
        <v>4</v>
      </c>
      <c r="O852">
        <v>14851.28</v>
      </c>
      <c r="P852" s="1">
        <v>45600.338356481479</v>
      </c>
      <c r="Q852">
        <v>18</v>
      </c>
      <c r="R852" t="s">
        <v>74</v>
      </c>
      <c r="S852">
        <v>-0.93919269071420597</v>
      </c>
      <c r="T852" t="b">
        <v>0</v>
      </c>
      <c r="U852" t="b">
        <v>1</v>
      </c>
      <c r="V852" t="b">
        <f t="shared" si="26"/>
        <v>1</v>
      </c>
      <c r="W852">
        <v>1</v>
      </c>
      <c r="Y852">
        <f t="shared" si="27"/>
        <v>0</v>
      </c>
    </row>
    <row r="853" spans="1:25" x14ac:dyDescent="0.3">
      <c r="A853" t="s">
        <v>2384</v>
      </c>
      <c r="B853" t="s">
        <v>2385</v>
      </c>
      <c r="C853">
        <v>227.5</v>
      </c>
      <c r="D853" s="1">
        <v>44998.708020833335</v>
      </c>
      <c r="E853" t="s">
        <v>25</v>
      </c>
      <c r="F853" t="s">
        <v>298</v>
      </c>
      <c r="G853" t="s">
        <v>2260</v>
      </c>
      <c r="H853" t="s">
        <v>221</v>
      </c>
      <c r="I853" t="s">
        <v>301</v>
      </c>
      <c r="J853" t="s">
        <v>45</v>
      </c>
      <c r="K853">
        <v>34</v>
      </c>
      <c r="L853" t="s">
        <v>31</v>
      </c>
      <c r="M853">
        <v>277</v>
      </c>
      <c r="N853">
        <v>1</v>
      </c>
      <c r="O853">
        <v>11505.35</v>
      </c>
      <c r="P853" s="1">
        <v>45600.341377314813</v>
      </c>
      <c r="Q853">
        <v>16</v>
      </c>
      <c r="R853" t="s">
        <v>47</v>
      </c>
      <c r="S853">
        <v>-0.24009138481849099</v>
      </c>
      <c r="T853" t="b">
        <v>0</v>
      </c>
      <c r="U853" t="b">
        <v>0</v>
      </c>
      <c r="V853" t="b">
        <f t="shared" si="26"/>
        <v>1</v>
      </c>
      <c r="W853">
        <v>0</v>
      </c>
      <c r="Y853">
        <f t="shared" si="27"/>
        <v>0</v>
      </c>
    </row>
    <row r="854" spans="1:25" x14ac:dyDescent="0.3">
      <c r="A854" t="s">
        <v>2386</v>
      </c>
      <c r="B854" t="s">
        <v>553</v>
      </c>
      <c r="C854">
        <v>259.89999999999998</v>
      </c>
      <c r="D854" s="1">
        <v>45099.672719907408</v>
      </c>
      <c r="E854" t="s">
        <v>25</v>
      </c>
      <c r="F854" t="s">
        <v>64</v>
      </c>
      <c r="G854" t="s">
        <v>973</v>
      </c>
      <c r="H854" t="s">
        <v>1187</v>
      </c>
      <c r="I854" t="s">
        <v>173</v>
      </c>
      <c r="J854" t="s">
        <v>45</v>
      </c>
      <c r="K854">
        <v>26</v>
      </c>
      <c r="L854" t="s">
        <v>46</v>
      </c>
      <c r="M854">
        <v>100</v>
      </c>
      <c r="N854">
        <v>1</v>
      </c>
      <c r="O854">
        <v>914.28</v>
      </c>
      <c r="P854" s="1">
        <v>45600.338530092595</v>
      </c>
      <c r="Q854">
        <v>16</v>
      </c>
      <c r="R854" t="s">
        <v>141</v>
      </c>
      <c r="S854">
        <v>-0.129112049634653</v>
      </c>
      <c r="T854" t="b">
        <v>0</v>
      </c>
      <c r="U854" t="b">
        <v>0</v>
      </c>
      <c r="V854" t="b">
        <f t="shared" si="26"/>
        <v>1</v>
      </c>
      <c r="W854">
        <v>0</v>
      </c>
      <c r="Y854">
        <f t="shared" si="27"/>
        <v>0</v>
      </c>
    </row>
    <row r="855" spans="1:25" x14ac:dyDescent="0.3">
      <c r="A855" t="s">
        <v>2387</v>
      </c>
      <c r="B855" t="s">
        <v>822</v>
      </c>
      <c r="C855">
        <v>59.51</v>
      </c>
      <c r="D855" s="1">
        <v>45020.67528935185</v>
      </c>
      <c r="E855" t="s">
        <v>57</v>
      </c>
      <c r="F855" t="s">
        <v>336</v>
      </c>
      <c r="G855" t="s">
        <v>1154</v>
      </c>
      <c r="H855" t="s">
        <v>1221</v>
      </c>
      <c r="I855" t="s">
        <v>585</v>
      </c>
      <c r="J855" t="s">
        <v>45</v>
      </c>
      <c r="K855">
        <v>36</v>
      </c>
      <c r="L855" t="s">
        <v>31</v>
      </c>
      <c r="M855">
        <v>55</v>
      </c>
      <c r="N855">
        <v>1</v>
      </c>
      <c r="O855">
        <v>9955.8799999999992</v>
      </c>
      <c r="P855" s="1">
        <v>45600.341874999998</v>
      </c>
      <c r="Q855">
        <v>16</v>
      </c>
      <c r="R855" t="s">
        <v>32</v>
      </c>
      <c r="S855">
        <v>-0.815505536594195</v>
      </c>
      <c r="T855" t="b">
        <v>0</v>
      </c>
      <c r="U855" t="b">
        <v>0</v>
      </c>
      <c r="V855" t="b">
        <f t="shared" si="26"/>
        <v>1</v>
      </c>
      <c r="W855">
        <v>0</v>
      </c>
      <c r="Y855">
        <f t="shared" si="27"/>
        <v>0</v>
      </c>
    </row>
    <row r="856" spans="1:25" x14ac:dyDescent="0.3">
      <c r="A856" t="s">
        <v>2388</v>
      </c>
      <c r="B856" t="s">
        <v>2389</v>
      </c>
      <c r="C856">
        <v>50.63</v>
      </c>
      <c r="D856" s="1">
        <v>45070.681354166663</v>
      </c>
      <c r="E856" t="s">
        <v>25</v>
      </c>
      <c r="F856" t="s">
        <v>137</v>
      </c>
      <c r="G856" t="s">
        <v>603</v>
      </c>
      <c r="H856" t="s">
        <v>360</v>
      </c>
      <c r="I856" t="s">
        <v>427</v>
      </c>
      <c r="J856" t="s">
        <v>45</v>
      </c>
      <c r="K856">
        <v>64</v>
      </c>
      <c r="L856" t="s">
        <v>82</v>
      </c>
      <c r="M856">
        <v>143</v>
      </c>
      <c r="N856">
        <v>1</v>
      </c>
      <c r="O856">
        <v>4732.8100000000004</v>
      </c>
      <c r="P856" s="1">
        <v>45600.341921296298</v>
      </c>
      <c r="Q856">
        <v>16</v>
      </c>
      <c r="R856" t="s">
        <v>74</v>
      </c>
      <c r="S856">
        <v>-0.84592209512606098</v>
      </c>
      <c r="T856" t="b">
        <v>0</v>
      </c>
      <c r="U856" t="b">
        <v>0</v>
      </c>
      <c r="V856" t="b">
        <f t="shared" si="26"/>
        <v>1</v>
      </c>
      <c r="W856">
        <v>0</v>
      </c>
      <c r="Y856">
        <f t="shared" si="27"/>
        <v>0</v>
      </c>
    </row>
    <row r="857" spans="1:25" x14ac:dyDescent="0.3">
      <c r="A857" t="s">
        <v>2390</v>
      </c>
      <c r="B857" t="s">
        <v>393</v>
      </c>
      <c r="C857">
        <v>1074.95</v>
      </c>
      <c r="D857" s="1">
        <v>45079.700729166667</v>
      </c>
      <c r="E857" t="s">
        <v>25</v>
      </c>
      <c r="F857" t="s">
        <v>405</v>
      </c>
      <c r="G857" t="s">
        <v>2183</v>
      </c>
      <c r="H857" t="s">
        <v>2391</v>
      </c>
      <c r="I857" t="s">
        <v>561</v>
      </c>
      <c r="J857" t="s">
        <v>81</v>
      </c>
      <c r="K857">
        <v>20</v>
      </c>
      <c r="L857" t="s">
        <v>46</v>
      </c>
      <c r="M857">
        <v>91</v>
      </c>
      <c r="N857">
        <v>1</v>
      </c>
      <c r="O857">
        <v>530.86</v>
      </c>
      <c r="P857" s="1">
        <v>45600.340254629627</v>
      </c>
      <c r="Q857">
        <v>16</v>
      </c>
      <c r="R857" t="s">
        <v>54</v>
      </c>
      <c r="S857">
        <v>2.6626690349822102</v>
      </c>
      <c r="T857" t="b">
        <v>1</v>
      </c>
      <c r="U857" t="b">
        <v>0</v>
      </c>
      <c r="V857" t="b">
        <f t="shared" si="26"/>
        <v>1</v>
      </c>
      <c r="W857">
        <v>1</v>
      </c>
      <c r="Y857">
        <f t="shared" si="27"/>
        <v>1</v>
      </c>
    </row>
    <row r="858" spans="1:25" x14ac:dyDescent="0.3">
      <c r="A858" t="s">
        <v>2392</v>
      </c>
      <c r="B858" t="s">
        <v>784</v>
      </c>
      <c r="C858">
        <v>112.94</v>
      </c>
      <c r="D858" s="1">
        <v>45254.733182870368</v>
      </c>
      <c r="E858" t="s">
        <v>57</v>
      </c>
      <c r="F858" t="s">
        <v>250</v>
      </c>
      <c r="G858" t="s">
        <v>2393</v>
      </c>
      <c r="H858" t="s">
        <v>2394</v>
      </c>
      <c r="I858" t="s">
        <v>61</v>
      </c>
      <c r="J858" t="s">
        <v>45</v>
      </c>
      <c r="K858">
        <v>73</v>
      </c>
      <c r="L858" t="s">
        <v>82</v>
      </c>
      <c r="M858">
        <v>31</v>
      </c>
      <c r="N858">
        <v>1</v>
      </c>
      <c r="O858">
        <v>3807.84</v>
      </c>
      <c r="P858" s="1">
        <v>45600.338414351849</v>
      </c>
      <c r="Q858">
        <v>17</v>
      </c>
      <c r="R858" t="s">
        <v>54</v>
      </c>
      <c r="S858">
        <v>-0.632492392184552</v>
      </c>
      <c r="T858" t="b">
        <v>0</v>
      </c>
      <c r="U858" t="b">
        <v>0</v>
      </c>
      <c r="V858" t="b">
        <f t="shared" si="26"/>
        <v>1</v>
      </c>
      <c r="W858">
        <v>0</v>
      </c>
      <c r="Y858">
        <f t="shared" si="27"/>
        <v>0</v>
      </c>
    </row>
    <row r="859" spans="1:25" x14ac:dyDescent="0.3">
      <c r="A859" t="s">
        <v>2395</v>
      </c>
      <c r="B859" t="s">
        <v>1370</v>
      </c>
      <c r="C859">
        <v>11.81</v>
      </c>
      <c r="D859" s="1">
        <v>44984.671967592592</v>
      </c>
      <c r="E859" t="s">
        <v>25</v>
      </c>
      <c r="F859" t="s">
        <v>438</v>
      </c>
      <c r="G859" t="s">
        <v>406</v>
      </c>
      <c r="H859" t="s">
        <v>2396</v>
      </c>
      <c r="I859" t="s">
        <v>844</v>
      </c>
      <c r="J859" t="s">
        <v>30</v>
      </c>
      <c r="K859">
        <v>21</v>
      </c>
      <c r="L859" t="s">
        <v>46</v>
      </c>
      <c r="M859">
        <v>131</v>
      </c>
      <c r="N859">
        <v>1</v>
      </c>
      <c r="O859">
        <v>320.25</v>
      </c>
      <c r="P859" s="1">
        <v>45600.338807870372</v>
      </c>
      <c r="Q859">
        <v>16</v>
      </c>
      <c r="R859" t="s">
        <v>47</v>
      </c>
      <c r="S859">
        <v>-0.97889178005928901</v>
      </c>
      <c r="T859" t="b">
        <v>0</v>
      </c>
      <c r="U859" t="b">
        <v>0</v>
      </c>
      <c r="V859" t="b">
        <f t="shared" si="26"/>
        <v>1</v>
      </c>
      <c r="W859">
        <v>0</v>
      </c>
      <c r="Y859">
        <f t="shared" si="27"/>
        <v>0</v>
      </c>
    </row>
    <row r="860" spans="1:25" x14ac:dyDescent="0.3">
      <c r="A860" t="s">
        <v>2397</v>
      </c>
      <c r="B860" t="s">
        <v>1644</v>
      </c>
      <c r="C860">
        <v>329.14</v>
      </c>
      <c r="D860" s="1">
        <v>45244.692847222221</v>
      </c>
      <c r="E860" t="s">
        <v>25</v>
      </c>
      <c r="F860" t="s">
        <v>298</v>
      </c>
      <c r="G860" t="s">
        <v>1405</v>
      </c>
      <c r="H860" t="s">
        <v>2206</v>
      </c>
      <c r="I860" t="s">
        <v>775</v>
      </c>
      <c r="J860" t="s">
        <v>81</v>
      </c>
      <c r="K860">
        <v>55</v>
      </c>
      <c r="L860" t="s">
        <v>31</v>
      </c>
      <c r="M860">
        <v>14</v>
      </c>
      <c r="N860">
        <v>1</v>
      </c>
      <c r="O860">
        <v>12033.92</v>
      </c>
      <c r="P860" s="1">
        <v>45600.339583333334</v>
      </c>
      <c r="Q860">
        <v>16</v>
      </c>
      <c r="R860" t="s">
        <v>32</v>
      </c>
      <c r="S860">
        <v>0.108054899998953</v>
      </c>
      <c r="T860" t="b">
        <v>0</v>
      </c>
      <c r="U860" t="b">
        <v>0</v>
      </c>
      <c r="V860" t="b">
        <f t="shared" si="26"/>
        <v>1</v>
      </c>
      <c r="W860">
        <v>0</v>
      </c>
      <c r="Y860">
        <f t="shared" si="27"/>
        <v>0</v>
      </c>
    </row>
    <row r="861" spans="1:25" x14ac:dyDescent="0.3">
      <c r="A861" t="s">
        <v>2398</v>
      </c>
      <c r="B861" t="s">
        <v>670</v>
      </c>
      <c r="C861">
        <v>154.24</v>
      </c>
      <c r="D861" s="1">
        <v>45236.680219907408</v>
      </c>
      <c r="E861" t="s">
        <v>25</v>
      </c>
      <c r="F861" t="s">
        <v>41</v>
      </c>
      <c r="G861" t="s">
        <v>878</v>
      </c>
      <c r="H861" t="s">
        <v>1490</v>
      </c>
      <c r="I861" t="s">
        <v>487</v>
      </c>
      <c r="J861" t="s">
        <v>30</v>
      </c>
      <c r="K861">
        <v>61</v>
      </c>
      <c r="L861" t="s">
        <v>82</v>
      </c>
      <c r="M861">
        <v>82</v>
      </c>
      <c r="N861">
        <v>1</v>
      </c>
      <c r="O861">
        <v>6109.55</v>
      </c>
      <c r="P861" s="1">
        <v>45600.339270833334</v>
      </c>
      <c r="Q861">
        <v>16</v>
      </c>
      <c r="R861" t="s">
        <v>47</v>
      </c>
      <c r="S861">
        <v>-0.49102799270638903</v>
      </c>
      <c r="T861" t="b">
        <v>0</v>
      </c>
      <c r="U861" t="b">
        <v>0</v>
      </c>
      <c r="V861" t="b">
        <f t="shared" si="26"/>
        <v>1</v>
      </c>
      <c r="W861">
        <v>0</v>
      </c>
      <c r="Y861">
        <f t="shared" si="27"/>
        <v>0</v>
      </c>
    </row>
    <row r="862" spans="1:25" x14ac:dyDescent="0.3">
      <c r="A862" t="s">
        <v>2399</v>
      </c>
      <c r="B862" t="s">
        <v>542</v>
      </c>
      <c r="C862">
        <v>233.44</v>
      </c>
      <c r="D862" s="1">
        <v>44946.683194444442</v>
      </c>
      <c r="E862" t="s">
        <v>25</v>
      </c>
      <c r="F862" t="s">
        <v>278</v>
      </c>
      <c r="G862" t="s">
        <v>2400</v>
      </c>
      <c r="H862" t="s">
        <v>1463</v>
      </c>
      <c r="I862" t="s">
        <v>993</v>
      </c>
      <c r="J862" t="s">
        <v>45</v>
      </c>
      <c r="K862">
        <v>20</v>
      </c>
      <c r="L862" t="s">
        <v>46</v>
      </c>
      <c r="M862">
        <v>297</v>
      </c>
      <c r="N862">
        <v>1</v>
      </c>
      <c r="O862">
        <v>1691.88</v>
      </c>
      <c r="P862" s="1">
        <v>45600.338819444441</v>
      </c>
      <c r="Q862">
        <v>16</v>
      </c>
      <c r="R862" t="s">
        <v>54</v>
      </c>
      <c r="S862">
        <v>-0.21974517336811999</v>
      </c>
      <c r="T862" t="b">
        <v>0</v>
      </c>
      <c r="U862" t="b">
        <v>0</v>
      </c>
      <c r="V862" t="b">
        <f t="shared" si="26"/>
        <v>1</v>
      </c>
      <c r="W862">
        <v>0</v>
      </c>
      <c r="Y862">
        <f t="shared" si="27"/>
        <v>0</v>
      </c>
    </row>
    <row r="863" spans="1:25" x14ac:dyDescent="0.3">
      <c r="A863" t="s">
        <v>2401</v>
      </c>
      <c r="B863" t="s">
        <v>750</v>
      </c>
      <c r="C863">
        <v>141.80000000000001</v>
      </c>
      <c r="D863" s="1">
        <v>45245.788912037038</v>
      </c>
      <c r="E863" t="s">
        <v>25</v>
      </c>
      <c r="F863" t="s">
        <v>278</v>
      </c>
      <c r="G863" t="s">
        <v>186</v>
      </c>
      <c r="H863" t="s">
        <v>2402</v>
      </c>
      <c r="I863" t="s">
        <v>782</v>
      </c>
      <c r="J863" t="s">
        <v>30</v>
      </c>
      <c r="K863">
        <v>18</v>
      </c>
      <c r="L863" t="s">
        <v>46</v>
      </c>
      <c r="M863">
        <v>116</v>
      </c>
      <c r="N863">
        <v>1</v>
      </c>
      <c r="O863">
        <v>1697.67</v>
      </c>
      <c r="P863" s="1">
        <v>45600.339282407411</v>
      </c>
      <c r="Q863">
        <v>18</v>
      </c>
      <c r="R863" t="s">
        <v>74</v>
      </c>
      <c r="S863">
        <v>-0.53363857695598604</v>
      </c>
      <c r="T863" t="b">
        <v>0</v>
      </c>
      <c r="U863" t="b">
        <v>0</v>
      </c>
      <c r="V863" t="b">
        <f t="shared" si="26"/>
        <v>1</v>
      </c>
      <c r="W863">
        <v>0</v>
      </c>
      <c r="Y863">
        <f t="shared" si="27"/>
        <v>0</v>
      </c>
    </row>
    <row r="864" spans="1:25" x14ac:dyDescent="0.3">
      <c r="A864" t="s">
        <v>2403</v>
      </c>
      <c r="B864" t="s">
        <v>1686</v>
      </c>
      <c r="C864">
        <v>209.03</v>
      </c>
      <c r="D864" s="1">
        <v>45208.764340277776</v>
      </c>
      <c r="E864" t="s">
        <v>25</v>
      </c>
      <c r="F864" t="s">
        <v>85</v>
      </c>
      <c r="G864" t="s">
        <v>756</v>
      </c>
      <c r="H864" t="s">
        <v>2404</v>
      </c>
      <c r="I864" t="s">
        <v>458</v>
      </c>
      <c r="J864" t="s">
        <v>81</v>
      </c>
      <c r="K864">
        <v>55</v>
      </c>
      <c r="L864" t="s">
        <v>89</v>
      </c>
      <c r="M864">
        <v>126</v>
      </c>
      <c r="N864">
        <v>1</v>
      </c>
      <c r="O864">
        <v>8359.5</v>
      </c>
      <c r="P864" s="1">
        <v>45600.340949074074</v>
      </c>
      <c r="Q864">
        <v>18</v>
      </c>
      <c r="R864" t="s">
        <v>47</v>
      </c>
      <c r="S864">
        <v>-0.30335645644952403</v>
      </c>
      <c r="T864" t="b">
        <v>0</v>
      </c>
      <c r="U864" t="b">
        <v>0</v>
      </c>
      <c r="V864" t="b">
        <f t="shared" si="26"/>
        <v>1</v>
      </c>
      <c r="W864">
        <v>0</v>
      </c>
      <c r="Y864">
        <f t="shared" si="27"/>
        <v>0</v>
      </c>
    </row>
    <row r="865" spans="1:25" x14ac:dyDescent="0.3">
      <c r="A865" t="s">
        <v>2405</v>
      </c>
      <c r="B865" t="s">
        <v>1815</v>
      </c>
      <c r="C865">
        <v>1137.6300000000001</v>
      </c>
      <c r="D865" s="1">
        <v>44971.70516203704</v>
      </c>
      <c r="E865" t="s">
        <v>25</v>
      </c>
      <c r="F865" t="s">
        <v>210</v>
      </c>
      <c r="G865" t="s">
        <v>452</v>
      </c>
      <c r="H865" t="s">
        <v>2258</v>
      </c>
      <c r="I865" t="s">
        <v>239</v>
      </c>
      <c r="J865" t="s">
        <v>30</v>
      </c>
      <c r="K865">
        <v>26</v>
      </c>
      <c r="L865" t="s">
        <v>46</v>
      </c>
      <c r="M865">
        <v>144</v>
      </c>
      <c r="N865">
        <v>1</v>
      </c>
      <c r="O865">
        <v>1629.12</v>
      </c>
      <c r="P865" s="1">
        <v>45600.338923611111</v>
      </c>
      <c r="Q865">
        <v>16</v>
      </c>
      <c r="R865" t="s">
        <v>32</v>
      </c>
      <c r="S865">
        <v>2.8773660945292101</v>
      </c>
      <c r="T865" t="b">
        <v>1</v>
      </c>
      <c r="U865" t="b">
        <v>0</v>
      </c>
      <c r="V865" t="b">
        <f t="shared" si="26"/>
        <v>1</v>
      </c>
      <c r="W865">
        <v>1</v>
      </c>
      <c r="Y865">
        <f t="shared" si="27"/>
        <v>1</v>
      </c>
    </row>
    <row r="866" spans="1:25" x14ac:dyDescent="0.3">
      <c r="A866" t="s">
        <v>2406</v>
      </c>
      <c r="B866" t="s">
        <v>802</v>
      </c>
      <c r="C866">
        <v>261.14</v>
      </c>
      <c r="D866" s="1">
        <v>45061.780601851853</v>
      </c>
      <c r="E866" t="s">
        <v>25</v>
      </c>
      <c r="F866" t="s">
        <v>250</v>
      </c>
      <c r="G866" t="s">
        <v>1744</v>
      </c>
      <c r="H866" t="s">
        <v>289</v>
      </c>
      <c r="I866" t="s">
        <v>156</v>
      </c>
      <c r="J866" t="s">
        <v>30</v>
      </c>
      <c r="K866">
        <v>42</v>
      </c>
      <c r="L866" t="s">
        <v>89</v>
      </c>
      <c r="M866">
        <v>162</v>
      </c>
      <c r="N866">
        <v>1</v>
      </c>
      <c r="O866">
        <v>6100.08</v>
      </c>
      <c r="P866" s="1">
        <v>45600.339502314811</v>
      </c>
      <c r="Q866">
        <v>18</v>
      </c>
      <c r="R866" t="s">
        <v>47</v>
      </c>
      <c r="S866">
        <v>-0.124864692362186</v>
      </c>
      <c r="T866" t="b">
        <v>0</v>
      </c>
      <c r="U866" t="b">
        <v>0</v>
      </c>
      <c r="V866" t="b">
        <f t="shared" si="26"/>
        <v>1</v>
      </c>
      <c r="W866">
        <v>0</v>
      </c>
      <c r="Y866">
        <f t="shared" si="27"/>
        <v>0</v>
      </c>
    </row>
    <row r="867" spans="1:25" x14ac:dyDescent="0.3">
      <c r="A867" t="s">
        <v>2407</v>
      </c>
      <c r="B867" t="s">
        <v>1277</v>
      </c>
      <c r="C867">
        <v>101.81</v>
      </c>
      <c r="D867" s="1">
        <v>45106.744270833333</v>
      </c>
      <c r="E867" t="s">
        <v>25</v>
      </c>
      <c r="F867" t="s">
        <v>170</v>
      </c>
      <c r="G867" t="s">
        <v>1034</v>
      </c>
      <c r="H867" t="s">
        <v>2107</v>
      </c>
      <c r="I867" t="s">
        <v>356</v>
      </c>
      <c r="J867" t="s">
        <v>30</v>
      </c>
      <c r="K867">
        <v>45</v>
      </c>
      <c r="L867" t="s">
        <v>31</v>
      </c>
      <c r="M867">
        <v>105</v>
      </c>
      <c r="N867">
        <v>1</v>
      </c>
      <c r="O867">
        <v>13872.03</v>
      </c>
      <c r="P867" s="1">
        <v>45600.341238425928</v>
      </c>
      <c r="Q867">
        <v>17</v>
      </c>
      <c r="R867" t="s">
        <v>141</v>
      </c>
      <c r="S867">
        <v>-0.67061584899307403</v>
      </c>
      <c r="T867" t="b">
        <v>0</v>
      </c>
      <c r="U867" t="b">
        <v>0</v>
      </c>
      <c r="V867" t="b">
        <f t="shared" si="26"/>
        <v>1</v>
      </c>
      <c r="W867">
        <v>0</v>
      </c>
      <c r="Y867">
        <f t="shared" si="27"/>
        <v>0</v>
      </c>
    </row>
    <row r="868" spans="1:25" x14ac:dyDescent="0.3">
      <c r="A868" t="s">
        <v>2408</v>
      </c>
      <c r="B868" t="s">
        <v>1101</v>
      </c>
      <c r="C868">
        <v>98.71</v>
      </c>
      <c r="D868" s="1">
        <v>45187.737141203703</v>
      </c>
      <c r="E868" t="s">
        <v>25</v>
      </c>
      <c r="F868" t="s">
        <v>170</v>
      </c>
      <c r="G868" t="s">
        <v>625</v>
      </c>
      <c r="H868" t="s">
        <v>604</v>
      </c>
      <c r="I868" t="s">
        <v>285</v>
      </c>
      <c r="J868" t="s">
        <v>30</v>
      </c>
      <c r="K868">
        <v>32</v>
      </c>
      <c r="L868" t="s">
        <v>31</v>
      </c>
      <c r="M868">
        <v>117</v>
      </c>
      <c r="N868">
        <v>1</v>
      </c>
      <c r="O868">
        <v>10095.23</v>
      </c>
      <c r="P868" s="1">
        <v>45600.338680555556</v>
      </c>
      <c r="Q868">
        <v>17</v>
      </c>
      <c r="R868" t="s">
        <v>47</v>
      </c>
      <c r="S868">
        <v>-0.681234242174244</v>
      </c>
      <c r="T868" t="b">
        <v>0</v>
      </c>
      <c r="U868" t="b">
        <v>0</v>
      </c>
      <c r="V868" t="b">
        <f t="shared" si="26"/>
        <v>1</v>
      </c>
      <c r="W868">
        <v>0</v>
      </c>
      <c r="Y868">
        <f t="shared" si="27"/>
        <v>0</v>
      </c>
    </row>
    <row r="869" spans="1:25" x14ac:dyDescent="0.3">
      <c r="A869" t="s">
        <v>2409</v>
      </c>
      <c r="B869" t="s">
        <v>1119</v>
      </c>
      <c r="C869">
        <v>87.38</v>
      </c>
      <c r="D869" s="1">
        <v>44988.76630787037</v>
      </c>
      <c r="E869" t="s">
        <v>25</v>
      </c>
      <c r="F869" t="s">
        <v>58</v>
      </c>
      <c r="G869" t="s">
        <v>2410</v>
      </c>
      <c r="H869" t="s">
        <v>2170</v>
      </c>
      <c r="I869" t="s">
        <v>67</v>
      </c>
      <c r="J869" t="s">
        <v>81</v>
      </c>
      <c r="K869">
        <v>21</v>
      </c>
      <c r="L869" t="s">
        <v>46</v>
      </c>
      <c r="M869">
        <v>252</v>
      </c>
      <c r="N869">
        <v>1</v>
      </c>
      <c r="O869">
        <v>1504.99</v>
      </c>
      <c r="P869" s="1">
        <v>45600.340104166666</v>
      </c>
      <c r="Q869">
        <v>18</v>
      </c>
      <c r="R869" t="s">
        <v>54</v>
      </c>
      <c r="S869">
        <v>-0.72004275660735695</v>
      </c>
      <c r="T869" t="b">
        <v>0</v>
      </c>
      <c r="U869" t="b">
        <v>0</v>
      </c>
      <c r="V869" t="b">
        <f t="shared" si="26"/>
        <v>1</v>
      </c>
      <c r="W869">
        <v>0</v>
      </c>
      <c r="Y869">
        <f t="shared" si="27"/>
        <v>0</v>
      </c>
    </row>
    <row r="870" spans="1:25" x14ac:dyDescent="0.3">
      <c r="A870" t="s">
        <v>2411</v>
      </c>
      <c r="B870" t="s">
        <v>1918</v>
      </c>
      <c r="C870">
        <v>83.39</v>
      </c>
      <c r="D870" s="1">
        <v>45187.667291666665</v>
      </c>
      <c r="E870" t="s">
        <v>25</v>
      </c>
      <c r="F870" t="s">
        <v>309</v>
      </c>
      <c r="G870" t="s">
        <v>2412</v>
      </c>
      <c r="H870" t="s">
        <v>2163</v>
      </c>
      <c r="I870" t="s">
        <v>577</v>
      </c>
      <c r="J870" t="s">
        <v>81</v>
      </c>
      <c r="K870">
        <v>32</v>
      </c>
      <c r="L870" t="s">
        <v>31</v>
      </c>
      <c r="M870">
        <v>158</v>
      </c>
      <c r="N870">
        <v>1</v>
      </c>
      <c r="O870">
        <v>13182.11</v>
      </c>
      <c r="P870" s="1">
        <v>45600.341898148145</v>
      </c>
      <c r="Q870">
        <v>16</v>
      </c>
      <c r="R870" t="s">
        <v>47</v>
      </c>
      <c r="S870">
        <v>-0.73370965621795903</v>
      </c>
      <c r="T870" t="b">
        <v>0</v>
      </c>
      <c r="U870" t="b">
        <v>0</v>
      </c>
      <c r="V870" t="b">
        <f t="shared" si="26"/>
        <v>1</v>
      </c>
      <c r="W870">
        <v>0</v>
      </c>
      <c r="Y870">
        <f t="shared" si="27"/>
        <v>0</v>
      </c>
    </row>
    <row r="871" spans="1:25" x14ac:dyDescent="0.3">
      <c r="A871" t="s">
        <v>2413</v>
      </c>
      <c r="B871" t="s">
        <v>2264</v>
      </c>
      <c r="C871">
        <v>267.55</v>
      </c>
      <c r="D871" s="1">
        <v>45090.670891203707</v>
      </c>
      <c r="E871" t="s">
        <v>25</v>
      </c>
      <c r="F871" t="s">
        <v>262</v>
      </c>
      <c r="G871" t="s">
        <v>2414</v>
      </c>
      <c r="H871" t="s">
        <v>2415</v>
      </c>
      <c r="I871" t="s">
        <v>833</v>
      </c>
      <c r="J871" t="s">
        <v>45</v>
      </c>
      <c r="K871">
        <v>46</v>
      </c>
      <c r="L871" t="s">
        <v>89</v>
      </c>
      <c r="M871">
        <v>40</v>
      </c>
      <c r="N871">
        <v>1</v>
      </c>
      <c r="O871">
        <v>4330.04</v>
      </c>
      <c r="P871" s="1">
        <v>45600.34170138889</v>
      </c>
      <c r="Q871">
        <v>16</v>
      </c>
      <c r="R871" t="s">
        <v>32</v>
      </c>
      <c r="S871">
        <v>-0.10290859549402499</v>
      </c>
      <c r="T871" t="b">
        <v>0</v>
      </c>
      <c r="U871" t="b">
        <v>0</v>
      </c>
      <c r="V871" t="b">
        <f t="shared" si="26"/>
        <v>1</v>
      </c>
      <c r="W871">
        <v>0</v>
      </c>
      <c r="Y871">
        <f t="shared" si="27"/>
        <v>0</v>
      </c>
    </row>
    <row r="872" spans="1:25" x14ac:dyDescent="0.3">
      <c r="A872" t="s">
        <v>2416</v>
      </c>
      <c r="B872" t="s">
        <v>755</v>
      </c>
      <c r="C872">
        <v>870.05</v>
      </c>
      <c r="D872" s="1">
        <v>45169.69604166667</v>
      </c>
      <c r="E872" t="s">
        <v>25</v>
      </c>
      <c r="F872" t="s">
        <v>519</v>
      </c>
      <c r="G872" t="s">
        <v>373</v>
      </c>
      <c r="H872" t="s">
        <v>2417</v>
      </c>
      <c r="I872" t="s">
        <v>556</v>
      </c>
      <c r="J872" t="s">
        <v>30</v>
      </c>
      <c r="K872">
        <v>29</v>
      </c>
      <c r="L872" t="s">
        <v>31</v>
      </c>
      <c r="M872">
        <v>39</v>
      </c>
      <c r="N872">
        <v>1</v>
      </c>
      <c r="O872">
        <v>905.25</v>
      </c>
      <c r="P872" s="1">
        <v>45600.340995370374</v>
      </c>
      <c r="Q872">
        <v>16</v>
      </c>
      <c r="R872" t="s">
        <v>141</v>
      </c>
      <c r="S872">
        <v>1.96082749858813</v>
      </c>
      <c r="T872" t="b">
        <v>0</v>
      </c>
      <c r="U872" t="b">
        <v>0</v>
      </c>
      <c r="V872" t="b">
        <f t="shared" si="26"/>
        <v>1</v>
      </c>
      <c r="W872">
        <v>0</v>
      </c>
      <c r="Y872">
        <f t="shared" si="27"/>
        <v>0</v>
      </c>
    </row>
    <row r="873" spans="1:25" x14ac:dyDescent="0.3">
      <c r="A873" t="s">
        <v>2418</v>
      </c>
      <c r="B873" t="s">
        <v>308</v>
      </c>
      <c r="C873">
        <v>154.32</v>
      </c>
      <c r="D873" s="1">
        <v>45292.703842592593</v>
      </c>
      <c r="E873" t="s">
        <v>57</v>
      </c>
      <c r="F873" t="s">
        <v>268</v>
      </c>
      <c r="G873" t="s">
        <v>2419</v>
      </c>
      <c r="H873" t="s">
        <v>895</v>
      </c>
      <c r="I873" t="s">
        <v>29</v>
      </c>
      <c r="J873" t="s">
        <v>30</v>
      </c>
      <c r="K873">
        <v>38</v>
      </c>
      <c r="L873" t="s">
        <v>89</v>
      </c>
      <c r="M873">
        <v>269</v>
      </c>
      <c r="N873">
        <v>1</v>
      </c>
      <c r="O873">
        <v>6972.5</v>
      </c>
      <c r="P873" s="1">
        <v>45600.341469907406</v>
      </c>
      <c r="Q873">
        <v>16</v>
      </c>
      <c r="R873" t="s">
        <v>47</v>
      </c>
      <c r="S873">
        <v>-0.49075396965655299</v>
      </c>
      <c r="T873" t="b">
        <v>0</v>
      </c>
      <c r="U873" t="b">
        <v>0</v>
      </c>
      <c r="V873" t="b">
        <f t="shared" si="26"/>
        <v>1</v>
      </c>
      <c r="W873">
        <v>0</v>
      </c>
      <c r="Y873">
        <f t="shared" si="27"/>
        <v>0</v>
      </c>
    </row>
    <row r="874" spans="1:25" x14ac:dyDescent="0.3">
      <c r="A874" t="s">
        <v>2420</v>
      </c>
      <c r="B874" t="s">
        <v>1541</v>
      </c>
      <c r="C874">
        <v>164.51</v>
      </c>
      <c r="D874" s="1">
        <v>45082.75675925926</v>
      </c>
      <c r="E874" t="s">
        <v>25</v>
      </c>
      <c r="F874" t="s">
        <v>120</v>
      </c>
      <c r="G874" t="s">
        <v>2025</v>
      </c>
      <c r="H874" t="s">
        <v>1858</v>
      </c>
      <c r="I874" t="s">
        <v>695</v>
      </c>
      <c r="J874" t="s">
        <v>81</v>
      </c>
      <c r="K874">
        <v>78</v>
      </c>
      <c r="L874" t="s">
        <v>82</v>
      </c>
      <c r="M874">
        <v>110</v>
      </c>
      <c r="N874">
        <v>1</v>
      </c>
      <c r="O874">
        <v>3553.69</v>
      </c>
      <c r="P874" s="1">
        <v>45600.338310185187</v>
      </c>
      <c r="Q874">
        <v>18</v>
      </c>
      <c r="R874" t="s">
        <v>47</v>
      </c>
      <c r="S874">
        <v>-0.45585028368361102</v>
      </c>
      <c r="T874" t="b">
        <v>0</v>
      </c>
      <c r="U874" t="b">
        <v>0</v>
      </c>
      <c r="V874" t="b">
        <f t="shared" si="26"/>
        <v>1</v>
      </c>
      <c r="W874">
        <v>0</v>
      </c>
      <c r="Y874">
        <f t="shared" si="27"/>
        <v>0</v>
      </c>
    </row>
    <row r="875" spans="1:25" x14ac:dyDescent="0.3">
      <c r="A875" t="s">
        <v>2421</v>
      </c>
      <c r="B875" t="s">
        <v>1033</v>
      </c>
      <c r="C875">
        <v>758.12</v>
      </c>
      <c r="D875" s="1">
        <v>45110.782280092593</v>
      </c>
      <c r="E875" t="s">
        <v>25</v>
      </c>
      <c r="F875" t="s">
        <v>225</v>
      </c>
      <c r="G875" t="s">
        <v>705</v>
      </c>
      <c r="H875" t="s">
        <v>2422</v>
      </c>
      <c r="I875" t="s">
        <v>178</v>
      </c>
      <c r="J875" t="s">
        <v>30</v>
      </c>
      <c r="K875">
        <v>69</v>
      </c>
      <c r="L875" t="s">
        <v>82</v>
      </c>
      <c r="M875">
        <v>90</v>
      </c>
      <c r="N875">
        <v>1</v>
      </c>
      <c r="O875">
        <v>6164.65</v>
      </c>
      <c r="P875" s="1">
        <v>45600.341134259259</v>
      </c>
      <c r="Q875">
        <v>18</v>
      </c>
      <c r="R875" t="s">
        <v>47</v>
      </c>
      <c r="S875">
        <v>1.5774349989854499</v>
      </c>
      <c r="T875" t="b">
        <v>0</v>
      </c>
      <c r="U875" t="b">
        <v>0</v>
      </c>
      <c r="V875" t="b">
        <f t="shared" si="26"/>
        <v>1</v>
      </c>
      <c r="W875">
        <v>0</v>
      </c>
      <c r="Y875">
        <f t="shared" si="27"/>
        <v>0</v>
      </c>
    </row>
    <row r="876" spans="1:25" x14ac:dyDescent="0.3">
      <c r="A876" t="s">
        <v>2423</v>
      </c>
      <c r="B876" t="s">
        <v>1321</v>
      </c>
      <c r="C876">
        <v>103.76</v>
      </c>
      <c r="D876" s="1">
        <v>45014.680937500001</v>
      </c>
      <c r="E876" t="s">
        <v>25</v>
      </c>
      <c r="F876" t="s">
        <v>304</v>
      </c>
      <c r="G876" t="s">
        <v>1664</v>
      </c>
      <c r="H876" t="s">
        <v>2424</v>
      </c>
      <c r="I876" t="s">
        <v>687</v>
      </c>
      <c r="J876" t="s">
        <v>45</v>
      </c>
      <c r="K876">
        <v>28</v>
      </c>
      <c r="L876" t="s">
        <v>89</v>
      </c>
      <c r="M876">
        <v>188</v>
      </c>
      <c r="N876">
        <v>1</v>
      </c>
      <c r="O876">
        <v>9626.14</v>
      </c>
      <c r="P876" s="1">
        <v>45600.341331018521</v>
      </c>
      <c r="Q876">
        <v>16</v>
      </c>
      <c r="R876" t="s">
        <v>74</v>
      </c>
      <c r="S876">
        <v>-0.66393653715330603</v>
      </c>
      <c r="T876" t="b">
        <v>0</v>
      </c>
      <c r="U876" t="b">
        <v>0</v>
      </c>
      <c r="V876" t="b">
        <f t="shared" si="26"/>
        <v>1</v>
      </c>
      <c r="W876">
        <v>0</v>
      </c>
      <c r="Y876">
        <f t="shared" si="27"/>
        <v>0</v>
      </c>
    </row>
    <row r="877" spans="1:25" x14ac:dyDescent="0.3">
      <c r="A877" t="s">
        <v>2425</v>
      </c>
      <c r="B877" t="s">
        <v>1997</v>
      </c>
      <c r="C877">
        <v>583.91999999999996</v>
      </c>
      <c r="D877" s="1">
        <v>45139.674907407411</v>
      </c>
      <c r="E877" t="s">
        <v>25</v>
      </c>
      <c r="F877" t="s">
        <v>304</v>
      </c>
      <c r="G877" t="s">
        <v>2426</v>
      </c>
      <c r="H877" t="s">
        <v>94</v>
      </c>
      <c r="I877" t="s">
        <v>1222</v>
      </c>
      <c r="J877" t="s">
        <v>45</v>
      </c>
      <c r="K877">
        <v>55</v>
      </c>
      <c r="L877" t="s">
        <v>89</v>
      </c>
      <c r="M877">
        <v>139</v>
      </c>
      <c r="N877">
        <v>1</v>
      </c>
      <c r="O877">
        <v>6364.14</v>
      </c>
      <c r="P877" s="1">
        <v>45600.337870370371</v>
      </c>
      <c r="Q877">
        <v>16</v>
      </c>
      <c r="R877" t="s">
        <v>32</v>
      </c>
      <c r="S877">
        <v>0.98074980796617695</v>
      </c>
      <c r="T877" t="b">
        <v>0</v>
      </c>
      <c r="U877" t="b">
        <v>0</v>
      </c>
      <c r="V877" t="b">
        <f t="shared" si="26"/>
        <v>1</v>
      </c>
      <c r="W877">
        <v>0</v>
      </c>
      <c r="Y877">
        <f t="shared" si="27"/>
        <v>0</v>
      </c>
    </row>
    <row r="878" spans="1:25" x14ac:dyDescent="0.3">
      <c r="A878" t="s">
        <v>2427</v>
      </c>
      <c r="B878" t="s">
        <v>1040</v>
      </c>
      <c r="C878">
        <v>204.06</v>
      </c>
      <c r="D878" s="1">
        <v>44928.671724537038</v>
      </c>
      <c r="E878" t="s">
        <v>25</v>
      </c>
      <c r="F878" t="s">
        <v>466</v>
      </c>
      <c r="G878" t="s">
        <v>273</v>
      </c>
      <c r="H878" t="s">
        <v>1045</v>
      </c>
      <c r="I878" t="s">
        <v>866</v>
      </c>
      <c r="J878" t="s">
        <v>45</v>
      </c>
      <c r="K878">
        <v>77</v>
      </c>
      <c r="L878" t="s">
        <v>82</v>
      </c>
      <c r="M878">
        <v>159</v>
      </c>
      <c r="N878">
        <v>1</v>
      </c>
      <c r="O878">
        <v>4351.83</v>
      </c>
      <c r="P878" s="1">
        <v>45600.338449074072</v>
      </c>
      <c r="Q878">
        <v>16</v>
      </c>
      <c r="R878" t="s">
        <v>47</v>
      </c>
      <c r="S878">
        <v>-0.32038013842062502</v>
      </c>
      <c r="T878" t="b">
        <v>0</v>
      </c>
      <c r="U878" t="b">
        <v>0</v>
      </c>
      <c r="V878" t="b">
        <f t="shared" si="26"/>
        <v>1</v>
      </c>
      <c r="W878">
        <v>0</v>
      </c>
      <c r="Y878">
        <f t="shared" si="27"/>
        <v>0</v>
      </c>
    </row>
    <row r="879" spans="1:25" x14ac:dyDescent="0.3">
      <c r="A879" t="s">
        <v>2428</v>
      </c>
      <c r="B879" t="s">
        <v>790</v>
      </c>
      <c r="C879">
        <v>53.51</v>
      </c>
      <c r="D879" s="1">
        <v>45225.70453703704</v>
      </c>
      <c r="E879" t="s">
        <v>25</v>
      </c>
      <c r="F879" t="s">
        <v>216</v>
      </c>
      <c r="G879" t="s">
        <v>132</v>
      </c>
      <c r="H879" t="s">
        <v>2429</v>
      </c>
      <c r="I879" t="s">
        <v>107</v>
      </c>
      <c r="J879" t="s">
        <v>45</v>
      </c>
      <c r="K879">
        <v>56</v>
      </c>
      <c r="L879" t="s">
        <v>82</v>
      </c>
      <c r="M879">
        <v>165</v>
      </c>
      <c r="N879">
        <v>1</v>
      </c>
      <c r="O879">
        <v>5773.5</v>
      </c>
      <c r="P879" s="1">
        <v>45600.341180555559</v>
      </c>
      <c r="Q879">
        <v>16</v>
      </c>
      <c r="R879" t="s">
        <v>141</v>
      </c>
      <c r="S879">
        <v>-0.83605726533194202</v>
      </c>
      <c r="T879" t="b">
        <v>0</v>
      </c>
      <c r="U879" t="b">
        <v>0</v>
      </c>
      <c r="V879" t="b">
        <f t="shared" si="26"/>
        <v>1</v>
      </c>
      <c r="W879">
        <v>0</v>
      </c>
      <c r="Y879">
        <f t="shared" si="27"/>
        <v>0</v>
      </c>
    </row>
    <row r="880" spans="1:25" x14ac:dyDescent="0.3">
      <c r="A880" t="s">
        <v>2430</v>
      </c>
      <c r="B880" t="s">
        <v>1079</v>
      </c>
      <c r="C880">
        <v>1108.46</v>
      </c>
      <c r="D880" s="1">
        <v>45169.677951388891</v>
      </c>
      <c r="E880" t="s">
        <v>25</v>
      </c>
      <c r="F880" t="s">
        <v>153</v>
      </c>
      <c r="G880" t="s">
        <v>1884</v>
      </c>
      <c r="H880" t="s">
        <v>1810</v>
      </c>
      <c r="I880" t="s">
        <v>259</v>
      </c>
      <c r="J880" t="s">
        <v>81</v>
      </c>
      <c r="K880">
        <v>30</v>
      </c>
      <c r="L880" t="s">
        <v>89</v>
      </c>
      <c r="M880">
        <v>262</v>
      </c>
      <c r="N880">
        <v>1</v>
      </c>
      <c r="O880">
        <v>9257.0400000000009</v>
      </c>
      <c r="P880" s="1">
        <v>45600.337916666664</v>
      </c>
      <c r="Q880">
        <v>16</v>
      </c>
      <c r="R880" t="s">
        <v>141</v>
      </c>
      <c r="S880">
        <v>2.7774504399825299</v>
      </c>
      <c r="T880" t="b">
        <v>1</v>
      </c>
      <c r="U880" t="b">
        <v>0</v>
      </c>
      <c r="V880" t="b">
        <f t="shared" si="26"/>
        <v>1</v>
      </c>
      <c r="W880">
        <v>1</v>
      </c>
      <c r="Y880">
        <f t="shared" si="27"/>
        <v>1</v>
      </c>
    </row>
    <row r="881" spans="1:25" x14ac:dyDescent="0.3">
      <c r="A881" t="s">
        <v>2431</v>
      </c>
      <c r="B881" t="s">
        <v>1127</v>
      </c>
      <c r="C881">
        <v>52.95</v>
      </c>
      <c r="D881" s="1">
        <v>45145.752071759256</v>
      </c>
      <c r="E881" t="s">
        <v>57</v>
      </c>
      <c r="F881" t="s">
        <v>262</v>
      </c>
      <c r="G881" t="s">
        <v>968</v>
      </c>
      <c r="H881" t="s">
        <v>1461</v>
      </c>
      <c r="I881" t="s">
        <v>898</v>
      </c>
      <c r="J881" t="s">
        <v>45</v>
      </c>
      <c r="K881">
        <v>68</v>
      </c>
      <c r="L881" t="s">
        <v>82</v>
      </c>
      <c r="M881">
        <v>14</v>
      </c>
      <c r="N881">
        <v>1</v>
      </c>
      <c r="O881">
        <v>6335.58</v>
      </c>
      <c r="P881" s="1">
        <v>45600.338796296295</v>
      </c>
      <c r="Q881">
        <v>18</v>
      </c>
      <c r="R881" t="s">
        <v>47</v>
      </c>
      <c r="S881">
        <v>-0.83797542668079905</v>
      </c>
      <c r="T881" t="b">
        <v>0</v>
      </c>
      <c r="U881" t="b">
        <v>0</v>
      </c>
      <c r="V881" t="b">
        <f t="shared" si="26"/>
        <v>1</v>
      </c>
      <c r="W881">
        <v>0</v>
      </c>
      <c r="Y881">
        <f t="shared" si="27"/>
        <v>0</v>
      </c>
    </row>
    <row r="882" spans="1:25" x14ac:dyDescent="0.3">
      <c r="A882" t="s">
        <v>2432</v>
      </c>
      <c r="B882" t="s">
        <v>2433</v>
      </c>
      <c r="C882">
        <v>120.17</v>
      </c>
      <c r="D882" s="1">
        <v>45146.713680555556</v>
      </c>
      <c r="E882" t="s">
        <v>25</v>
      </c>
      <c r="F882" t="s">
        <v>608</v>
      </c>
      <c r="G882" t="s">
        <v>639</v>
      </c>
      <c r="H882" t="s">
        <v>2286</v>
      </c>
      <c r="I882" t="s">
        <v>295</v>
      </c>
      <c r="J882" t="s">
        <v>30</v>
      </c>
      <c r="K882">
        <v>49</v>
      </c>
      <c r="L882" t="s">
        <v>31</v>
      </c>
      <c r="M882">
        <v>105</v>
      </c>
      <c r="N882">
        <v>1</v>
      </c>
      <c r="O882">
        <v>5403.79</v>
      </c>
      <c r="P882" s="1">
        <v>45600.341550925928</v>
      </c>
      <c r="Q882">
        <v>17</v>
      </c>
      <c r="R882" t="s">
        <v>32</v>
      </c>
      <c r="S882">
        <v>-0.60772755905556597</v>
      </c>
      <c r="T882" t="b">
        <v>0</v>
      </c>
      <c r="U882" t="b">
        <v>0</v>
      </c>
      <c r="V882" t="b">
        <f t="shared" si="26"/>
        <v>1</v>
      </c>
      <c r="W882">
        <v>0</v>
      </c>
      <c r="Y882">
        <f t="shared" si="27"/>
        <v>0</v>
      </c>
    </row>
    <row r="883" spans="1:25" x14ac:dyDescent="0.3">
      <c r="A883" t="s">
        <v>2434</v>
      </c>
      <c r="B883" t="s">
        <v>814</v>
      </c>
      <c r="C883">
        <v>220.8</v>
      </c>
      <c r="D883" s="1">
        <v>45175.780462962961</v>
      </c>
      <c r="E883" t="s">
        <v>25</v>
      </c>
      <c r="F883" t="s">
        <v>77</v>
      </c>
      <c r="G883" t="s">
        <v>1971</v>
      </c>
      <c r="H883" t="s">
        <v>2249</v>
      </c>
      <c r="I883" t="s">
        <v>1050</v>
      </c>
      <c r="J883" t="s">
        <v>45</v>
      </c>
      <c r="K883">
        <v>31</v>
      </c>
      <c r="L883" t="s">
        <v>89</v>
      </c>
      <c r="M883">
        <v>28</v>
      </c>
      <c r="N883">
        <v>1</v>
      </c>
      <c r="O883">
        <v>8135.31</v>
      </c>
      <c r="P883" s="1">
        <v>45600.340277777781</v>
      </c>
      <c r="Q883">
        <v>18</v>
      </c>
      <c r="R883" t="s">
        <v>74</v>
      </c>
      <c r="S883">
        <v>-0.26304081524230899</v>
      </c>
      <c r="T883" t="b">
        <v>0</v>
      </c>
      <c r="U883" t="b">
        <v>0</v>
      </c>
      <c r="V883" t="b">
        <f t="shared" si="26"/>
        <v>1</v>
      </c>
      <c r="W883">
        <v>0</v>
      </c>
      <c r="Y883">
        <f t="shared" si="27"/>
        <v>0</v>
      </c>
    </row>
    <row r="884" spans="1:25" x14ac:dyDescent="0.3">
      <c r="A884" t="s">
        <v>2435</v>
      </c>
      <c r="B884" t="s">
        <v>774</v>
      </c>
      <c r="C884">
        <v>119.01</v>
      </c>
      <c r="D884" s="1">
        <v>44998.726863425924</v>
      </c>
      <c r="E884" t="s">
        <v>25</v>
      </c>
      <c r="F884" t="s">
        <v>256</v>
      </c>
      <c r="G884" t="s">
        <v>1662</v>
      </c>
      <c r="H884" t="s">
        <v>1187</v>
      </c>
      <c r="I884" t="s">
        <v>866</v>
      </c>
      <c r="J884" t="s">
        <v>30</v>
      </c>
      <c r="K884">
        <v>45</v>
      </c>
      <c r="L884" t="s">
        <v>31</v>
      </c>
      <c r="M884">
        <v>87</v>
      </c>
      <c r="N884">
        <v>1</v>
      </c>
      <c r="O884">
        <v>9798.26</v>
      </c>
      <c r="P884" s="1">
        <v>45600.339780092596</v>
      </c>
      <c r="Q884">
        <v>17</v>
      </c>
      <c r="R884" t="s">
        <v>47</v>
      </c>
      <c r="S884">
        <v>-0.61170089327819699</v>
      </c>
      <c r="T884" t="b">
        <v>0</v>
      </c>
      <c r="U884" t="b">
        <v>0</v>
      </c>
      <c r="V884" t="b">
        <f t="shared" si="26"/>
        <v>1</v>
      </c>
      <c r="W884">
        <v>0</v>
      </c>
      <c r="Y884">
        <f t="shared" si="27"/>
        <v>0</v>
      </c>
    </row>
    <row r="885" spans="1:25" x14ac:dyDescent="0.3">
      <c r="A885" t="s">
        <v>2436</v>
      </c>
      <c r="B885" t="s">
        <v>1070</v>
      </c>
      <c r="C885">
        <v>183.32</v>
      </c>
      <c r="D885" s="1">
        <v>45056.686006944445</v>
      </c>
      <c r="E885" t="s">
        <v>25</v>
      </c>
      <c r="F885" t="s">
        <v>50</v>
      </c>
      <c r="G885" t="s">
        <v>1007</v>
      </c>
      <c r="H885" t="s">
        <v>1143</v>
      </c>
      <c r="I885" t="s">
        <v>589</v>
      </c>
      <c r="J885" t="s">
        <v>30</v>
      </c>
      <c r="K885">
        <v>21</v>
      </c>
      <c r="L885" t="s">
        <v>46</v>
      </c>
      <c r="M885">
        <v>74</v>
      </c>
      <c r="N885">
        <v>1</v>
      </c>
      <c r="O885">
        <v>137.41999999999999</v>
      </c>
      <c r="P885" s="1">
        <v>45600.339942129627</v>
      </c>
      <c r="Q885">
        <v>16</v>
      </c>
      <c r="R885" t="s">
        <v>74</v>
      </c>
      <c r="S885">
        <v>-0.391420614090772</v>
      </c>
      <c r="T885" t="b">
        <v>0</v>
      </c>
      <c r="U885" t="b">
        <v>0</v>
      </c>
      <c r="V885" t="b">
        <f t="shared" si="26"/>
        <v>1</v>
      </c>
      <c r="W885">
        <v>0</v>
      </c>
      <c r="Y885">
        <f t="shared" si="27"/>
        <v>0</v>
      </c>
    </row>
    <row r="886" spans="1:25" x14ac:dyDescent="0.3">
      <c r="A886" t="s">
        <v>2437</v>
      </c>
      <c r="B886" t="s">
        <v>287</v>
      </c>
      <c r="C886">
        <v>858.88</v>
      </c>
      <c r="D886" s="1">
        <v>45160.688587962963</v>
      </c>
      <c r="E886" t="s">
        <v>25</v>
      </c>
      <c r="F886" t="s">
        <v>405</v>
      </c>
      <c r="G886" t="s">
        <v>1948</v>
      </c>
      <c r="H886" t="s">
        <v>2438</v>
      </c>
      <c r="I886" t="s">
        <v>687</v>
      </c>
      <c r="J886" t="s">
        <v>45</v>
      </c>
      <c r="K886">
        <v>60</v>
      </c>
      <c r="L886" t="s">
        <v>89</v>
      </c>
      <c r="M886">
        <v>227</v>
      </c>
      <c r="N886">
        <v>1</v>
      </c>
      <c r="O886">
        <v>7015.46</v>
      </c>
      <c r="P886" s="1">
        <v>45600.341793981483</v>
      </c>
      <c r="Q886">
        <v>16</v>
      </c>
      <c r="R886" t="s">
        <v>32</v>
      </c>
      <c r="S886">
        <v>1.92256703025469</v>
      </c>
      <c r="T886" t="b">
        <v>0</v>
      </c>
      <c r="U886" t="b">
        <v>0</v>
      </c>
      <c r="V886" t="b">
        <f t="shared" si="26"/>
        <v>1</v>
      </c>
      <c r="W886">
        <v>0</v>
      </c>
      <c r="Y886">
        <f t="shared" si="27"/>
        <v>0</v>
      </c>
    </row>
    <row r="887" spans="1:25" x14ac:dyDescent="0.3">
      <c r="A887" t="s">
        <v>2439</v>
      </c>
      <c r="B887" t="s">
        <v>1124</v>
      </c>
      <c r="C887">
        <v>11.46</v>
      </c>
      <c r="D887" s="1">
        <v>44970.703668981485</v>
      </c>
      <c r="E887" t="s">
        <v>57</v>
      </c>
      <c r="F887" t="s">
        <v>225</v>
      </c>
      <c r="G887" t="s">
        <v>956</v>
      </c>
      <c r="H887" t="s">
        <v>2064</v>
      </c>
      <c r="I887" t="s">
        <v>199</v>
      </c>
      <c r="J887" t="s">
        <v>45</v>
      </c>
      <c r="K887">
        <v>41</v>
      </c>
      <c r="L887" t="s">
        <v>89</v>
      </c>
      <c r="M887">
        <v>128</v>
      </c>
      <c r="N887">
        <v>1</v>
      </c>
      <c r="O887">
        <v>2356.71</v>
      </c>
      <c r="P887" s="1">
        <v>45600.339768518519</v>
      </c>
      <c r="Q887">
        <v>16</v>
      </c>
      <c r="R887" t="s">
        <v>47</v>
      </c>
      <c r="S887">
        <v>-0.98009063090232396</v>
      </c>
      <c r="T887" t="b">
        <v>0</v>
      </c>
      <c r="U887" t="b">
        <v>0</v>
      </c>
      <c r="V887" t="b">
        <f t="shared" si="26"/>
        <v>1</v>
      </c>
      <c r="W887">
        <v>0</v>
      </c>
      <c r="Y887">
        <f t="shared" si="27"/>
        <v>0</v>
      </c>
    </row>
    <row r="888" spans="1:25" x14ac:dyDescent="0.3">
      <c r="A888" t="s">
        <v>2440</v>
      </c>
      <c r="B888" t="s">
        <v>255</v>
      </c>
      <c r="C888">
        <v>61.37</v>
      </c>
      <c r="D888" s="1">
        <v>44963.704386574071</v>
      </c>
      <c r="E888" t="s">
        <v>25</v>
      </c>
      <c r="F888" t="s">
        <v>137</v>
      </c>
      <c r="G888" t="s">
        <v>2441</v>
      </c>
      <c r="H888" t="s">
        <v>2133</v>
      </c>
      <c r="I888" t="s">
        <v>366</v>
      </c>
      <c r="J888" t="s">
        <v>81</v>
      </c>
      <c r="K888">
        <v>75</v>
      </c>
      <c r="L888" t="s">
        <v>82</v>
      </c>
      <c r="M888">
        <v>164</v>
      </c>
      <c r="N888">
        <v>1</v>
      </c>
      <c r="O888">
        <v>4294.4399999999996</v>
      </c>
      <c r="P888" s="1">
        <v>45600.340914351851</v>
      </c>
      <c r="Q888">
        <v>16</v>
      </c>
      <c r="R888" t="s">
        <v>47</v>
      </c>
      <c r="S888">
        <v>-0.80913450068549297</v>
      </c>
      <c r="T888" t="b">
        <v>0</v>
      </c>
      <c r="U888" t="b">
        <v>0</v>
      </c>
      <c r="V888" t="b">
        <f t="shared" si="26"/>
        <v>1</v>
      </c>
      <c r="W888">
        <v>0</v>
      </c>
      <c r="Y888">
        <f t="shared" si="27"/>
        <v>0</v>
      </c>
    </row>
    <row r="889" spans="1:25" x14ac:dyDescent="0.3">
      <c r="A889" t="s">
        <v>2442</v>
      </c>
      <c r="B889" t="s">
        <v>409</v>
      </c>
      <c r="C889">
        <v>103.08</v>
      </c>
      <c r="D889" s="1">
        <v>44984.700023148151</v>
      </c>
      <c r="E889" t="s">
        <v>57</v>
      </c>
      <c r="F889" t="s">
        <v>191</v>
      </c>
      <c r="G889" t="s">
        <v>299</v>
      </c>
      <c r="H889" t="s">
        <v>2188</v>
      </c>
      <c r="I889" t="s">
        <v>1300</v>
      </c>
      <c r="J889" t="s">
        <v>81</v>
      </c>
      <c r="K889">
        <v>49</v>
      </c>
      <c r="L889" t="s">
        <v>89</v>
      </c>
      <c r="M889">
        <v>150</v>
      </c>
      <c r="N889">
        <v>1</v>
      </c>
      <c r="O889">
        <v>9251.3799999999992</v>
      </c>
      <c r="P889" s="1">
        <v>45600.33798611111</v>
      </c>
      <c r="Q889">
        <v>16</v>
      </c>
      <c r="R889" t="s">
        <v>47</v>
      </c>
      <c r="S889">
        <v>-0.66626573307691705</v>
      </c>
      <c r="T889" t="b">
        <v>0</v>
      </c>
      <c r="U889" t="b">
        <v>0</v>
      </c>
      <c r="V889" t="b">
        <f t="shared" si="26"/>
        <v>1</v>
      </c>
      <c r="W889">
        <v>0</v>
      </c>
      <c r="Y889">
        <f t="shared" si="27"/>
        <v>0</v>
      </c>
    </row>
    <row r="890" spans="1:25" x14ac:dyDescent="0.3">
      <c r="A890" t="s">
        <v>2443</v>
      </c>
      <c r="B890" t="s">
        <v>624</v>
      </c>
      <c r="C890">
        <v>1.21</v>
      </c>
      <c r="D890" s="1">
        <v>45159.721597222226</v>
      </c>
      <c r="E890" t="s">
        <v>25</v>
      </c>
      <c r="F890" t="s">
        <v>58</v>
      </c>
      <c r="G890" t="s">
        <v>683</v>
      </c>
      <c r="H890" t="s">
        <v>536</v>
      </c>
      <c r="I890" t="s">
        <v>150</v>
      </c>
      <c r="J890" t="s">
        <v>81</v>
      </c>
      <c r="K890">
        <v>55</v>
      </c>
      <c r="L890" t="s">
        <v>82</v>
      </c>
      <c r="M890">
        <v>196</v>
      </c>
      <c r="N890">
        <v>1</v>
      </c>
      <c r="O890">
        <v>7542.74</v>
      </c>
      <c r="P890" s="1">
        <v>45600.341365740744</v>
      </c>
      <c r="Q890">
        <v>17</v>
      </c>
      <c r="R890" t="s">
        <v>47</v>
      </c>
      <c r="S890">
        <v>-1.01519983416264</v>
      </c>
      <c r="T890" t="b">
        <v>0</v>
      </c>
      <c r="U890" t="b">
        <v>0</v>
      </c>
      <c r="V890" t="b">
        <f t="shared" si="26"/>
        <v>1</v>
      </c>
      <c r="W890">
        <v>0</v>
      </c>
      <c r="Y890">
        <f t="shared" si="27"/>
        <v>0</v>
      </c>
    </row>
    <row r="891" spans="1:25" x14ac:dyDescent="0.3">
      <c r="A891" t="s">
        <v>2444</v>
      </c>
      <c r="B891" t="s">
        <v>2445</v>
      </c>
      <c r="C891">
        <v>425.18</v>
      </c>
      <c r="D891" s="1">
        <v>45203.667291666665</v>
      </c>
      <c r="E891" t="s">
        <v>57</v>
      </c>
      <c r="F891" t="s">
        <v>534</v>
      </c>
      <c r="G891" t="s">
        <v>2446</v>
      </c>
      <c r="H891" t="s">
        <v>2447</v>
      </c>
      <c r="I891" t="s">
        <v>280</v>
      </c>
      <c r="J891" t="s">
        <v>45</v>
      </c>
      <c r="K891">
        <v>26</v>
      </c>
      <c r="L891" t="s">
        <v>89</v>
      </c>
      <c r="M891">
        <v>172</v>
      </c>
      <c r="N891">
        <v>1</v>
      </c>
      <c r="O891">
        <v>9880.7099999999991</v>
      </c>
      <c r="P891" s="1">
        <v>45600.33934027778</v>
      </c>
      <c r="Q891">
        <v>16</v>
      </c>
      <c r="R891" t="s">
        <v>74</v>
      </c>
      <c r="S891">
        <v>0.43701957132783398</v>
      </c>
      <c r="T891" t="b">
        <v>0</v>
      </c>
      <c r="U891" t="b">
        <v>0</v>
      </c>
      <c r="V891" t="b">
        <f t="shared" si="26"/>
        <v>1</v>
      </c>
      <c r="W891">
        <v>0</v>
      </c>
      <c r="Y891">
        <f t="shared" si="27"/>
        <v>0</v>
      </c>
    </row>
    <row r="892" spans="1:25" x14ac:dyDescent="0.3">
      <c r="A892" t="s">
        <v>2448</v>
      </c>
      <c r="B892" t="s">
        <v>1834</v>
      </c>
      <c r="C892">
        <v>60.96</v>
      </c>
      <c r="D892" s="1">
        <v>45222.691527777781</v>
      </c>
      <c r="E892" t="s">
        <v>25</v>
      </c>
      <c r="F892" t="s">
        <v>534</v>
      </c>
      <c r="G892" t="s">
        <v>2059</v>
      </c>
      <c r="H892" t="s">
        <v>2366</v>
      </c>
      <c r="I892" t="s">
        <v>162</v>
      </c>
      <c r="J892" t="s">
        <v>30</v>
      </c>
      <c r="K892">
        <v>52</v>
      </c>
      <c r="L892" t="s">
        <v>82</v>
      </c>
      <c r="M892">
        <v>238</v>
      </c>
      <c r="N892">
        <v>1</v>
      </c>
      <c r="O892">
        <v>6189.24</v>
      </c>
      <c r="P892" s="1">
        <v>45600.340254629627</v>
      </c>
      <c r="Q892">
        <v>16</v>
      </c>
      <c r="R892" t="s">
        <v>47</v>
      </c>
      <c r="S892">
        <v>-0.81053886881590598</v>
      </c>
      <c r="T892" t="b">
        <v>0</v>
      </c>
      <c r="U892" t="b">
        <v>0</v>
      </c>
      <c r="V892" t="b">
        <f t="shared" si="26"/>
        <v>1</v>
      </c>
      <c r="W892">
        <v>0</v>
      </c>
      <c r="Y892">
        <f t="shared" si="27"/>
        <v>0</v>
      </c>
    </row>
    <row r="893" spans="1:25" x14ac:dyDescent="0.3">
      <c r="A893" t="s">
        <v>2449</v>
      </c>
      <c r="B893" t="s">
        <v>1196</v>
      </c>
      <c r="C893">
        <v>64.209999999999994</v>
      </c>
      <c r="D893" s="1">
        <v>44935.691851851851</v>
      </c>
      <c r="E893" t="s">
        <v>25</v>
      </c>
      <c r="F893" t="s">
        <v>309</v>
      </c>
      <c r="G893" t="s">
        <v>2450</v>
      </c>
      <c r="H893" t="s">
        <v>513</v>
      </c>
      <c r="I893" t="s">
        <v>178</v>
      </c>
      <c r="J893" t="s">
        <v>30</v>
      </c>
      <c r="K893">
        <v>51</v>
      </c>
      <c r="L893" t="s">
        <v>31</v>
      </c>
      <c r="M893">
        <v>37</v>
      </c>
      <c r="N893">
        <v>1</v>
      </c>
      <c r="O893">
        <v>12540.18</v>
      </c>
      <c r="P893" s="1">
        <v>45600.339861111112</v>
      </c>
      <c r="Q893">
        <v>16</v>
      </c>
      <c r="R893" t="s">
        <v>47</v>
      </c>
      <c r="S893">
        <v>-0.79940668241629298</v>
      </c>
      <c r="T893" t="b">
        <v>0</v>
      </c>
      <c r="U893" t="b">
        <v>0</v>
      </c>
      <c r="V893" t="b">
        <f t="shared" si="26"/>
        <v>1</v>
      </c>
      <c r="W893">
        <v>0</v>
      </c>
      <c r="Y893">
        <f t="shared" si="27"/>
        <v>0</v>
      </c>
    </row>
    <row r="894" spans="1:25" x14ac:dyDescent="0.3">
      <c r="A894" t="s">
        <v>2451</v>
      </c>
      <c r="B894" t="s">
        <v>1356</v>
      </c>
      <c r="C894">
        <v>523.02</v>
      </c>
      <c r="D894" s="1">
        <v>45065.772743055553</v>
      </c>
      <c r="E894" t="s">
        <v>25</v>
      </c>
      <c r="F894" t="s">
        <v>405</v>
      </c>
      <c r="G894" t="s">
        <v>1299</v>
      </c>
      <c r="H894" t="s">
        <v>1047</v>
      </c>
      <c r="I894" t="s">
        <v>765</v>
      </c>
      <c r="J894" t="s">
        <v>45</v>
      </c>
      <c r="K894">
        <v>53</v>
      </c>
      <c r="L894" t="s">
        <v>82</v>
      </c>
      <c r="M894">
        <v>83</v>
      </c>
      <c r="N894">
        <v>1</v>
      </c>
      <c r="O894">
        <v>4586.1099999999997</v>
      </c>
      <c r="P894" s="1">
        <v>45600.337939814817</v>
      </c>
      <c r="Q894">
        <v>18</v>
      </c>
      <c r="R894" t="s">
        <v>54</v>
      </c>
      <c r="S894">
        <v>0.77214976127803903</v>
      </c>
      <c r="T894" t="b">
        <v>0</v>
      </c>
      <c r="U894" t="b">
        <v>0</v>
      </c>
      <c r="V894" t="b">
        <f t="shared" si="26"/>
        <v>1</v>
      </c>
      <c r="W894">
        <v>0</v>
      </c>
      <c r="Y894">
        <f t="shared" si="27"/>
        <v>0</v>
      </c>
    </row>
    <row r="895" spans="1:25" x14ac:dyDescent="0.3">
      <c r="A895" t="s">
        <v>2452</v>
      </c>
      <c r="B895" t="s">
        <v>1418</v>
      </c>
      <c r="C895">
        <v>50.26</v>
      </c>
      <c r="D895" s="1">
        <v>45239.744155092594</v>
      </c>
      <c r="E895" t="s">
        <v>25</v>
      </c>
      <c r="F895" t="s">
        <v>159</v>
      </c>
      <c r="G895" t="s">
        <v>160</v>
      </c>
      <c r="H895" t="s">
        <v>1059</v>
      </c>
      <c r="I895" t="s">
        <v>301</v>
      </c>
      <c r="J895" t="s">
        <v>81</v>
      </c>
      <c r="K895">
        <v>65</v>
      </c>
      <c r="L895" t="s">
        <v>82</v>
      </c>
      <c r="M895">
        <v>164</v>
      </c>
      <c r="N895">
        <v>1</v>
      </c>
      <c r="O895">
        <v>1519.38</v>
      </c>
      <c r="P895" s="1">
        <v>45600.340821759259</v>
      </c>
      <c r="Q895">
        <v>17</v>
      </c>
      <c r="R895" t="s">
        <v>141</v>
      </c>
      <c r="S895">
        <v>-0.84718945173155602</v>
      </c>
      <c r="T895" t="b">
        <v>0</v>
      </c>
      <c r="U895" t="b">
        <v>0</v>
      </c>
      <c r="V895" t="b">
        <f t="shared" si="26"/>
        <v>1</v>
      </c>
      <c r="W895">
        <v>0</v>
      </c>
      <c r="Y895">
        <f t="shared" si="27"/>
        <v>0</v>
      </c>
    </row>
    <row r="896" spans="1:25" x14ac:dyDescent="0.3">
      <c r="A896" t="s">
        <v>2453</v>
      </c>
      <c r="B896" t="s">
        <v>1124</v>
      </c>
      <c r="C896">
        <v>110.08</v>
      </c>
      <c r="D896" s="1">
        <v>45250.718900462962</v>
      </c>
      <c r="E896" t="s">
        <v>25</v>
      </c>
      <c r="F896" t="s">
        <v>85</v>
      </c>
      <c r="G896" t="s">
        <v>1872</v>
      </c>
      <c r="H896" t="s">
        <v>1113</v>
      </c>
      <c r="I896" t="s">
        <v>140</v>
      </c>
      <c r="J896" t="s">
        <v>81</v>
      </c>
      <c r="K896">
        <v>19</v>
      </c>
      <c r="L896" t="s">
        <v>46</v>
      </c>
      <c r="M896">
        <v>95</v>
      </c>
      <c r="N896">
        <v>1</v>
      </c>
      <c r="O896">
        <v>1447.26</v>
      </c>
      <c r="P896" s="1">
        <v>45600.339108796295</v>
      </c>
      <c r="Q896">
        <v>17</v>
      </c>
      <c r="R896" t="s">
        <v>47</v>
      </c>
      <c r="S896">
        <v>-0.64228871621621197</v>
      </c>
      <c r="T896" t="b">
        <v>0</v>
      </c>
      <c r="U896" t="b">
        <v>0</v>
      </c>
      <c r="V896" t="b">
        <f t="shared" si="26"/>
        <v>1</v>
      </c>
      <c r="W896">
        <v>0</v>
      </c>
      <c r="Y896">
        <f t="shared" si="27"/>
        <v>0</v>
      </c>
    </row>
    <row r="897" spans="1:25" x14ac:dyDescent="0.3">
      <c r="A897" t="s">
        <v>2454</v>
      </c>
      <c r="B897" t="s">
        <v>1530</v>
      </c>
      <c r="C897">
        <v>54.47</v>
      </c>
      <c r="D897" s="1">
        <v>45243.741053240738</v>
      </c>
      <c r="E897" t="s">
        <v>57</v>
      </c>
      <c r="F897" t="s">
        <v>256</v>
      </c>
      <c r="G897" t="s">
        <v>599</v>
      </c>
      <c r="H897" t="s">
        <v>2311</v>
      </c>
      <c r="I897" t="s">
        <v>753</v>
      </c>
      <c r="J897" t="s">
        <v>81</v>
      </c>
      <c r="K897">
        <v>23</v>
      </c>
      <c r="L897" t="s">
        <v>46</v>
      </c>
      <c r="M897">
        <v>34</v>
      </c>
      <c r="N897">
        <v>1</v>
      </c>
      <c r="O897">
        <v>1131.42</v>
      </c>
      <c r="P897" s="1">
        <v>45600.341145833336</v>
      </c>
      <c r="Q897">
        <v>17</v>
      </c>
      <c r="R897" t="s">
        <v>47</v>
      </c>
      <c r="S897">
        <v>-0.83276898873390304</v>
      </c>
      <c r="T897" t="b">
        <v>0</v>
      </c>
      <c r="U897" t="b">
        <v>0</v>
      </c>
      <c r="V897" t="b">
        <f t="shared" si="26"/>
        <v>1</v>
      </c>
      <c r="W897">
        <v>0</v>
      </c>
      <c r="Y897">
        <f t="shared" si="27"/>
        <v>0</v>
      </c>
    </row>
    <row r="898" spans="1:25" x14ac:dyDescent="0.3">
      <c r="A898" t="s">
        <v>2455</v>
      </c>
      <c r="B898" t="s">
        <v>232</v>
      </c>
      <c r="C898">
        <v>79.760000000000005</v>
      </c>
      <c r="D898" s="1">
        <v>45019.684432870374</v>
      </c>
      <c r="E898" t="s">
        <v>25</v>
      </c>
      <c r="F898" t="s">
        <v>304</v>
      </c>
      <c r="G898" t="s">
        <v>1474</v>
      </c>
      <c r="H898" t="s">
        <v>128</v>
      </c>
      <c r="I898" t="s">
        <v>182</v>
      </c>
      <c r="J898" t="s">
        <v>45</v>
      </c>
      <c r="K898">
        <v>68</v>
      </c>
      <c r="L898" t="s">
        <v>31</v>
      </c>
      <c r="M898">
        <v>115</v>
      </c>
      <c r="N898">
        <v>1</v>
      </c>
      <c r="O898">
        <v>10278.75</v>
      </c>
      <c r="P898" s="1">
        <v>45600.339050925926</v>
      </c>
      <c r="Q898">
        <v>16</v>
      </c>
      <c r="R898" t="s">
        <v>47</v>
      </c>
      <c r="S898">
        <v>-0.746143452104297</v>
      </c>
      <c r="T898" t="b">
        <v>0</v>
      </c>
      <c r="U898" t="b">
        <v>0</v>
      </c>
      <c r="V898" t="b">
        <f t="shared" si="26"/>
        <v>1</v>
      </c>
      <c r="W898">
        <v>0</v>
      </c>
      <c r="Y898">
        <f t="shared" si="27"/>
        <v>0</v>
      </c>
    </row>
    <row r="899" spans="1:25" x14ac:dyDescent="0.3">
      <c r="A899" t="s">
        <v>2456</v>
      </c>
      <c r="B899" t="s">
        <v>196</v>
      </c>
      <c r="C899">
        <v>16.79</v>
      </c>
      <c r="D899" s="1">
        <v>45236.696226851855</v>
      </c>
      <c r="E899" t="s">
        <v>57</v>
      </c>
      <c r="F899" t="s">
        <v>85</v>
      </c>
      <c r="G899" t="s">
        <v>1552</v>
      </c>
      <c r="H899" t="s">
        <v>2363</v>
      </c>
      <c r="I899" t="s">
        <v>295</v>
      </c>
      <c r="J899" t="s">
        <v>45</v>
      </c>
      <c r="K899">
        <v>30</v>
      </c>
      <c r="L899" t="s">
        <v>31</v>
      </c>
      <c r="M899">
        <v>146</v>
      </c>
      <c r="N899">
        <v>1</v>
      </c>
      <c r="O899">
        <v>535.15</v>
      </c>
      <c r="P899" s="1">
        <v>45600.340983796297</v>
      </c>
      <c r="Q899">
        <v>16</v>
      </c>
      <c r="R899" t="s">
        <v>47</v>
      </c>
      <c r="S899">
        <v>-0.96183384520695803</v>
      </c>
      <c r="T899" t="b">
        <v>0</v>
      </c>
      <c r="U899" t="b">
        <v>0</v>
      </c>
      <c r="V899" t="b">
        <f t="shared" ref="V899:V962" si="28">ISLOGICAL(T899)</f>
        <v>1</v>
      </c>
      <c r="W899">
        <v>0</v>
      </c>
      <c r="Y899">
        <f t="shared" ref="Y899:Y962" si="29">--T899</f>
        <v>0</v>
      </c>
    </row>
    <row r="900" spans="1:25" x14ac:dyDescent="0.3">
      <c r="A900" t="s">
        <v>2457</v>
      </c>
      <c r="B900" t="s">
        <v>1819</v>
      </c>
      <c r="C900">
        <v>1531.31</v>
      </c>
      <c r="D900" s="1">
        <v>45222.750335648147</v>
      </c>
      <c r="E900" t="s">
        <v>25</v>
      </c>
      <c r="F900" t="s">
        <v>26</v>
      </c>
      <c r="G900" t="s">
        <v>2458</v>
      </c>
      <c r="H900" t="s">
        <v>946</v>
      </c>
      <c r="I900" t="s">
        <v>316</v>
      </c>
      <c r="J900" t="s">
        <v>45</v>
      </c>
      <c r="K900">
        <v>18</v>
      </c>
      <c r="L900" t="s">
        <v>46</v>
      </c>
      <c r="M900">
        <v>62</v>
      </c>
      <c r="N900">
        <v>4</v>
      </c>
      <c r="O900">
        <v>859.86</v>
      </c>
      <c r="P900" s="1">
        <v>45600.337962962964</v>
      </c>
      <c r="Q900">
        <v>18</v>
      </c>
      <c r="R900" t="s">
        <v>47</v>
      </c>
      <c r="S900">
        <v>4.2258335227752903</v>
      </c>
      <c r="T900" t="b">
        <v>1</v>
      </c>
      <c r="U900" t="b">
        <v>1</v>
      </c>
      <c r="V900" t="b">
        <f t="shared" si="28"/>
        <v>1</v>
      </c>
      <c r="W900">
        <v>2</v>
      </c>
      <c r="Y900">
        <f t="shared" si="29"/>
        <v>1</v>
      </c>
    </row>
    <row r="901" spans="1:25" x14ac:dyDescent="0.3">
      <c r="A901" t="s">
        <v>2459</v>
      </c>
      <c r="B901" t="s">
        <v>692</v>
      </c>
      <c r="C901">
        <v>68.62</v>
      </c>
      <c r="D901" s="1">
        <v>45106.70685185185</v>
      </c>
      <c r="E901" t="s">
        <v>25</v>
      </c>
      <c r="F901" t="s">
        <v>309</v>
      </c>
      <c r="G901" t="s">
        <v>2460</v>
      </c>
      <c r="H901" t="s">
        <v>2072</v>
      </c>
      <c r="I901" t="s">
        <v>61</v>
      </c>
      <c r="J901" t="s">
        <v>81</v>
      </c>
      <c r="K901">
        <v>29</v>
      </c>
      <c r="L901" t="s">
        <v>31</v>
      </c>
      <c r="M901">
        <v>157</v>
      </c>
      <c r="N901">
        <v>1</v>
      </c>
      <c r="O901">
        <v>13891.47</v>
      </c>
      <c r="P901" s="1">
        <v>45600.340960648151</v>
      </c>
      <c r="Q901">
        <v>16</v>
      </c>
      <c r="R901" t="s">
        <v>141</v>
      </c>
      <c r="S901">
        <v>-0.78430116179404796</v>
      </c>
      <c r="T901" t="b">
        <v>0</v>
      </c>
      <c r="U901" t="b">
        <v>0</v>
      </c>
      <c r="V901" t="b">
        <f t="shared" si="28"/>
        <v>1</v>
      </c>
      <c r="W901">
        <v>0</v>
      </c>
      <c r="Y901">
        <f t="shared" si="29"/>
        <v>0</v>
      </c>
    </row>
    <row r="902" spans="1:25" x14ac:dyDescent="0.3">
      <c r="A902" t="s">
        <v>2461</v>
      </c>
      <c r="B902" t="s">
        <v>358</v>
      </c>
      <c r="C902">
        <v>157.16</v>
      </c>
      <c r="D902" s="1">
        <v>44998.732291666667</v>
      </c>
      <c r="E902" t="s">
        <v>25</v>
      </c>
      <c r="F902" t="s">
        <v>216</v>
      </c>
      <c r="G902" t="s">
        <v>2308</v>
      </c>
      <c r="H902" t="s">
        <v>482</v>
      </c>
      <c r="I902" t="s">
        <v>1537</v>
      </c>
      <c r="J902" t="s">
        <v>81</v>
      </c>
      <c r="K902">
        <v>20</v>
      </c>
      <c r="L902" t="s">
        <v>46</v>
      </c>
      <c r="M902">
        <v>280</v>
      </c>
      <c r="N902">
        <v>1</v>
      </c>
      <c r="O902">
        <v>1545.77</v>
      </c>
      <c r="P902" s="1">
        <v>45600.338506944441</v>
      </c>
      <c r="Q902">
        <v>17</v>
      </c>
      <c r="R902" t="s">
        <v>47</v>
      </c>
      <c r="S902">
        <v>-0.481026151387352</v>
      </c>
      <c r="T902" t="b">
        <v>0</v>
      </c>
      <c r="U902" t="b">
        <v>0</v>
      </c>
      <c r="V902" t="b">
        <f t="shared" si="28"/>
        <v>1</v>
      </c>
      <c r="W902">
        <v>0</v>
      </c>
      <c r="Y902">
        <f t="shared" si="29"/>
        <v>0</v>
      </c>
    </row>
    <row r="903" spans="1:25" x14ac:dyDescent="0.3">
      <c r="A903" t="s">
        <v>2462</v>
      </c>
      <c r="B903" t="s">
        <v>794</v>
      </c>
      <c r="C903">
        <v>643.38</v>
      </c>
      <c r="D903" s="1">
        <v>45236.721770833334</v>
      </c>
      <c r="E903" t="s">
        <v>57</v>
      </c>
      <c r="F903" t="s">
        <v>85</v>
      </c>
      <c r="G903" t="s">
        <v>2169</v>
      </c>
      <c r="H903" t="s">
        <v>992</v>
      </c>
      <c r="I903" t="s">
        <v>265</v>
      </c>
      <c r="J903" t="s">
        <v>45</v>
      </c>
      <c r="K903">
        <v>18</v>
      </c>
      <c r="L903" t="s">
        <v>46</v>
      </c>
      <c r="M903">
        <v>105</v>
      </c>
      <c r="N903">
        <v>1</v>
      </c>
      <c r="O903">
        <v>1046.74</v>
      </c>
      <c r="P903" s="1">
        <v>45600.341678240744</v>
      </c>
      <c r="Q903">
        <v>17</v>
      </c>
      <c r="R903" t="s">
        <v>47</v>
      </c>
      <c r="S903">
        <v>1.18441743975725</v>
      </c>
      <c r="T903" t="b">
        <v>0</v>
      </c>
      <c r="U903" t="b">
        <v>0</v>
      </c>
      <c r="V903" t="b">
        <f t="shared" si="28"/>
        <v>1</v>
      </c>
      <c r="W903">
        <v>0</v>
      </c>
      <c r="Y903">
        <f t="shared" si="29"/>
        <v>0</v>
      </c>
    </row>
    <row r="904" spans="1:25" x14ac:dyDescent="0.3">
      <c r="A904" t="s">
        <v>2463</v>
      </c>
      <c r="B904" t="s">
        <v>91</v>
      </c>
      <c r="C904">
        <v>328.34</v>
      </c>
      <c r="D904" s="1">
        <v>45211.679016203707</v>
      </c>
      <c r="E904" t="s">
        <v>57</v>
      </c>
      <c r="F904" t="s">
        <v>26</v>
      </c>
      <c r="G904" t="s">
        <v>1204</v>
      </c>
      <c r="H904" t="s">
        <v>2267</v>
      </c>
      <c r="I904" t="s">
        <v>253</v>
      </c>
      <c r="J904" t="s">
        <v>45</v>
      </c>
      <c r="K904">
        <v>42</v>
      </c>
      <c r="L904" t="s">
        <v>89</v>
      </c>
      <c r="M904">
        <v>31</v>
      </c>
      <c r="N904">
        <v>1</v>
      </c>
      <c r="O904">
        <v>2840.45</v>
      </c>
      <c r="P904" s="1">
        <v>45600.339583333334</v>
      </c>
      <c r="Q904">
        <v>16</v>
      </c>
      <c r="R904" t="s">
        <v>141</v>
      </c>
      <c r="S904">
        <v>0.105314669500587</v>
      </c>
      <c r="T904" t="b">
        <v>0</v>
      </c>
      <c r="U904" t="b">
        <v>0</v>
      </c>
      <c r="V904" t="b">
        <f t="shared" si="28"/>
        <v>1</v>
      </c>
      <c r="W904">
        <v>0</v>
      </c>
      <c r="Y904">
        <f t="shared" si="29"/>
        <v>0</v>
      </c>
    </row>
    <row r="905" spans="1:25" x14ac:dyDescent="0.3">
      <c r="A905" t="s">
        <v>2464</v>
      </c>
      <c r="B905" t="s">
        <v>1798</v>
      </c>
      <c r="C905">
        <v>72.680000000000007</v>
      </c>
      <c r="D905" s="1">
        <v>45128.747789351852</v>
      </c>
      <c r="E905" t="s">
        <v>25</v>
      </c>
      <c r="F905" t="s">
        <v>70</v>
      </c>
      <c r="G905" t="s">
        <v>1646</v>
      </c>
      <c r="H905" t="s">
        <v>1267</v>
      </c>
      <c r="I905" t="s">
        <v>844</v>
      </c>
      <c r="J905" t="s">
        <v>45</v>
      </c>
      <c r="K905">
        <v>69</v>
      </c>
      <c r="L905" t="s">
        <v>82</v>
      </c>
      <c r="M905">
        <v>44</v>
      </c>
      <c r="N905">
        <v>1</v>
      </c>
      <c r="O905">
        <v>6216.77</v>
      </c>
      <c r="P905" s="1">
        <v>45600.340509259258</v>
      </c>
      <c r="Q905">
        <v>17</v>
      </c>
      <c r="R905" t="s">
        <v>54</v>
      </c>
      <c r="S905">
        <v>-0.77039449201483901</v>
      </c>
      <c r="T905" t="b">
        <v>0</v>
      </c>
      <c r="U905" t="b">
        <v>0</v>
      </c>
      <c r="V905" t="b">
        <f t="shared" si="28"/>
        <v>1</v>
      </c>
      <c r="W905">
        <v>0</v>
      </c>
      <c r="Y905">
        <f t="shared" si="29"/>
        <v>0</v>
      </c>
    </row>
    <row r="906" spans="1:25" x14ac:dyDescent="0.3">
      <c r="A906" t="s">
        <v>2465</v>
      </c>
      <c r="B906" t="s">
        <v>255</v>
      </c>
      <c r="C906">
        <v>354.76</v>
      </c>
      <c r="D906" s="1">
        <v>45063.687557870369</v>
      </c>
      <c r="E906" t="s">
        <v>25</v>
      </c>
      <c r="F906" t="s">
        <v>85</v>
      </c>
      <c r="G906" t="s">
        <v>2466</v>
      </c>
      <c r="H906" t="s">
        <v>1696</v>
      </c>
      <c r="I906" t="s">
        <v>162</v>
      </c>
      <c r="J906" t="s">
        <v>81</v>
      </c>
      <c r="K906">
        <v>51</v>
      </c>
      <c r="L906" t="s">
        <v>31</v>
      </c>
      <c r="M906">
        <v>279</v>
      </c>
      <c r="N906">
        <v>1</v>
      </c>
      <c r="O906">
        <v>10141.92</v>
      </c>
      <c r="P906" s="1">
        <v>45600.338645833333</v>
      </c>
      <c r="Q906">
        <v>16</v>
      </c>
      <c r="R906" t="s">
        <v>74</v>
      </c>
      <c r="S906">
        <v>0.19581078170913599</v>
      </c>
      <c r="T906" t="b">
        <v>0</v>
      </c>
      <c r="U906" t="b">
        <v>0</v>
      </c>
      <c r="V906" t="b">
        <f t="shared" si="28"/>
        <v>1</v>
      </c>
      <c r="W906">
        <v>0</v>
      </c>
      <c r="Y906">
        <f t="shared" si="29"/>
        <v>0</v>
      </c>
    </row>
    <row r="907" spans="1:25" x14ac:dyDescent="0.3">
      <c r="A907" t="s">
        <v>2467</v>
      </c>
      <c r="B907" t="s">
        <v>1766</v>
      </c>
      <c r="C907">
        <v>793.88</v>
      </c>
      <c r="D907" s="1">
        <v>44979.678807870368</v>
      </c>
      <c r="E907" t="s">
        <v>57</v>
      </c>
      <c r="F907" t="s">
        <v>153</v>
      </c>
      <c r="G907" t="s">
        <v>1552</v>
      </c>
      <c r="H907" t="s">
        <v>1689</v>
      </c>
      <c r="I907" t="s">
        <v>321</v>
      </c>
      <c r="J907" t="s">
        <v>30</v>
      </c>
      <c r="K907">
        <v>22</v>
      </c>
      <c r="L907" t="s">
        <v>46</v>
      </c>
      <c r="M907">
        <v>252</v>
      </c>
      <c r="N907">
        <v>1</v>
      </c>
      <c r="O907">
        <v>1404.06</v>
      </c>
      <c r="P907" s="1">
        <v>45600.33834490741</v>
      </c>
      <c r="Q907">
        <v>16</v>
      </c>
      <c r="R907" t="s">
        <v>74</v>
      </c>
      <c r="S907">
        <v>1.6999233022624201</v>
      </c>
      <c r="T907" t="b">
        <v>0</v>
      </c>
      <c r="U907" t="b">
        <v>0</v>
      </c>
      <c r="V907" t="b">
        <f t="shared" si="28"/>
        <v>1</v>
      </c>
      <c r="W907">
        <v>0</v>
      </c>
      <c r="Y907">
        <f t="shared" si="29"/>
        <v>0</v>
      </c>
    </row>
    <row r="908" spans="1:25" x14ac:dyDescent="0.3">
      <c r="A908" t="s">
        <v>2468</v>
      </c>
      <c r="B908" t="s">
        <v>2469</v>
      </c>
      <c r="C908">
        <v>29.22</v>
      </c>
      <c r="D908" s="1">
        <v>44984.773472222223</v>
      </c>
      <c r="E908" t="s">
        <v>25</v>
      </c>
      <c r="F908" t="s">
        <v>85</v>
      </c>
      <c r="G908" t="s">
        <v>1511</v>
      </c>
      <c r="H908" t="s">
        <v>2272</v>
      </c>
      <c r="I908" t="s">
        <v>695</v>
      </c>
      <c r="J908" t="s">
        <v>30</v>
      </c>
      <c r="K908">
        <v>27</v>
      </c>
      <c r="L908" t="s">
        <v>89</v>
      </c>
      <c r="M908">
        <v>69</v>
      </c>
      <c r="N908">
        <v>1</v>
      </c>
      <c r="O908">
        <v>7795.79</v>
      </c>
      <c r="P908" s="1">
        <v>45600.340601851851</v>
      </c>
      <c r="Q908">
        <v>18</v>
      </c>
      <c r="R908" t="s">
        <v>47</v>
      </c>
      <c r="S908">
        <v>-0.919257513838591</v>
      </c>
      <c r="T908" t="b">
        <v>0</v>
      </c>
      <c r="U908" t="b">
        <v>0</v>
      </c>
      <c r="V908" t="b">
        <f t="shared" si="28"/>
        <v>1</v>
      </c>
      <c r="W908">
        <v>0</v>
      </c>
      <c r="Y908">
        <f t="shared" si="29"/>
        <v>0</v>
      </c>
    </row>
    <row r="909" spans="1:25" x14ac:dyDescent="0.3">
      <c r="A909" t="s">
        <v>2470</v>
      </c>
      <c r="B909" t="s">
        <v>114</v>
      </c>
      <c r="C909">
        <v>653.97</v>
      </c>
      <c r="D909" s="1">
        <v>45203.736898148149</v>
      </c>
      <c r="E909" t="s">
        <v>25</v>
      </c>
      <c r="F909" t="s">
        <v>185</v>
      </c>
      <c r="G909" t="s">
        <v>2471</v>
      </c>
      <c r="H909" t="s">
        <v>1618</v>
      </c>
      <c r="I909" t="s">
        <v>665</v>
      </c>
      <c r="J909" t="s">
        <v>45</v>
      </c>
      <c r="K909">
        <v>37</v>
      </c>
      <c r="L909" t="s">
        <v>89</v>
      </c>
      <c r="M909">
        <v>100</v>
      </c>
      <c r="N909">
        <v>1</v>
      </c>
      <c r="O909">
        <v>3886.65</v>
      </c>
      <c r="P909" s="1">
        <v>45600.341631944444</v>
      </c>
      <c r="Q909">
        <v>17</v>
      </c>
      <c r="R909" t="s">
        <v>74</v>
      </c>
      <c r="S909">
        <v>1.22069124097938</v>
      </c>
      <c r="T909" t="b">
        <v>0</v>
      </c>
      <c r="U909" t="b">
        <v>0</v>
      </c>
      <c r="V909" t="b">
        <f t="shared" si="28"/>
        <v>1</v>
      </c>
      <c r="W909">
        <v>0</v>
      </c>
      <c r="Y909">
        <f t="shared" si="29"/>
        <v>0</v>
      </c>
    </row>
    <row r="910" spans="1:25" x14ac:dyDescent="0.3">
      <c r="A910" t="s">
        <v>2472</v>
      </c>
      <c r="B910" t="s">
        <v>1006</v>
      </c>
      <c r="C910">
        <v>366.43</v>
      </c>
      <c r="D910" s="1">
        <v>44956.693738425929</v>
      </c>
      <c r="E910" t="s">
        <v>57</v>
      </c>
      <c r="F910" t="s">
        <v>608</v>
      </c>
      <c r="G910" t="s">
        <v>2412</v>
      </c>
      <c r="H910" t="s">
        <v>2054</v>
      </c>
      <c r="I910" t="s">
        <v>1027</v>
      </c>
      <c r="J910" t="s">
        <v>45</v>
      </c>
      <c r="K910">
        <v>21</v>
      </c>
      <c r="L910" t="s">
        <v>46</v>
      </c>
      <c r="M910">
        <v>92</v>
      </c>
      <c r="N910">
        <v>1</v>
      </c>
      <c r="O910">
        <v>1560.45</v>
      </c>
      <c r="P910" s="1">
        <v>45600.34002314815</v>
      </c>
      <c r="Q910">
        <v>16</v>
      </c>
      <c r="R910" t="s">
        <v>47</v>
      </c>
      <c r="S910">
        <v>0.23578389410405501</v>
      </c>
      <c r="T910" t="b">
        <v>0</v>
      </c>
      <c r="U910" t="b">
        <v>0</v>
      </c>
      <c r="V910" t="b">
        <f t="shared" si="28"/>
        <v>1</v>
      </c>
      <c r="W910">
        <v>0</v>
      </c>
      <c r="Y910">
        <f t="shared" si="29"/>
        <v>0</v>
      </c>
    </row>
    <row r="911" spans="1:25" x14ac:dyDescent="0.3">
      <c r="A911" t="s">
        <v>2473</v>
      </c>
      <c r="B911" t="s">
        <v>350</v>
      </c>
      <c r="C911">
        <v>120.86</v>
      </c>
      <c r="D911" s="1">
        <v>45246.748437499999</v>
      </c>
      <c r="E911" t="s">
        <v>25</v>
      </c>
      <c r="F911" t="s">
        <v>534</v>
      </c>
      <c r="G911" t="s">
        <v>2474</v>
      </c>
      <c r="H911" t="s">
        <v>916</v>
      </c>
      <c r="I911" t="s">
        <v>440</v>
      </c>
      <c r="J911" t="s">
        <v>45</v>
      </c>
      <c r="K911">
        <v>33</v>
      </c>
      <c r="L911" t="s">
        <v>31</v>
      </c>
      <c r="M911">
        <v>162</v>
      </c>
      <c r="N911">
        <v>4</v>
      </c>
      <c r="O911">
        <v>13566.58</v>
      </c>
      <c r="P911" s="1">
        <v>45600.341527777775</v>
      </c>
      <c r="Q911">
        <v>17</v>
      </c>
      <c r="R911" t="s">
        <v>141</v>
      </c>
      <c r="S911">
        <v>-0.60536411025072501</v>
      </c>
      <c r="T911" t="b">
        <v>0</v>
      </c>
      <c r="U911" t="b">
        <v>1</v>
      </c>
      <c r="V911" t="b">
        <f t="shared" si="28"/>
        <v>1</v>
      </c>
      <c r="W911">
        <v>1</v>
      </c>
      <c r="Y911">
        <f t="shared" si="29"/>
        <v>0</v>
      </c>
    </row>
    <row r="912" spans="1:25" x14ac:dyDescent="0.3">
      <c r="A912" t="s">
        <v>2475</v>
      </c>
      <c r="B912" t="s">
        <v>169</v>
      </c>
      <c r="C912">
        <v>233.74</v>
      </c>
      <c r="D912" s="1">
        <v>44970.69699074074</v>
      </c>
      <c r="E912" t="s">
        <v>25</v>
      </c>
      <c r="F912" t="s">
        <v>401</v>
      </c>
      <c r="G912" t="s">
        <v>1591</v>
      </c>
      <c r="H912" t="s">
        <v>1061</v>
      </c>
      <c r="I912" t="s">
        <v>695</v>
      </c>
      <c r="J912" t="s">
        <v>45</v>
      </c>
      <c r="K912">
        <v>72</v>
      </c>
      <c r="L912" t="s">
        <v>82</v>
      </c>
      <c r="M912">
        <v>142</v>
      </c>
      <c r="N912">
        <v>1</v>
      </c>
      <c r="O912">
        <v>4749.54</v>
      </c>
      <c r="P912" s="1">
        <v>45600.337812500002</v>
      </c>
      <c r="Q912">
        <v>16</v>
      </c>
      <c r="R912" t="s">
        <v>47</v>
      </c>
      <c r="S912">
        <v>-0.218717586931233</v>
      </c>
      <c r="T912" t="b">
        <v>0</v>
      </c>
      <c r="U912" t="b">
        <v>0</v>
      </c>
      <c r="V912" t="b">
        <f t="shared" si="28"/>
        <v>1</v>
      </c>
      <c r="W912">
        <v>0</v>
      </c>
      <c r="Y912">
        <f t="shared" si="29"/>
        <v>0</v>
      </c>
    </row>
    <row r="913" spans="1:25" x14ac:dyDescent="0.3">
      <c r="A913" t="s">
        <v>2476</v>
      </c>
      <c r="B913" t="s">
        <v>2477</v>
      </c>
      <c r="C913">
        <v>471.84</v>
      </c>
      <c r="D913" s="1">
        <v>45198.730138888888</v>
      </c>
      <c r="E913" t="s">
        <v>25</v>
      </c>
      <c r="F913" t="s">
        <v>50</v>
      </c>
      <c r="G913" t="s">
        <v>2222</v>
      </c>
      <c r="H913" t="s">
        <v>2478</v>
      </c>
      <c r="I913" t="s">
        <v>1027</v>
      </c>
      <c r="J913" t="s">
        <v>30</v>
      </c>
      <c r="K913">
        <v>18</v>
      </c>
      <c r="L913" t="s">
        <v>46</v>
      </c>
      <c r="M913">
        <v>138</v>
      </c>
      <c r="N913">
        <v>1</v>
      </c>
      <c r="O913">
        <v>1044.33</v>
      </c>
      <c r="P913" s="1">
        <v>45600.339409722219</v>
      </c>
      <c r="Q913">
        <v>17</v>
      </c>
      <c r="R913" t="s">
        <v>54</v>
      </c>
      <c r="S913">
        <v>0.59684351514505096</v>
      </c>
      <c r="T913" t="b">
        <v>0</v>
      </c>
      <c r="U913" t="b">
        <v>0</v>
      </c>
      <c r="V913" t="b">
        <f t="shared" si="28"/>
        <v>1</v>
      </c>
      <c r="W913">
        <v>0</v>
      </c>
      <c r="Y913">
        <f t="shared" si="29"/>
        <v>0</v>
      </c>
    </row>
    <row r="914" spans="1:25" x14ac:dyDescent="0.3">
      <c r="A914" t="s">
        <v>2479</v>
      </c>
      <c r="B914" t="s">
        <v>2480</v>
      </c>
      <c r="C914">
        <v>213.4</v>
      </c>
      <c r="D914" s="1">
        <v>45152.694884259261</v>
      </c>
      <c r="E914" t="s">
        <v>57</v>
      </c>
      <c r="F914" t="s">
        <v>170</v>
      </c>
      <c r="G914" t="s">
        <v>941</v>
      </c>
      <c r="H914" t="s">
        <v>338</v>
      </c>
      <c r="I914" t="s">
        <v>356</v>
      </c>
      <c r="J914" t="s">
        <v>81</v>
      </c>
      <c r="K914">
        <v>73</v>
      </c>
      <c r="L914" t="s">
        <v>82</v>
      </c>
      <c r="M914">
        <v>100</v>
      </c>
      <c r="N914">
        <v>1</v>
      </c>
      <c r="O914">
        <v>2012.24</v>
      </c>
      <c r="P914" s="1">
        <v>45600.339895833335</v>
      </c>
      <c r="Q914">
        <v>16</v>
      </c>
      <c r="R914" t="s">
        <v>47</v>
      </c>
      <c r="S914">
        <v>-0.28838794735219703</v>
      </c>
      <c r="T914" t="b">
        <v>0</v>
      </c>
      <c r="U914" t="b">
        <v>0</v>
      </c>
      <c r="V914" t="b">
        <f t="shared" si="28"/>
        <v>1</v>
      </c>
      <c r="W914">
        <v>0</v>
      </c>
      <c r="Y914">
        <f t="shared" si="29"/>
        <v>0</v>
      </c>
    </row>
    <row r="915" spans="1:25" x14ac:dyDescent="0.3">
      <c r="A915" t="s">
        <v>2481</v>
      </c>
      <c r="B915" t="s">
        <v>1213</v>
      </c>
      <c r="C915">
        <v>254.21</v>
      </c>
      <c r="D915" s="1">
        <v>45068.700092592589</v>
      </c>
      <c r="E915" t="s">
        <v>25</v>
      </c>
      <c r="F915" t="s">
        <v>438</v>
      </c>
      <c r="G915" t="s">
        <v>2248</v>
      </c>
      <c r="H915" t="s">
        <v>2478</v>
      </c>
      <c r="I915" t="s">
        <v>107</v>
      </c>
      <c r="J915" t="s">
        <v>30</v>
      </c>
      <c r="K915">
        <v>48</v>
      </c>
      <c r="L915" t="s">
        <v>89</v>
      </c>
      <c r="M915">
        <v>46</v>
      </c>
      <c r="N915">
        <v>1</v>
      </c>
      <c r="O915">
        <v>2487.1999999999998</v>
      </c>
      <c r="P915" s="1">
        <v>45600.340856481482</v>
      </c>
      <c r="Q915">
        <v>16</v>
      </c>
      <c r="R915" t="s">
        <v>47</v>
      </c>
      <c r="S915">
        <v>-0.14860193905428401</v>
      </c>
      <c r="T915" t="b">
        <v>0</v>
      </c>
      <c r="U915" t="b">
        <v>0</v>
      </c>
      <c r="V915" t="b">
        <f t="shared" si="28"/>
        <v>1</v>
      </c>
      <c r="W915">
        <v>0</v>
      </c>
      <c r="Y915">
        <f t="shared" si="29"/>
        <v>0</v>
      </c>
    </row>
    <row r="916" spans="1:25" x14ac:dyDescent="0.3">
      <c r="A916" t="s">
        <v>2482</v>
      </c>
      <c r="B916" t="s">
        <v>1094</v>
      </c>
      <c r="C916">
        <v>577.73</v>
      </c>
      <c r="D916" s="1">
        <v>45240.685046296298</v>
      </c>
      <c r="E916" t="s">
        <v>25</v>
      </c>
      <c r="F916" t="s">
        <v>236</v>
      </c>
      <c r="G916" t="s">
        <v>2450</v>
      </c>
      <c r="H916" t="s">
        <v>294</v>
      </c>
      <c r="I916" t="s">
        <v>463</v>
      </c>
      <c r="J916" t="s">
        <v>30</v>
      </c>
      <c r="K916">
        <v>37</v>
      </c>
      <c r="L916" t="s">
        <v>31</v>
      </c>
      <c r="M916">
        <v>63</v>
      </c>
      <c r="N916">
        <v>1</v>
      </c>
      <c r="O916">
        <v>14977.99</v>
      </c>
      <c r="P916" s="1">
        <v>45600.33792824074</v>
      </c>
      <c r="Q916">
        <v>16</v>
      </c>
      <c r="R916" t="s">
        <v>54</v>
      </c>
      <c r="S916">
        <v>0.95954727448506805</v>
      </c>
      <c r="T916" t="b">
        <v>0</v>
      </c>
      <c r="U916" t="b">
        <v>0</v>
      </c>
      <c r="V916" t="b">
        <f t="shared" si="28"/>
        <v>1</v>
      </c>
      <c r="W916">
        <v>0</v>
      </c>
      <c r="Y916">
        <f t="shared" si="29"/>
        <v>0</v>
      </c>
    </row>
    <row r="917" spans="1:25" x14ac:dyDescent="0.3">
      <c r="A917" t="s">
        <v>2483</v>
      </c>
      <c r="B917" t="s">
        <v>570</v>
      </c>
      <c r="C917">
        <v>170.26</v>
      </c>
      <c r="D917" s="1">
        <v>45194.707233796296</v>
      </c>
      <c r="E917" t="s">
        <v>25</v>
      </c>
      <c r="F917" t="s">
        <v>278</v>
      </c>
      <c r="G917" t="s">
        <v>1399</v>
      </c>
      <c r="H917" t="s">
        <v>1061</v>
      </c>
      <c r="I917" t="s">
        <v>213</v>
      </c>
      <c r="J917" t="s">
        <v>30</v>
      </c>
      <c r="K917">
        <v>27</v>
      </c>
      <c r="L917" t="s">
        <v>46</v>
      </c>
      <c r="M917">
        <v>265</v>
      </c>
      <c r="N917">
        <v>1</v>
      </c>
      <c r="O917">
        <v>1969.48</v>
      </c>
      <c r="P917" s="1">
        <v>45600.338564814818</v>
      </c>
      <c r="Q917">
        <v>16</v>
      </c>
      <c r="R917" t="s">
        <v>47</v>
      </c>
      <c r="S917">
        <v>-0.43615487697660299</v>
      </c>
      <c r="T917" t="b">
        <v>0</v>
      </c>
      <c r="U917" t="b">
        <v>0</v>
      </c>
      <c r="V917" t="b">
        <f t="shared" si="28"/>
        <v>1</v>
      </c>
      <c r="W917">
        <v>0</v>
      </c>
      <c r="Y917">
        <f t="shared" si="29"/>
        <v>0</v>
      </c>
    </row>
    <row r="918" spans="1:25" x14ac:dyDescent="0.3">
      <c r="A918" t="s">
        <v>2484</v>
      </c>
      <c r="B918" t="s">
        <v>661</v>
      </c>
      <c r="C918">
        <v>337.73</v>
      </c>
      <c r="D918" s="1">
        <v>45069.717118055552</v>
      </c>
      <c r="E918" t="s">
        <v>25</v>
      </c>
      <c r="F918" t="s">
        <v>250</v>
      </c>
      <c r="G918" t="s">
        <v>2485</v>
      </c>
      <c r="H918" t="s">
        <v>771</v>
      </c>
      <c r="I918" t="s">
        <v>162</v>
      </c>
      <c r="J918" t="s">
        <v>45</v>
      </c>
      <c r="K918">
        <v>78</v>
      </c>
      <c r="L918" t="s">
        <v>82</v>
      </c>
      <c r="M918">
        <v>107</v>
      </c>
      <c r="N918">
        <v>4</v>
      </c>
      <c r="O918">
        <v>7001.2</v>
      </c>
      <c r="P918" s="1">
        <v>45600.338518518518</v>
      </c>
      <c r="Q918">
        <v>17</v>
      </c>
      <c r="R918" t="s">
        <v>32</v>
      </c>
      <c r="S918">
        <v>0.13747812497516201</v>
      </c>
      <c r="T918" t="b">
        <v>0</v>
      </c>
      <c r="U918" t="b">
        <v>1</v>
      </c>
      <c r="V918" t="b">
        <f t="shared" si="28"/>
        <v>1</v>
      </c>
      <c r="W918">
        <v>1</v>
      </c>
      <c r="Y918">
        <f t="shared" si="29"/>
        <v>0</v>
      </c>
    </row>
    <row r="919" spans="1:25" x14ac:dyDescent="0.3">
      <c r="A919" t="s">
        <v>2486</v>
      </c>
      <c r="B919" t="s">
        <v>1821</v>
      </c>
      <c r="C919">
        <v>330.61</v>
      </c>
      <c r="D919" s="1">
        <v>45113.669895833336</v>
      </c>
      <c r="E919" t="s">
        <v>57</v>
      </c>
      <c r="F919" t="s">
        <v>92</v>
      </c>
      <c r="G919" t="s">
        <v>2487</v>
      </c>
      <c r="H919" t="s">
        <v>343</v>
      </c>
      <c r="I919" t="s">
        <v>527</v>
      </c>
      <c r="J919" t="s">
        <v>81</v>
      </c>
      <c r="K919">
        <v>64</v>
      </c>
      <c r="L919" t="s">
        <v>82</v>
      </c>
      <c r="M919">
        <v>113</v>
      </c>
      <c r="N919">
        <v>1</v>
      </c>
      <c r="O919">
        <v>2525.25</v>
      </c>
      <c r="P919" s="1">
        <v>45600.340671296297</v>
      </c>
      <c r="Q919">
        <v>16</v>
      </c>
      <c r="R919" t="s">
        <v>141</v>
      </c>
      <c r="S919">
        <v>0.113090073539702</v>
      </c>
      <c r="T919" t="b">
        <v>0</v>
      </c>
      <c r="U919" t="b">
        <v>0</v>
      </c>
      <c r="V919" t="b">
        <f t="shared" si="28"/>
        <v>1</v>
      </c>
      <c r="W919">
        <v>0</v>
      </c>
      <c r="Y919">
        <f t="shared" si="29"/>
        <v>0</v>
      </c>
    </row>
    <row r="920" spans="1:25" x14ac:dyDescent="0.3">
      <c r="A920" t="s">
        <v>2488</v>
      </c>
      <c r="B920" t="s">
        <v>1485</v>
      </c>
      <c r="C920">
        <v>132.33000000000001</v>
      </c>
      <c r="D920" s="1">
        <v>45240.689166666663</v>
      </c>
      <c r="E920" t="s">
        <v>57</v>
      </c>
      <c r="F920" t="s">
        <v>438</v>
      </c>
      <c r="G920" t="s">
        <v>2489</v>
      </c>
      <c r="H920" t="s">
        <v>2490</v>
      </c>
      <c r="I920" t="s">
        <v>445</v>
      </c>
      <c r="J920" t="s">
        <v>30</v>
      </c>
      <c r="K920">
        <v>35</v>
      </c>
      <c r="L920" t="s">
        <v>89</v>
      </c>
      <c r="M920">
        <v>47</v>
      </c>
      <c r="N920">
        <v>1</v>
      </c>
      <c r="O920">
        <v>7457.94</v>
      </c>
      <c r="P920" s="1">
        <v>45600.33935185185</v>
      </c>
      <c r="Q920">
        <v>16</v>
      </c>
      <c r="R920" t="s">
        <v>54</v>
      </c>
      <c r="S920">
        <v>-0.56607605548039797</v>
      </c>
      <c r="T920" t="b">
        <v>0</v>
      </c>
      <c r="U920" t="b">
        <v>0</v>
      </c>
      <c r="V920" t="b">
        <f t="shared" si="28"/>
        <v>1</v>
      </c>
      <c r="W920">
        <v>0</v>
      </c>
      <c r="Y920">
        <f t="shared" si="29"/>
        <v>0</v>
      </c>
    </row>
    <row r="921" spans="1:25" x14ac:dyDescent="0.3">
      <c r="A921" t="s">
        <v>2491</v>
      </c>
      <c r="B921" t="s">
        <v>1567</v>
      </c>
      <c r="C921">
        <v>672.74</v>
      </c>
      <c r="D921" s="1">
        <v>45148.694131944445</v>
      </c>
      <c r="E921" t="s">
        <v>57</v>
      </c>
      <c r="F921" t="s">
        <v>534</v>
      </c>
      <c r="G921" t="s">
        <v>2492</v>
      </c>
      <c r="H921" t="s">
        <v>1409</v>
      </c>
      <c r="I921" t="s">
        <v>1537</v>
      </c>
      <c r="J921" t="s">
        <v>81</v>
      </c>
      <c r="K921">
        <v>46</v>
      </c>
      <c r="L921" t="s">
        <v>89</v>
      </c>
      <c r="M921">
        <v>118</v>
      </c>
      <c r="N921">
        <v>1</v>
      </c>
      <c r="O921">
        <v>5386.52</v>
      </c>
      <c r="P921" s="1">
        <v>45600.341458333336</v>
      </c>
      <c r="Q921">
        <v>16</v>
      </c>
      <c r="R921" t="s">
        <v>141</v>
      </c>
      <c r="S921">
        <v>1.2849838990472999</v>
      </c>
      <c r="T921" t="b">
        <v>0</v>
      </c>
      <c r="U921" t="b">
        <v>0</v>
      </c>
      <c r="V921" t="b">
        <f t="shared" si="28"/>
        <v>1</v>
      </c>
      <c r="W921">
        <v>0</v>
      </c>
      <c r="Y921">
        <f t="shared" si="29"/>
        <v>0</v>
      </c>
    </row>
    <row r="922" spans="1:25" x14ac:dyDescent="0.3">
      <c r="A922" t="s">
        <v>2493</v>
      </c>
      <c r="B922" t="s">
        <v>2494</v>
      </c>
      <c r="C922">
        <v>74.040000000000006</v>
      </c>
      <c r="D922" s="1">
        <v>44980.76630787037</v>
      </c>
      <c r="E922" t="s">
        <v>25</v>
      </c>
      <c r="F922" t="s">
        <v>104</v>
      </c>
      <c r="G922" t="s">
        <v>283</v>
      </c>
      <c r="H922" t="s">
        <v>122</v>
      </c>
      <c r="I922" t="s">
        <v>222</v>
      </c>
      <c r="J922" t="s">
        <v>45</v>
      </c>
      <c r="K922">
        <v>18</v>
      </c>
      <c r="L922" t="s">
        <v>46</v>
      </c>
      <c r="M922">
        <v>66</v>
      </c>
      <c r="N922">
        <v>1</v>
      </c>
      <c r="O922">
        <v>1690.23</v>
      </c>
      <c r="P922" s="1">
        <v>45600.341307870367</v>
      </c>
      <c r="Q922">
        <v>18</v>
      </c>
      <c r="R922" t="s">
        <v>141</v>
      </c>
      <c r="S922">
        <v>-0.76573610016761595</v>
      </c>
      <c r="T922" t="b">
        <v>0</v>
      </c>
      <c r="U922" t="b">
        <v>0</v>
      </c>
      <c r="V922" t="b">
        <f t="shared" si="28"/>
        <v>1</v>
      </c>
      <c r="W922">
        <v>0</v>
      </c>
      <c r="Y922">
        <f t="shared" si="29"/>
        <v>0</v>
      </c>
    </row>
    <row r="923" spans="1:25" x14ac:dyDescent="0.3">
      <c r="A923" t="s">
        <v>2495</v>
      </c>
      <c r="B923" t="s">
        <v>1160</v>
      </c>
      <c r="C923">
        <v>197.18</v>
      </c>
      <c r="D923" s="1">
        <v>45055.699791666666</v>
      </c>
      <c r="E923" t="s">
        <v>25</v>
      </c>
      <c r="F923" t="s">
        <v>268</v>
      </c>
      <c r="G923" t="s">
        <v>229</v>
      </c>
      <c r="H923" t="s">
        <v>1412</v>
      </c>
      <c r="I923" t="s">
        <v>1362</v>
      </c>
      <c r="J923" t="s">
        <v>45</v>
      </c>
      <c r="K923">
        <v>28</v>
      </c>
      <c r="L923" t="s">
        <v>89</v>
      </c>
      <c r="M923">
        <v>135</v>
      </c>
      <c r="N923">
        <v>1</v>
      </c>
      <c r="O923">
        <v>3114.92</v>
      </c>
      <c r="P923" s="1">
        <v>45600.340300925927</v>
      </c>
      <c r="Q923">
        <v>16</v>
      </c>
      <c r="R923" t="s">
        <v>32</v>
      </c>
      <c r="S923">
        <v>-0.34394612070657499</v>
      </c>
      <c r="T923" t="b">
        <v>0</v>
      </c>
      <c r="U923" t="b">
        <v>0</v>
      </c>
      <c r="V923" t="b">
        <f t="shared" si="28"/>
        <v>1</v>
      </c>
      <c r="W923">
        <v>0</v>
      </c>
      <c r="Y923">
        <f t="shared" si="29"/>
        <v>0</v>
      </c>
    </row>
    <row r="924" spans="1:25" x14ac:dyDescent="0.3">
      <c r="A924" t="s">
        <v>2496</v>
      </c>
      <c r="B924" t="s">
        <v>2251</v>
      </c>
      <c r="C924">
        <v>21.15</v>
      </c>
      <c r="D924" s="1">
        <v>45250.670949074076</v>
      </c>
      <c r="E924" t="s">
        <v>25</v>
      </c>
      <c r="F924" t="s">
        <v>137</v>
      </c>
      <c r="G924" t="s">
        <v>1128</v>
      </c>
      <c r="H924" t="s">
        <v>2497</v>
      </c>
      <c r="I924" t="s">
        <v>720</v>
      </c>
      <c r="J924" t="s">
        <v>81</v>
      </c>
      <c r="K924">
        <v>70</v>
      </c>
      <c r="L924" t="s">
        <v>82</v>
      </c>
      <c r="M924">
        <v>180</v>
      </c>
      <c r="N924">
        <v>1</v>
      </c>
      <c r="O924">
        <v>3466.74</v>
      </c>
      <c r="P924" s="1">
        <v>45600.340115740742</v>
      </c>
      <c r="Q924">
        <v>16</v>
      </c>
      <c r="R924" t="s">
        <v>47</v>
      </c>
      <c r="S924">
        <v>-0.94689958899086102</v>
      </c>
      <c r="T924" t="b">
        <v>0</v>
      </c>
      <c r="U924" t="b">
        <v>0</v>
      </c>
      <c r="V924" t="b">
        <f t="shared" si="28"/>
        <v>1</v>
      </c>
      <c r="W924">
        <v>0</v>
      </c>
      <c r="Y924">
        <f t="shared" si="29"/>
        <v>0</v>
      </c>
    </row>
    <row r="925" spans="1:25" x14ac:dyDescent="0.3">
      <c r="A925" t="s">
        <v>2498</v>
      </c>
      <c r="B925" t="s">
        <v>2324</v>
      </c>
      <c r="C925">
        <v>218.37</v>
      </c>
      <c r="D925" s="1">
        <v>45082.68577546296</v>
      </c>
      <c r="E925" t="s">
        <v>25</v>
      </c>
      <c r="F925" t="s">
        <v>35</v>
      </c>
      <c r="G925" t="s">
        <v>1041</v>
      </c>
      <c r="H925" t="s">
        <v>841</v>
      </c>
      <c r="I925" t="s">
        <v>339</v>
      </c>
      <c r="J925" t="s">
        <v>30</v>
      </c>
      <c r="K925">
        <v>62</v>
      </c>
      <c r="L925" t="s">
        <v>31</v>
      </c>
      <c r="M925">
        <v>105</v>
      </c>
      <c r="N925">
        <v>1</v>
      </c>
      <c r="O925">
        <v>9942.24</v>
      </c>
      <c r="P925" s="1">
        <v>45600.340902777774</v>
      </c>
      <c r="Q925">
        <v>16</v>
      </c>
      <c r="R925" t="s">
        <v>47</v>
      </c>
      <c r="S925">
        <v>-0.27136426538109698</v>
      </c>
      <c r="T925" t="b">
        <v>0</v>
      </c>
      <c r="U925" t="b">
        <v>0</v>
      </c>
      <c r="V925" t="b">
        <f t="shared" si="28"/>
        <v>1</v>
      </c>
      <c r="W925">
        <v>0</v>
      </c>
      <c r="Y925">
        <f t="shared" si="29"/>
        <v>0</v>
      </c>
    </row>
    <row r="926" spans="1:25" x14ac:dyDescent="0.3">
      <c r="A926" t="s">
        <v>2499</v>
      </c>
      <c r="B926" t="s">
        <v>868</v>
      </c>
      <c r="C926">
        <v>590.01</v>
      </c>
      <c r="D926" s="1">
        <v>44963.696018518516</v>
      </c>
      <c r="E926" t="s">
        <v>25</v>
      </c>
      <c r="F926" t="s">
        <v>236</v>
      </c>
      <c r="G926" t="s">
        <v>919</v>
      </c>
      <c r="H926" t="s">
        <v>279</v>
      </c>
      <c r="I926" t="s">
        <v>265</v>
      </c>
      <c r="J926" t="s">
        <v>45</v>
      </c>
      <c r="K926">
        <v>29</v>
      </c>
      <c r="L926" t="s">
        <v>31</v>
      </c>
      <c r="M926">
        <v>140</v>
      </c>
      <c r="N926">
        <v>3</v>
      </c>
      <c r="O926">
        <v>9791.74</v>
      </c>
      <c r="P926" s="1">
        <v>45600.338726851849</v>
      </c>
      <c r="Q926">
        <v>16</v>
      </c>
      <c r="R926" t="s">
        <v>47</v>
      </c>
      <c r="S926">
        <v>1.0016098126349899</v>
      </c>
      <c r="T926" t="b">
        <v>0</v>
      </c>
      <c r="U926" t="b">
        <v>1</v>
      </c>
      <c r="V926" t="b">
        <f t="shared" si="28"/>
        <v>1</v>
      </c>
      <c r="W926">
        <v>1</v>
      </c>
      <c r="Y926">
        <f t="shared" si="29"/>
        <v>0</v>
      </c>
    </row>
    <row r="927" spans="1:25" x14ac:dyDescent="0.3">
      <c r="A927" t="s">
        <v>2500</v>
      </c>
      <c r="B927" t="s">
        <v>2501</v>
      </c>
      <c r="C927">
        <v>697.82</v>
      </c>
      <c r="D927" s="1">
        <v>45257.674039351848</v>
      </c>
      <c r="E927" t="s">
        <v>25</v>
      </c>
      <c r="F927" t="s">
        <v>216</v>
      </c>
      <c r="G927" t="s">
        <v>2368</v>
      </c>
      <c r="H927" t="s">
        <v>989</v>
      </c>
      <c r="I927" t="s">
        <v>199</v>
      </c>
      <c r="J927" t="s">
        <v>45</v>
      </c>
      <c r="K927">
        <v>44</v>
      </c>
      <c r="L927" t="s">
        <v>89</v>
      </c>
      <c r="M927">
        <v>153</v>
      </c>
      <c r="N927">
        <v>1</v>
      </c>
      <c r="O927">
        <v>6824</v>
      </c>
      <c r="P927" s="1">
        <v>45600.338321759256</v>
      </c>
      <c r="Q927">
        <v>16</v>
      </c>
      <c r="R927" t="s">
        <v>47</v>
      </c>
      <c r="S927">
        <v>1.3708901251710801</v>
      </c>
      <c r="T927" t="b">
        <v>0</v>
      </c>
      <c r="U927" t="b">
        <v>0</v>
      </c>
      <c r="V927" t="b">
        <f t="shared" si="28"/>
        <v>1</v>
      </c>
      <c r="W927">
        <v>0</v>
      </c>
      <c r="Y927">
        <f t="shared" si="29"/>
        <v>0</v>
      </c>
    </row>
    <row r="928" spans="1:25" x14ac:dyDescent="0.3">
      <c r="A928" t="s">
        <v>2502</v>
      </c>
      <c r="B928" t="s">
        <v>2503</v>
      </c>
      <c r="C928">
        <v>302.76</v>
      </c>
      <c r="D928" s="1">
        <v>45246.71806712963</v>
      </c>
      <c r="E928" t="s">
        <v>25</v>
      </c>
      <c r="F928" t="s">
        <v>298</v>
      </c>
      <c r="G928" t="s">
        <v>1161</v>
      </c>
      <c r="H928" t="s">
        <v>1897</v>
      </c>
      <c r="I928" t="s">
        <v>182</v>
      </c>
      <c r="J928" t="s">
        <v>30</v>
      </c>
      <c r="K928">
        <v>38</v>
      </c>
      <c r="L928" t="s">
        <v>89</v>
      </c>
      <c r="M928">
        <v>88</v>
      </c>
      <c r="N928">
        <v>3</v>
      </c>
      <c r="O928">
        <v>8583.39</v>
      </c>
      <c r="P928" s="1">
        <v>45600.341064814813</v>
      </c>
      <c r="Q928">
        <v>17</v>
      </c>
      <c r="R928" t="s">
        <v>141</v>
      </c>
      <c r="S928">
        <v>1.7695799315323401E-2</v>
      </c>
      <c r="T928" t="b">
        <v>0</v>
      </c>
      <c r="U928" t="b">
        <v>1</v>
      </c>
      <c r="V928" t="b">
        <f t="shared" si="28"/>
        <v>1</v>
      </c>
      <c r="W928">
        <v>1</v>
      </c>
      <c r="Y928">
        <f t="shared" si="29"/>
        <v>0</v>
      </c>
    </row>
    <row r="929" spans="1:25" x14ac:dyDescent="0.3">
      <c r="A929" t="s">
        <v>2504</v>
      </c>
      <c r="B929" t="s">
        <v>1968</v>
      </c>
      <c r="C929">
        <v>148</v>
      </c>
      <c r="D929" s="1">
        <v>44949.700185185182</v>
      </c>
      <c r="E929" t="s">
        <v>25</v>
      </c>
      <c r="F929" t="s">
        <v>268</v>
      </c>
      <c r="G929" t="s">
        <v>144</v>
      </c>
      <c r="H929" t="s">
        <v>2142</v>
      </c>
      <c r="I929" t="s">
        <v>162</v>
      </c>
      <c r="J929" t="s">
        <v>81</v>
      </c>
      <c r="K929">
        <v>20</v>
      </c>
      <c r="L929" t="s">
        <v>46</v>
      </c>
      <c r="M929">
        <v>35</v>
      </c>
      <c r="N929">
        <v>1</v>
      </c>
      <c r="O929">
        <v>1488.65</v>
      </c>
      <c r="P929" s="1">
        <v>45600.337951388887</v>
      </c>
      <c r="Q929">
        <v>16</v>
      </c>
      <c r="R929" t="s">
        <v>47</v>
      </c>
      <c r="S929">
        <v>-0.51240179059364699</v>
      </c>
      <c r="T929" t="b">
        <v>0</v>
      </c>
      <c r="U929" t="b">
        <v>0</v>
      </c>
      <c r="V929" t="b">
        <f t="shared" si="28"/>
        <v>1</v>
      </c>
      <c r="W929">
        <v>0</v>
      </c>
      <c r="Y929">
        <f t="shared" si="29"/>
        <v>0</v>
      </c>
    </row>
    <row r="930" spans="1:25" x14ac:dyDescent="0.3">
      <c r="A930" t="s">
        <v>2505</v>
      </c>
      <c r="B930" t="s">
        <v>909</v>
      </c>
      <c r="C930">
        <v>22.26</v>
      </c>
      <c r="D930" s="1">
        <v>44956.784722222219</v>
      </c>
      <c r="E930" t="s">
        <v>25</v>
      </c>
      <c r="F930" t="s">
        <v>250</v>
      </c>
      <c r="G930" t="s">
        <v>543</v>
      </c>
      <c r="H930" t="s">
        <v>2144</v>
      </c>
      <c r="I930" t="s">
        <v>112</v>
      </c>
      <c r="J930" t="s">
        <v>81</v>
      </c>
      <c r="K930">
        <v>19</v>
      </c>
      <c r="L930" t="s">
        <v>46</v>
      </c>
      <c r="M930">
        <v>56</v>
      </c>
      <c r="N930">
        <v>1</v>
      </c>
      <c r="O930">
        <v>5583.88</v>
      </c>
      <c r="P930" s="1">
        <v>45600.339502314811</v>
      </c>
      <c r="Q930">
        <v>18</v>
      </c>
      <c r="R930" t="s">
        <v>47</v>
      </c>
      <c r="S930">
        <v>-0.94309751917437801</v>
      </c>
      <c r="T930" t="b">
        <v>0</v>
      </c>
      <c r="U930" t="b">
        <v>0</v>
      </c>
      <c r="V930" t="b">
        <f t="shared" si="28"/>
        <v>1</v>
      </c>
      <c r="W930">
        <v>0</v>
      </c>
      <c r="Y930">
        <f t="shared" si="29"/>
        <v>0</v>
      </c>
    </row>
    <row r="931" spans="1:25" x14ac:dyDescent="0.3">
      <c r="A931" t="s">
        <v>2506</v>
      </c>
      <c r="B931" t="s">
        <v>1404</v>
      </c>
      <c r="C931">
        <v>0.86</v>
      </c>
      <c r="D931" s="1">
        <v>44970.742673611108</v>
      </c>
      <c r="E931" t="s">
        <v>25</v>
      </c>
      <c r="F931" t="s">
        <v>534</v>
      </c>
      <c r="G931" t="s">
        <v>865</v>
      </c>
      <c r="H931" t="s">
        <v>2507</v>
      </c>
      <c r="I931" t="s">
        <v>1358</v>
      </c>
      <c r="J931" t="s">
        <v>30</v>
      </c>
      <c r="K931">
        <v>25</v>
      </c>
      <c r="L931" t="s">
        <v>46</v>
      </c>
      <c r="M931">
        <v>139</v>
      </c>
      <c r="N931">
        <v>1</v>
      </c>
      <c r="O931">
        <v>1357.22</v>
      </c>
      <c r="P931" s="1">
        <v>45600.341921296298</v>
      </c>
      <c r="Q931">
        <v>17</v>
      </c>
      <c r="R931" t="s">
        <v>47</v>
      </c>
      <c r="S931">
        <v>-1.0163986850056701</v>
      </c>
      <c r="T931" t="b">
        <v>0</v>
      </c>
      <c r="U931" t="b">
        <v>0</v>
      </c>
      <c r="V931" t="b">
        <f t="shared" si="28"/>
        <v>1</v>
      </c>
      <c r="W931">
        <v>0</v>
      </c>
      <c r="Y931">
        <f t="shared" si="29"/>
        <v>0</v>
      </c>
    </row>
    <row r="932" spans="1:25" x14ac:dyDescent="0.3">
      <c r="A932" t="s">
        <v>2508</v>
      </c>
      <c r="B932" t="s">
        <v>2509</v>
      </c>
      <c r="C932">
        <v>757.1</v>
      </c>
      <c r="D932" s="1">
        <v>44949.723900462966</v>
      </c>
      <c r="E932" t="s">
        <v>25</v>
      </c>
      <c r="F932" t="s">
        <v>58</v>
      </c>
      <c r="G932" t="s">
        <v>1664</v>
      </c>
      <c r="H932" t="s">
        <v>1187</v>
      </c>
      <c r="I932" t="s">
        <v>371</v>
      </c>
      <c r="J932" t="s">
        <v>81</v>
      </c>
      <c r="K932">
        <v>65</v>
      </c>
      <c r="L932" t="s">
        <v>31</v>
      </c>
      <c r="M932">
        <v>203</v>
      </c>
      <c r="N932">
        <v>1</v>
      </c>
      <c r="O932">
        <v>10553.23</v>
      </c>
      <c r="P932" s="1">
        <v>45600.341041666667</v>
      </c>
      <c r="Q932">
        <v>17</v>
      </c>
      <c r="R932" t="s">
        <v>47</v>
      </c>
      <c r="S932">
        <v>1.5739412051000301</v>
      </c>
      <c r="T932" t="b">
        <v>0</v>
      </c>
      <c r="U932" t="b">
        <v>0</v>
      </c>
      <c r="V932" t="b">
        <f t="shared" si="28"/>
        <v>1</v>
      </c>
      <c r="W932">
        <v>0</v>
      </c>
      <c r="Y932">
        <f t="shared" si="29"/>
        <v>0</v>
      </c>
    </row>
    <row r="933" spans="1:25" x14ac:dyDescent="0.3">
      <c r="A933" t="s">
        <v>2510</v>
      </c>
      <c r="B933" t="s">
        <v>2322</v>
      </c>
      <c r="C933">
        <v>38.81</v>
      </c>
      <c r="D933" s="1">
        <v>45044.786458333336</v>
      </c>
      <c r="E933" t="s">
        <v>57</v>
      </c>
      <c r="F933" t="s">
        <v>314</v>
      </c>
      <c r="G933" t="s">
        <v>354</v>
      </c>
      <c r="H933" t="s">
        <v>1477</v>
      </c>
      <c r="I933" t="s">
        <v>366</v>
      </c>
      <c r="J933" t="s">
        <v>45</v>
      </c>
      <c r="K933">
        <v>25</v>
      </c>
      <c r="L933" t="s">
        <v>46</v>
      </c>
      <c r="M933">
        <v>145</v>
      </c>
      <c r="N933">
        <v>1</v>
      </c>
      <c r="O933">
        <v>1619.6</v>
      </c>
      <c r="P933" s="1">
        <v>45600.341805555552</v>
      </c>
      <c r="Q933">
        <v>18</v>
      </c>
      <c r="R933" t="s">
        <v>54</v>
      </c>
      <c r="S933">
        <v>-0.88640900073942397</v>
      </c>
      <c r="T933" t="b">
        <v>0</v>
      </c>
      <c r="U933" t="b">
        <v>0</v>
      </c>
      <c r="V933" t="b">
        <f t="shared" si="28"/>
        <v>1</v>
      </c>
      <c r="W933">
        <v>0</v>
      </c>
      <c r="Y933">
        <f t="shared" si="29"/>
        <v>0</v>
      </c>
    </row>
    <row r="934" spans="1:25" x14ac:dyDescent="0.3">
      <c r="A934" t="s">
        <v>2511</v>
      </c>
      <c r="B934" t="s">
        <v>1234</v>
      </c>
      <c r="C934">
        <v>76.510000000000005</v>
      </c>
      <c r="D934" s="1">
        <v>45019.667951388888</v>
      </c>
      <c r="E934" t="s">
        <v>57</v>
      </c>
      <c r="F934" t="s">
        <v>41</v>
      </c>
      <c r="G934" t="s">
        <v>1605</v>
      </c>
      <c r="H934" t="s">
        <v>832</v>
      </c>
      <c r="I934" t="s">
        <v>1823</v>
      </c>
      <c r="J934" t="s">
        <v>45</v>
      </c>
      <c r="K934">
        <v>49</v>
      </c>
      <c r="L934" t="s">
        <v>89</v>
      </c>
      <c r="M934">
        <v>120</v>
      </c>
      <c r="N934">
        <v>4</v>
      </c>
      <c r="O934">
        <v>9475.4</v>
      </c>
      <c r="P934" s="1">
        <v>45600.338784722226</v>
      </c>
      <c r="Q934">
        <v>16</v>
      </c>
      <c r="R934" t="s">
        <v>47</v>
      </c>
      <c r="S934">
        <v>-0.75727563850391</v>
      </c>
      <c r="T934" t="b">
        <v>0</v>
      </c>
      <c r="U934" t="b">
        <v>1</v>
      </c>
      <c r="V934" t="b">
        <f t="shared" si="28"/>
        <v>1</v>
      </c>
      <c r="W934">
        <v>1</v>
      </c>
      <c r="Y934">
        <f t="shared" si="29"/>
        <v>0</v>
      </c>
    </row>
    <row r="935" spans="1:25" x14ac:dyDescent="0.3">
      <c r="A935" t="s">
        <v>2512</v>
      </c>
      <c r="B935" t="s">
        <v>2513</v>
      </c>
      <c r="C935">
        <v>32.46</v>
      </c>
      <c r="D935" s="1">
        <v>44995.791504629633</v>
      </c>
      <c r="E935" t="s">
        <v>25</v>
      </c>
      <c r="F935" t="s">
        <v>262</v>
      </c>
      <c r="G935" t="s">
        <v>559</v>
      </c>
      <c r="H935" t="s">
        <v>2514</v>
      </c>
      <c r="I935" t="s">
        <v>199</v>
      </c>
      <c r="J935" t="s">
        <v>45</v>
      </c>
      <c r="K935">
        <v>31</v>
      </c>
      <c r="L935" t="s">
        <v>31</v>
      </c>
      <c r="M935">
        <v>10</v>
      </c>
      <c r="N935">
        <v>1</v>
      </c>
      <c r="O935">
        <v>8656.18</v>
      </c>
      <c r="P935" s="1">
        <v>45600.339965277781</v>
      </c>
      <c r="Q935">
        <v>18</v>
      </c>
      <c r="R935" t="s">
        <v>54</v>
      </c>
      <c r="S935">
        <v>-0.90815958032020705</v>
      </c>
      <c r="T935" t="b">
        <v>0</v>
      </c>
      <c r="U935" t="b">
        <v>0</v>
      </c>
      <c r="V935" t="b">
        <f t="shared" si="28"/>
        <v>1</v>
      </c>
      <c r="W935">
        <v>0</v>
      </c>
      <c r="Y935">
        <f t="shared" si="29"/>
        <v>0</v>
      </c>
    </row>
    <row r="936" spans="1:25" x14ac:dyDescent="0.3">
      <c r="A936" t="s">
        <v>2515</v>
      </c>
      <c r="B936" t="s">
        <v>335</v>
      </c>
      <c r="C936">
        <v>1022.75</v>
      </c>
      <c r="D936" s="1">
        <v>44945.698101851849</v>
      </c>
      <c r="E936" t="s">
        <v>57</v>
      </c>
      <c r="F936" t="s">
        <v>236</v>
      </c>
      <c r="G936" t="s">
        <v>2516</v>
      </c>
      <c r="H936" t="s">
        <v>1956</v>
      </c>
      <c r="I936" t="s">
        <v>61</v>
      </c>
      <c r="J936" t="s">
        <v>81</v>
      </c>
      <c r="K936">
        <v>62</v>
      </c>
      <c r="L936" t="s">
        <v>31</v>
      </c>
      <c r="M936">
        <v>158</v>
      </c>
      <c r="N936">
        <v>1</v>
      </c>
      <c r="O936">
        <v>207.74</v>
      </c>
      <c r="P936" s="1">
        <v>45600.340821759259</v>
      </c>
      <c r="Q936">
        <v>16</v>
      </c>
      <c r="R936" t="s">
        <v>141</v>
      </c>
      <c r="S936">
        <v>2.4838689949638</v>
      </c>
      <c r="T936" t="b">
        <v>1</v>
      </c>
      <c r="U936" t="b">
        <v>0</v>
      </c>
      <c r="V936" t="b">
        <f t="shared" si="28"/>
        <v>1</v>
      </c>
      <c r="W936">
        <v>1</v>
      </c>
      <c r="Y936">
        <f t="shared" si="29"/>
        <v>1</v>
      </c>
    </row>
    <row r="937" spans="1:25" x14ac:dyDescent="0.3">
      <c r="A937" t="s">
        <v>2517</v>
      </c>
      <c r="B937" t="s">
        <v>630</v>
      </c>
      <c r="C937">
        <v>20.64</v>
      </c>
      <c r="D937" s="1">
        <v>45036.66741898148</v>
      </c>
      <c r="E937" t="s">
        <v>25</v>
      </c>
      <c r="F937" t="s">
        <v>262</v>
      </c>
      <c r="G937" t="s">
        <v>2518</v>
      </c>
      <c r="H937" t="s">
        <v>1865</v>
      </c>
      <c r="I937" t="s">
        <v>1294</v>
      </c>
      <c r="J937" t="s">
        <v>81</v>
      </c>
      <c r="K937">
        <v>22</v>
      </c>
      <c r="L937" t="s">
        <v>46</v>
      </c>
      <c r="M937">
        <v>59</v>
      </c>
      <c r="N937">
        <v>1</v>
      </c>
      <c r="O937">
        <v>949.38</v>
      </c>
      <c r="P937" s="1">
        <v>45600.339780092596</v>
      </c>
      <c r="Q937">
        <v>16</v>
      </c>
      <c r="R937" t="s">
        <v>141</v>
      </c>
      <c r="S937">
        <v>-0.94864648593357004</v>
      </c>
      <c r="T937" t="b">
        <v>0</v>
      </c>
      <c r="U937" t="b">
        <v>0</v>
      </c>
      <c r="V937" t="b">
        <f t="shared" si="28"/>
        <v>1</v>
      </c>
      <c r="W937">
        <v>0</v>
      </c>
      <c r="Y937">
        <f t="shared" si="29"/>
        <v>0</v>
      </c>
    </row>
    <row r="938" spans="1:25" x14ac:dyDescent="0.3">
      <c r="A938" t="s">
        <v>2519</v>
      </c>
      <c r="B938" t="s">
        <v>2520</v>
      </c>
      <c r="C938">
        <v>662.11</v>
      </c>
      <c r="D938" s="1">
        <v>44959.7030787037</v>
      </c>
      <c r="E938" t="s">
        <v>25</v>
      </c>
      <c r="F938" t="s">
        <v>58</v>
      </c>
      <c r="G938" t="s">
        <v>1266</v>
      </c>
      <c r="H938" t="s">
        <v>374</v>
      </c>
      <c r="I938" t="s">
        <v>753</v>
      </c>
      <c r="J938" t="s">
        <v>81</v>
      </c>
      <c r="K938">
        <v>23</v>
      </c>
      <c r="L938" t="s">
        <v>46</v>
      </c>
      <c r="M938">
        <v>219</v>
      </c>
      <c r="N938">
        <v>1</v>
      </c>
      <c r="O938">
        <v>1996.38</v>
      </c>
      <c r="P938" s="1">
        <v>45600.338587962964</v>
      </c>
      <c r="Q938">
        <v>16</v>
      </c>
      <c r="R938" t="s">
        <v>141</v>
      </c>
      <c r="S938">
        <v>1.24857308630025</v>
      </c>
      <c r="T938" t="b">
        <v>0</v>
      </c>
      <c r="U938" t="b">
        <v>0</v>
      </c>
      <c r="V938" t="b">
        <f t="shared" si="28"/>
        <v>1</v>
      </c>
      <c r="W938">
        <v>0</v>
      </c>
      <c r="Y938">
        <f t="shared" si="29"/>
        <v>0</v>
      </c>
    </row>
    <row r="939" spans="1:25" x14ac:dyDescent="0.3">
      <c r="A939" t="s">
        <v>2521</v>
      </c>
      <c r="B939" t="s">
        <v>1465</v>
      </c>
      <c r="C939">
        <v>288.77</v>
      </c>
      <c r="D939" s="1">
        <v>45243.696018518516</v>
      </c>
      <c r="E939" t="s">
        <v>25</v>
      </c>
      <c r="F939" t="s">
        <v>153</v>
      </c>
      <c r="G939" t="s">
        <v>1635</v>
      </c>
      <c r="H939" t="s">
        <v>423</v>
      </c>
      <c r="I939" t="s">
        <v>117</v>
      </c>
      <c r="J939" t="s">
        <v>30</v>
      </c>
      <c r="K939">
        <v>55</v>
      </c>
      <c r="L939" t="s">
        <v>89</v>
      </c>
      <c r="M939">
        <v>110</v>
      </c>
      <c r="N939">
        <v>1</v>
      </c>
      <c r="O939">
        <v>8836.51</v>
      </c>
      <c r="P939" s="1">
        <v>45600.340092592596</v>
      </c>
      <c r="Q939">
        <v>16</v>
      </c>
      <c r="R939" t="s">
        <v>47</v>
      </c>
      <c r="S939">
        <v>-3.0223981524858199E-2</v>
      </c>
      <c r="T939" t="b">
        <v>0</v>
      </c>
      <c r="U939" t="b">
        <v>0</v>
      </c>
      <c r="V939" t="b">
        <f t="shared" si="28"/>
        <v>1</v>
      </c>
      <c r="W939">
        <v>0</v>
      </c>
      <c r="Y939">
        <f t="shared" si="29"/>
        <v>0</v>
      </c>
    </row>
    <row r="940" spans="1:25" x14ac:dyDescent="0.3">
      <c r="A940" t="s">
        <v>2522</v>
      </c>
      <c r="B940" t="s">
        <v>725</v>
      </c>
      <c r="C940">
        <v>35.049999999999997</v>
      </c>
      <c r="D940" s="1">
        <v>45196.786527777775</v>
      </c>
      <c r="E940" t="s">
        <v>25</v>
      </c>
      <c r="F940" t="s">
        <v>401</v>
      </c>
      <c r="G940" t="s">
        <v>105</v>
      </c>
      <c r="H940" t="s">
        <v>2523</v>
      </c>
      <c r="I940" t="s">
        <v>491</v>
      </c>
      <c r="J940" t="s">
        <v>81</v>
      </c>
      <c r="K940">
        <v>30</v>
      </c>
      <c r="L940" t="s">
        <v>31</v>
      </c>
      <c r="M940">
        <v>105</v>
      </c>
      <c r="N940">
        <v>1</v>
      </c>
      <c r="O940">
        <v>14330.47</v>
      </c>
      <c r="P940" s="1">
        <v>45600.338391203702</v>
      </c>
      <c r="Q940">
        <v>18</v>
      </c>
      <c r="R940" t="s">
        <v>74</v>
      </c>
      <c r="S940">
        <v>-0.89928808408174599</v>
      </c>
      <c r="T940" t="b">
        <v>0</v>
      </c>
      <c r="U940" t="b">
        <v>0</v>
      </c>
      <c r="V940" t="b">
        <f t="shared" si="28"/>
        <v>1</v>
      </c>
      <c r="W940">
        <v>0</v>
      </c>
      <c r="Y940">
        <f t="shared" si="29"/>
        <v>0</v>
      </c>
    </row>
    <row r="941" spans="1:25" x14ac:dyDescent="0.3">
      <c r="A941" t="s">
        <v>2524</v>
      </c>
      <c r="B941" t="s">
        <v>2525</v>
      </c>
      <c r="C941">
        <v>214.73</v>
      </c>
      <c r="D941" s="1">
        <v>45240.769548611112</v>
      </c>
      <c r="E941" t="s">
        <v>57</v>
      </c>
      <c r="F941" t="s">
        <v>153</v>
      </c>
      <c r="G941" t="s">
        <v>2526</v>
      </c>
      <c r="H941" t="s">
        <v>1388</v>
      </c>
      <c r="I941" t="s">
        <v>898</v>
      </c>
      <c r="J941" t="s">
        <v>30</v>
      </c>
      <c r="K941">
        <v>46</v>
      </c>
      <c r="L941" t="s">
        <v>31</v>
      </c>
      <c r="M941">
        <v>26</v>
      </c>
      <c r="N941">
        <v>1</v>
      </c>
      <c r="O941">
        <v>5368.42</v>
      </c>
      <c r="P941" s="1">
        <v>45600.338645833333</v>
      </c>
      <c r="Q941">
        <v>18</v>
      </c>
      <c r="R941" t="s">
        <v>54</v>
      </c>
      <c r="S941">
        <v>-0.283832314148664</v>
      </c>
      <c r="T941" t="b">
        <v>0</v>
      </c>
      <c r="U941" t="b">
        <v>0</v>
      </c>
      <c r="V941" t="b">
        <f t="shared" si="28"/>
        <v>1</v>
      </c>
      <c r="W941">
        <v>0</v>
      </c>
      <c r="Y941">
        <f t="shared" si="29"/>
        <v>0</v>
      </c>
    </row>
    <row r="942" spans="1:25" x14ac:dyDescent="0.3">
      <c r="A942" t="s">
        <v>2527</v>
      </c>
      <c r="B942" t="s">
        <v>1883</v>
      </c>
      <c r="C942">
        <v>25.38</v>
      </c>
      <c r="D942" s="1">
        <v>45222.668854166666</v>
      </c>
      <c r="E942" t="s">
        <v>25</v>
      </c>
      <c r="F942" t="s">
        <v>120</v>
      </c>
      <c r="G942" t="s">
        <v>1899</v>
      </c>
      <c r="H942" t="s">
        <v>1066</v>
      </c>
      <c r="I942" t="s">
        <v>1222</v>
      </c>
      <c r="J942" t="s">
        <v>81</v>
      </c>
      <c r="K942">
        <v>57</v>
      </c>
      <c r="L942" t="s">
        <v>89</v>
      </c>
      <c r="M942">
        <v>66</v>
      </c>
      <c r="N942">
        <v>1</v>
      </c>
      <c r="O942">
        <v>8616.0499999999993</v>
      </c>
      <c r="P942" s="1">
        <v>45600.341446759259</v>
      </c>
      <c r="Q942">
        <v>16</v>
      </c>
      <c r="R942" t="s">
        <v>47</v>
      </c>
      <c r="S942">
        <v>-0.93241062023074905</v>
      </c>
      <c r="T942" t="b">
        <v>0</v>
      </c>
      <c r="U942" t="b">
        <v>0</v>
      </c>
      <c r="V942" t="b">
        <f t="shared" si="28"/>
        <v>1</v>
      </c>
      <c r="W942">
        <v>0</v>
      </c>
      <c r="Y942">
        <f t="shared" si="29"/>
        <v>0</v>
      </c>
    </row>
    <row r="943" spans="1:25" x14ac:dyDescent="0.3">
      <c r="A943" t="s">
        <v>2528</v>
      </c>
      <c r="B943" t="s">
        <v>755</v>
      </c>
      <c r="C943">
        <v>617.66</v>
      </c>
      <c r="D943" s="1">
        <v>44956.690462962964</v>
      </c>
      <c r="E943" t="s">
        <v>25</v>
      </c>
      <c r="F943" t="s">
        <v>104</v>
      </c>
      <c r="G943" t="s">
        <v>1623</v>
      </c>
      <c r="H943" t="s">
        <v>664</v>
      </c>
      <c r="I943" t="s">
        <v>321</v>
      </c>
      <c r="J943" t="s">
        <v>30</v>
      </c>
      <c r="K943">
        <v>41</v>
      </c>
      <c r="L943" t="s">
        <v>89</v>
      </c>
      <c r="M943">
        <v>40</v>
      </c>
      <c r="N943">
        <v>1</v>
      </c>
      <c r="O943">
        <v>5906.58</v>
      </c>
      <c r="P943" s="1">
        <v>45600.340474537035</v>
      </c>
      <c r="Q943">
        <v>16</v>
      </c>
      <c r="R943" t="s">
        <v>47</v>
      </c>
      <c r="S943">
        <v>1.09631902923477</v>
      </c>
      <c r="T943" t="b">
        <v>0</v>
      </c>
      <c r="U943" t="b">
        <v>0</v>
      </c>
      <c r="V943" t="b">
        <f t="shared" si="28"/>
        <v>1</v>
      </c>
      <c r="W943">
        <v>0</v>
      </c>
      <c r="Y943">
        <f t="shared" si="29"/>
        <v>0</v>
      </c>
    </row>
    <row r="944" spans="1:25" x14ac:dyDescent="0.3">
      <c r="A944" t="s">
        <v>2529</v>
      </c>
      <c r="B944" t="s">
        <v>1672</v>
      </c>
      <c r="C944">
        <v>446.39</v>
      </c>
      <c r="D944" s="1">
        <v>45272.73741898148</v>
      </c>
      <c r="E944" t="s">
        <v>25</v>
      </c>
      <c r="F944" t="s">
        <v>35</v>
      </c>
      <c r="G944" t="s">
        <v>1545</v>
      </c>
      <c r="H944" t="s">
        <v>792</v>
      </c>
      <c r="I944" t="s">
        <v>73</v>
      </c>
      <c r="J944" t="s">
        <v>30</v>
      </c>
      <c r="K944">
        <v>63</v>
      </c>
      <c r="L944" t="s">
        <v>82</v>
      </c>
      <c r="M944">
        <v>77</v>
      </c>
      <c r="N944">
        <v>1</v>
      </c>
      <c r="O944">
        <v>7863.6</v>
      </c>
      <c r="P944" s="1">
        <v>45600.338680555556</v>
      </c>
      <c r="Q944">
        <v>17</v>
      </c>
      <c r="R944" t="s">
        <v>32</v>
      </c>
      <c r="S944">
        <v>0.50966993241577196</v>
      </c>
      <c r="T944" t="b">
        <v>0</v>
      </c>
      <c r="U944" t="b">
        <v>0</v>
      </c>
      <c r="V944" t="b">
        <f t="shared" si="28"/>
        <v>1</v>
      </c>
      <c r="W944">
        <v>0</v>
      </c>
      <c r="Y944">
        <f t="shared" si="29"/>
        <v>0</v>
      </c>
    </row>
    <row r="945" spans="1:25" x14ac:dyDescent="0.3">
      <c r="A945" t="s">
        <v>2530</v>
      </c>
      <c r="B945" t="s">
        <v>856</v>
      </c>
      <c r="C945">
        <v>377.92</v>
      </c>
      <c r="D945" s="1">
        <v>44979.728888888887</v>
      </c>
      <c r="E945" t="s">
        <v>25</v>
      </c>
      <c r="F945" t="s">
        <v>50</v>
      </c>
      <c r="G945" t="s">
        <v>2531</v>
      </c>
      <c r="H945" t="s">
        <v>311</v>
      </c>
      <c r="I945" t="s">
        <v>188</v>
      </c>
      <c r="J945" t="s">
        <v>81</v>
      </c>
      <c r="K945">
        <v>33</v>
      </c>
      <c r="L945" t="s">
        <v>89</v>
      </c>
      <c r="M945">
        <v>204</v>
      </c>
      <c r="N945">
        <v>1</v>
      </c>
      <c r="O945">
        <v>2254.71</v>
      </c>
      <c r="P945" s="1">
        <v>45600.338113425925</v>
      </c>
      <c r="Q945">
        <v>17</v>
      </c>
      <c r="R945" t="s">
        <v>74</v>
      </c>
      <c r="S945">
        <v>0.275140454636842</v>
      </c>
      <c r="T945" t="b">
        <v>0</v>
      </c>
      <c r="U945" t="b">
        <v>0</v>
      </c>
      <c r="V945" t="b">
        <f t="shared" si="28"/>
        <v>1</v>
      </c>
      <c r="W945">
        <v>0</v>
      </c>
      <c r="Y945">
        <f t="shared" si="29"/>
        <v>0</v>
      </c>
    </row>
    <row r="946" spans="1:25" x14ac:dyDescent="0.3">
      <c r="A946" t="s">
        <v>2532</v>
      </c>
      <c r="B946" t="s">
        <v>103</v>
      </c>
      <c r="C946">
        <v>11.04</v>
      </c>
      <c r="D946" s="1">
        <v>44970.762129629627</v>
      </c>
      <c r="E946" t="s">
        <v>25</v>
      </c>
      <c r="F946" t="s">
        <v>438</v>
      </c>
      <c r="G946" t="s">
        <v>2283</v>
      </c>
      <c r="H946" t="s">
        <v>490</v>
      </c>
      <c r="I946" t="s">
        <v>321</v>
      </c>
      <c r="J946" t="s">
        <v>45</v>
      </c>
      <c r="K946">
        <v>30</v>
      </c>
      <c r="L946" t="s">
        <v>89</v>
      </c>
      <c r="M946">
        <v>43</v>
      </c>
      <c r="N946">
        <v>1</v>
      </c>
      <c r="O946">
        <v>6983.04</v>
      </c>
      <c r="P946" s="1">
        <v>45600.340740740743</v>
      </c>
      <c r="Q946">
        <v>18</v>
      </c>
      <c r="R946" t="s">
        <v>47</v>
      </c>
      <c r="S946">
        <v>-0.98152925191396601</v>
      </c>
      <c r="T946" t="b">
        <v>0</v>
      </c>
      <c r="U946" t="b">
        <v>0</v>
      </c>
      <c r="V946" t="b">
        <f t="shared" si="28"/>
        <v>1</v>
      </c>
      <c r="W946">
        <v>0</v>
      </c>
      <c r="Y946">
        <f t="shared" si="29"/>
        <v>0</v>
      </c>
    </row>
    <row r="947" spans="1:25" x14ac:dyDescent="0.3">
      <c r="A947" t="s">
        <v>2533</v>
      </c>
      <c r="B947" t="s">
        <v>2110</v>
      </c>
      <c r="C947">
        <v>275.45999999999998</v>
      </c>
      <c r="D947" s="1">
        <v>45131.714641203704</v>
      </c>
      <c r="E947" t="s">
        <v>25</v>
      </c>
      <c r="F947" t="s">
        <v>170</v>
      </c>
      <c r="G947" t="s">
        <v>2047</v>
      </c>
      <c r="H947" t="s">
        <v>2534</v>
      </c>
      <c r="I947" t="s">
        <v>431</v>
      </c>
      <c r="J947" t="s">
        <v>30</v>
      </c>
      <c r="K947">
        <v>36</v>
      </c>
      <c r="L947" t="s">
        <v>31</v>
      </c>
      <c r="M947">
        <v>67</v>
      </c>
      <c r="N947">
        <v>1</v>
      </c>
      <c r="O947">
        <v>9697.75</v>
      </c>
      <c r="P947" s="1">
        <v>45600.341817129629</v>
      </c>
      <c r="Q947">
        <v>17</v>
      </c>
      <c r="R947" t="s">
        <v>47</v>
      </c>
      <c r="S947">
        <v>-7.5814566441428297E-2</v>
      </c>
      <c r="T947" t="b">
        <v>0</v>
      </c>
      <c r="U947" t="b">
        <v>0</v>
      </c>
      <c r="V947" t="b">
        <f t="shared" si="28"/>
        <v>1</v>
      </c>
      <c r="W947">
        <v>0</v>
      </c>
      <c r="Y947">
        <f t="shared" si="29"/>
        <v>0</v>
      </c>
    </row>
    <row r="948" spans="1:25" x14ac:dyDescent="0.3">
      <c r="A948" t="s">
        <v>2535</v>
      </c>
      <c r="B948" t="s">
        <v>130</v>
      </c>
      <c r="C948">
        <v>179.76</v>
      </c>
      <c r="D948" s="1">
        <v>45119.67465277778</v>
      </c>
      <c r="E948" t="s">
        <v>25</v>
      </c>
      <c r="F948" t="s">
        <v>256</v>
      </c>
      <c r="G948" t="s">
        <v>246</v>
      </c>
      <c r="H948" t="s">
        <v>2536</v>
      </c>
      <c r="I948" t="s">
        <v>150</v>
      </c>
      <c r="J948" t="s">
        <v>45</v>
      </c>
      <c r="K948">
        <v>78</v>
      </c>
      <c r="L948" t="s">
        <v>82</v>
      </c>
      <c r="M948">
        <v>81</v>
      </c>
      <c r="N948">
        <v>1</v>
      </c>
      <c r="O948">
        <v>5909.52</v>
      </c>
      <c r="P948" s="1">
        <v>45600.339849537035</v>
      </c>
      <c r="Q948">
        <v>16</v>
      </c>
      <c r="R948" t="s">
        <v>74</v>
      </c>
      <c r="S948">
        <v>-0.40361463980850298</v>
      </c>
      <c r="T948" t="b">
        <v>0</v>
      </c>
      <c r="U948" t="b">
        <v>0</v>
      </c>
      <c r="V948" t="b">
        <f t="shared" si="28"/>
        <v>1</v>
      </c>
      <c r="W948">
        <v>0</v>
      </c>
      <c r="Y948">
        <f t="shared" si="29"/>
        <v>0</v>
      </c>
    </row>
    <row r="949" spans="1:25" x14ac:dyDescent="0.3">
      <c r="A949" t="s">
        <v>2537</v>
      </c>
      <c r="B949" t="s">
        <v>2538</v>
      </c>
      <c r="C949">
        <v>32.340000000000003</v>
      </c>
      <c r="D949" s="1">
        <v>45098.703067129631</v>
      </c>
      <c r="E949" t="s">
        <v>25</v>
      </c>
      <c r="F949" t="s">
        <v>304</v>
      </c>
      <c r="G949" t="s">
        <v>498</v>
      </c>
      <c r="H949" t="s">
        <v>1008</v>
      </c>
      <c r="I949" t="s">
        <v>1027</v>
      </c>
      <c r="J949" t="s">
        <v>81</v>
      </c>
      <c r="K949">
        <v>44</v>
      </c>
      <c r="L949" t="s">
        <v>31</v>
      </c>
      <c r="M949">
        <v>45</v>
      </c>
      <c r="N949">
        <v>1</v>
      </c>
      <c r="O949">
        <v>7847.62</v>
      </c>
      <c r="P949" s="1">
        <v>45600.339907407404</v>
      </c>
      <c r="Q949">
        <v>16</v>
      </c>
      <c r="R949" t="s">
        <v>74</v>
      </c>
      <c r="S949">
        <v>-0.90857061489496205</v>
      </c>
      <c r="T949" t="b">
        <v>0</v>
      </c>
      <c r="U949" t="b">
        <v>0</v>
      </c>
      <c r="V949" t="b">
        <f t="shared" si="28"/>
        <v>1</v>
      </c>
      <c r="W949">
        <v>0</v>
      </c>
      <c r="Y949">
        <f t="shared" si="29"/>
        <v>0</v>
      </c>
    </row>
    <row r="950" spans="1:25" x14ac:dyDescent="0.3">
      <c r="A950" t="s">
        <v>2539</v>
      </c>
      <c r="B950" t="s">
        <v>918</v>
      </c>
      <c r="C950">
        <v>273.92</v>
      </c>
      <c r="D950" s="1">
        <v>45111.743078703701</v>
      </c>
      <c r="E950" t="s">
        <v>25</v>
      </c>
      <c r="F950" t="s">
        <v>608</v>
      </c>
      <c r="G950" t="s">
        <v>2028</v>
      </c>
      <c r="H950" t="s">
        <v>2540</v>
      </c>
      <c r="I950" t="s">
        <v>213</v>
      </c>
      <c r="J950" t="s">
        <v>81</v>
      </c>
      <c r="K950">
        <v>79</v>
      </c>
      <c r="L950" t="s">
        <v>82</v>
      </c>
      <c r="M950">
        <v>109</v>
      </c>
      <c r="N950">
        <v>1</v>
      </c>
      <c r="O950">
        <v>4543.5600000000004</v>
      </c>
      <c r="P950" s="1">
        <v>45600.341527777775</v>
      </c>
      <c r="Q950">
        <v>17</v>
      </c>
      <c r="R950" t="s">
        <v>32</v>
      </c>
      <c r="S950">
        <v>-8.1089510150783403E-2</v>
      </c>
      <c r="T950" t="b">
        <v>0</v>
      </c>
      <c r="U950" t="b">
        <v>0</v>
      </c>
      <c r="V950" t="b">
        <f t="shared" si="28"/>
        <v>1</v>
      </c>
      <c r="W950">
        <v>0</v>
      </c>
      <c r="Y950">
        <f t="shared" si="29"/>
        <v>0</v>
      </c>
    </row>
    <row r="951" spans="1:25" x14ac:dyDescent="0.3">
      <c r="A951" t="s">
        <v>2541</v>
      </c>
      <c r="B951" t="s">
        <v>442</v>
      </c>
      <c r="C951">
        <v>375.45</v>
      </c>
      <c r="D951" s="1">
        <v>45265.748368055552</v>
      </c>
      <c r="E951" t="s">
        <v>25</v>
      </c>
      <c r="F951" t="s">
        <v>170</v>
      </c>
      <c r="G951" t="s">
        <v>192</v>
      </c>
      <c r="H951" t="s">
        <v>1911</v>
      </c>
      <c r="I951" t="s">
        <v>29</v>
      </c>
      <c r="J951" t="s">
        <v>81</v>
      </c>
      <c r="K951">
        <v>19</v>
      </c>
      <c r="L951" t="s">
        <v>46</v>
      </c>
      <c r="M951">
        <v>32</v>
      </c>
      <c r="N951">
        <v>1</v>
      </c>
      <c r="O951">
        <v>1307.23</v>
      </c>
      <c r="P951" s="1">
        <v>45600.339247685188</v>
      </c>
      <c r="Q951">
        <v>17</v>
      </c>
      <c r="R951" t="s">
        <v>32</v>
      </c>
      <c r="S951">
        <v>0.26667999297313599</v>
      </c>
      <c r="T951" t="b">
        <v>0</v>
      </c>
      <c r="U951" t="b">
        <v>0</v>
      </c>
      <c r="V951" t="b">
        <f t="shared" si="28"/>
        <v>1</v>
      </c>
      <c r="W951">
        <v>0</v>
      </c>
      <c r="Y951">
        <f t="shared" si="29"/>
        <v>0</v>
      </c>
    </row>
    <row r="952" spans="1:25" x14ac:dyDescent="0.3">
      <c r="A952" t="s">
        <v>2542</v>
      </c>
      <c r="B952" t="s">
        <v>2543</v>
      </c>
      <c r="C952">
        <v>388.98</v>
      </c>
      <c r="D952" s="1">
        <v>45159.71539351852</v>
      </c>
      <c r="E952" t="s">
        <v>25</v>
      </c>
      <c r="F952" t="s">
        <v>571</v>
      </c>
      <c r="G952" t="s">
        <v>364</v>
      </c>
      <c r="H952" t="s">
        <v>2040</v>
      </c>
      <c r="I952" t="s">
        <v>275</v>
      </c>
      <c r="J952" t="s">
        <v>30</v>
      </c>
      <c r="K952">
        <v>23</v>
      </c>
      <c r="L952" t="s">
        <v>46</v>
      </c>
      <c r="M952">
        <v>155</v>
      </c>
      <c r="N952">
        <v>1</v>
      </c>
      <c r="O952">
        <v>1819.91</v>
      </c>
      <c r="P952" s="1">
        <v>45600.339259259257</v>
      </c>
      <c r="Q952">
        <v>17</v>
      </c>
      <c r="R952" t="s">
        <v>47</v>
      </c>
      <c r="S952">
        <v>0.31302414127675698</v>
      </c>
      <c r="T952" t="b">
        <v>0</v>
      </c>
      <c r="U952" t="b">
        <v>0</v>
      </c>
      <c r="V952" t="b">
        <f t="shared" si="28"/>
        <v>1</v>
      </c>
      <c r="W952">
        <v>0</v>
      </c>
      <c r="Y952">
        <f t="shared" si="29"/>
        <v>0</v>
      </c>
    </row>
    <row r="953" spans="1:25" x14ac:dyDescent="0.3">
      <c r="A953" t="s">
        <v>2544</v>
      </c>
      <c r="B953" t="s">
        <v>2545</v>
      </c>
      <c r="C953">
        <v>492.84</v>
      </c>
      <c r="D953" s="1">
        <v>44986.738449074073</v>
      </c>
      <c r="E953" t="s">
        <v>25</v>
      </c>
      <c r="F953" t="s">
        <v>77</v>
      </c>
      <c r="G953" t="s">
        <v>1542</v>
      </c>
      <c r="H953" t="s">
        <v>181</v>
      </c>
      <c r="I953" t="s">
        <v>440</v>
      </c>
      <c r="J953" t="s">
        <v>30</v>
      </c>
      <c r="K953">
        <v>25</v>
      </c>
      <c r="L953" t="s">
        <v>46</v>
      </c>
      <c r="M953">
        <v>38</v>
      </c>
      <c r="N953">
        <v>1</v>
      </c>
      <c r="O953">
        <v>577.66999999999996</v>
      </c>
      <c r="P953" s="1">
        <v>45600.339849537035</v>
      </c>
      <c r="Q953">
        <v>17</v>
      </c>
      <c r="R953" t="s">
        <v>74</v>
      </c>
      <c r="S953">
        <v>0.66877456572716798</v>
      </c>
      <c r="T953" t="b">
        <v>0</v>
      </c>
      <c r="U953" t="b">
        <v>0</v>
      </c>
      <c r="V953" t="b">
        <f t="shared" si="28"/>
        <v>1</v>
      </c>
      <c r="W953">
        <v>0</v>
      </c>
      <c r="Y953">
        <f t="shared" si="29"/>
        <v>0</v>
      </c>
    </row>
    <row r="954" spans="1:25" x14ac:dyDescent="0.3">
      <c r="A954" t="s">
        <v>2546</v>
      </c>
      <c r="B954" t="s">
        <v>594</v>
      </c>
      <c r="C954">
        <v>148.85</v>
      </c>
      <c r="D954" s="1">
        <v>45259.699178240742</v>
      </c>
      <c r="E954" t="s">
        <v>25</v>
      </c>
      <c r="F954" t="s">
        <v>41</v>
      </c>
      <c r="G954" t="s">
        <v>1828</v>
      </c>
      <c r="H954" t="s">
        <v>792</v>
      </c>
      <c r="I954" t="s">
        <v>1050</v>
      </c>
      <c r="J954" t="s">
        <v>30</v>
      </c>
      <c r="K954">
        <v>57</v>
      </c>
      <c r="L954" t="s">
        <v>31</v>
      </c>
      <c r="M954">
        <v>25</v>
      </c>
      <c r="N954">
        <v>1</v>
      </c>
      <c r="O954">
        <v>7802.36</v>
      </c>
      <c r="P954" s="1">
        <v>45600.339398148149</v>
      </c>
      <c r="Q954">
        <v>16</v>
      </c>
      <c r="R954" t="s">
        <v>74</v>
      </c>
      <c r="S954">
        <v>-0.50949029568913295</v>
      </c>
      <c r="T954" t="b">
        <v>0</v>
      </c>
      <c r="U954" t="b">
        <v>0</v>
      </c>
      <c r="V954" t="b">
        <f t="shared" si="28"/>
        <v>1</v>
      </c>
      <c r="W954">
        <v>0</v>
      </c>
      <c r="Y954">
        <f t="shared" si="29"/>
        <v>0</v>
      </c>
    </row>
    <row r="955" spans="1:25" x14ac:dyDescent="0.3">
      <c r="A955" t="s">
        <v>2547</v>
      </c>
      <c r="B955" t="s">
        <v>1280</v>
      </c>
      <c r="C955">
        <v>119.95</v>
      </c>
      <c r="D955" s="1">
        <v>45026.745185185187</v>
      </c>
      <c r="E955" t="s">
        <v>57</v>
      </c>
      <c r="F955" t="s">
        <v>256</v>
      </c>
      <c r="G955" t="s">
        <v>689</v>
      </c>
      <c r="H955" t="s">
        <v>2548</v>
      </c>
      <c r="I955" t="s">
        <v>199</v>
      </c>
      <c r="J955" t="s">
        <v>81</v>
      </c>
      <c r="K955">
        <v>62</v>
      </c>
      <c r="L955" t="s">
        <v>82</v>
      </c>
      <c r="M955">
        <v>47</v>
      </c>
      <c r="N955">
        <v>5</v>
      </c>
      <c r="O955">
        <v>2596.61</v>
      </c>
      <c r="P955" s="1">
        <v>45600.340590277781</v>
      </c>
      <c r="Q955">
        <v>17</v>
      </c>
      <c r="R955" t="s">
        <v>47</v>
      </c>
      <c r="S955">
        <v>-0.60848112244261698</v>
      </c>
      <c r="T955" t="b">
        <v>0</v>
      </c>
      <c r="U955" t="b">
        <v>1</v>
      </c>
      <c r="V955" t="b">
        <f t="shared" si="28"/>
        <v>1</v>
      </c>
      <c r="W955">
        <v>1</v>
      </c>
      <c r="Y955">
        <f t="shared" si="29"/>
        <v>0</v>
      </c>
    </row>
    <row r="956" spans="1:25" x14ac:dyDescent="0.3">
      <c r="A956" t="s">
        <v>2549</v>
      </c>
      <c r="B956" t="s">
        <v>389</v>
      </c>
      <c r="C956">
        <v>391.66</v>
      </c>
      <c r="D956" s="1">
        <v>45117.72892361111</v>
      </c>
      <c r="E956" t="s">
        <v>25</v>
      </c>
      <c r="F956" t="s">
        <v>571</v>
      </c>
      <c r="G956" t="s">
        <v>1521</v>
      </c>
      <c r="H956" t="s">
        <v>928</v>
      </c>
      <c r="I956" t="s">
        <v>632</v>
      </c>
      <c r="J956" t="s">
        <v>81</v>
      </c>
      <c r="K956">
        <v>50</v>
      </c>
      <c r="L956" t="s">
        <v>89</v>
      </c>
      <c r="M956">
        <v>103</v>
      </c>
      <c r="N956">
        <v>1</v>
      </c>
      <c r="O956">
        <v>2406.31</v>
      </c>
      <c r="P956" s="1">
        <v>45600.338009259256</v>
      </c>
      <c r="Q956">
        <v>17</v>
      </c>
      <c r="R956" t="s">
        <v>47</v>
      </c>
      <c r="S956">
        <v>0.32220391344628402</v>
      </c>
      <c r="T956" t="b">
        <v>0</v>
      </c>
      <c r="U956" t="b">
        <v>0</v>
      </c>
      <c r="V956" t="b">
        <f t="shared" si="28"/>
        <v>1</v>
      </c>
      <c r="W956">
        <v>0</v>
      </c>
      <c r="Y956">
        <f t="shared" si="29"/>
        <v>0</v>
      </c>
    </row>
    <row r="957" spans="1:25" x14ac:dyDescent="0.3">
      <c r="A957" t="s">
        <v>2550</v>
      </c>
      <c r="B957" t="s">
        <v>814</v>
      </c>
      <c r="C957">
        <v>185.99</v>
      </c>
      <c r="D957" s="1">
        <v>45040.701249999998</v>
      </c>
      <c r="E957" t="s">
        <v>57</v>
      </c>
      <c r="F957" t="s">
        <v>571</v>
      </c>
      <c r="G957" t="s">
        <v>2183</v>
      </c>
      <c r="H957" t="s">
        <v>2380</v>
      </c>
      <c r="I957" t="s">
        <v>620</v>
      </c>
      <c r="J957" t="s">
        <v>81</v>
      </c>
      <c r="K957">
        <v>41</v>
      </c>
      <c r="L957" t="s">
        <v>89</v>
      </c>
      <c r="M957">
        <v>53</v>
      </c>
      <c r="N957">
        <v>1</v>
      </c>
      <c r="O957">
        <v>402.45</v>
      </c>
      <c r="P957" s="1">
        <v>45600.340092592596</v>
      </c>
      <c r="Q957">
        <v>16</v>
      </c>
      <c r="R957" t="s">
        <v>47</v>
      </c>
      <c r="S957">
        <v>-0.38227509480247501</v>
      </c>
      <c r="T957" t="b">
        <v>0</v>
      </c>
      <c r="U957" t="b">
        <v>0</v>
      </c>
      <c r="V957" t="b">
        <f t="shared" si="28"/>
        <v>1</v>
      </c>
      <c r="W957">
        <v>0</v>
      </c>
      <c r="Y957">
        <f t="shared" si="29"/>
        <v>0</v>
      </c>
    </row>
    <row r="958" spans="1:25" x14ac:dyDescent="0.3">
      <c r="A958" t="s">
        <v>2551</v>
      </c>
      <c r="B958" t="s">
        <v>2552</v>
      </c>
      <c r="C958">
        <v>322.48</v>
      </c>
      <c r="D958" s="1">
        <v>44998.674085648148</v>
      </c>
      <c r="E958" t="s">
        <v>25</v>
      </c>
      <c r="F958" t="s">
        <v>405</v>
      </c>
      <c r="G958" t="s">
        <v>1726</v>
      </c>
      <c r="H958" t="s">
        <v>1311</v>
      </c>
      <c r="I958" t="s">
        <v>399</v>
      </c>
      <c r="J958" t="s">
        <v>30</v>
      </c>
      <c r="K958">
        <v>27</v>
      </c>
      <c r="L958" t="s">
        <v>46</v>
      </c>
      <c r="M958">
        <v>57</v>
      </c>
      <c r="N958">
        <v>1</v>
      </c>
      <c r="O958">
        <v>1238.43</v>
      </c>
      <c r="P958" s="1">
        <v>45600.341261574074</v>
      </c>
      <c r="Q958">
        <v>16</v>
      </c>
      <c r="R958" t="s">
        <v>47</v>
      </c>
      <c r="S958">
        <v>8.5242481100054002E-2</v>
      </c>
      <c r="T958" t="b">
        <v>0</v>
      </c>
      <c r="U958" t="b">
        <v>0</v>
      </c>
      <c r="V958" t="b">
        <f t="shared" si="28"/>
        <v>1</v>
      </c>
      <c r="W958">
        <v>0</v>
      </c>
      <c r="Y958">
        <f t="shared" si="29"/>
        <v>0</v>
      </c>
    </row>
    <row r="959" spans="1:25" x14ac:dyDescent="0.3">
      <c r="A959" t="s">
        <v>2553</v>
      </c>
      <c r="B959" t="s">
        <v>393</v>
      </c>
      <c r="C959">
        <v>20.27</v>
      </c>
      <c r="D959" s="1">
        <v>45264.685879629629</v>
      </c>
      <c r="E959" t="s">
        <v>25</v>
      </c>
      <c r="F959" t="s">
        <v>185</v>
      </c>
      <c r="G959" t="s">
        <v>1726</v>
      </c>
      <c r="H959" t="s">
        <v>435</v>
      </c>
      <c r="I959" t="s">
        <v>162</v>
      </c>
      <c r="J959" t="s">
        <v>81</v>
      </c>
      <c r="K959">
        <v>18</v>
      </c>
      <c r="L959" t="s">
        <v>46</v>
      </c>
      <c r="M959">
        <v>22</v>
      </c>
      <c r="N959">
        <v>1</v>
      </c>
      <c r="O959">
        <v>796.35</v>
      </c>
      <c r="P959" s="1">
        <v>45600.34002314815</v>
      </c>
      <c r="Q959">
        <v>16</v>
      </c>
      <c r="R959" t="s">
        <v>47</v>
      </c>
      <c r="S959">
        <v>-0.94991384253906397</v>
      </c>
      <c r="T959" t="b">
        <v>0</v>
      </c>
      <c r="U959" t="b">
        <v>0</v>
      </c>
      <c r="V959" t="b">
        <f t="shared" si="28"/>
        <v>1</v>
      </c>
      <c r="W959">
        <v>0</v>
      </c>
      <c r="Y959">
        <f t="shared" si="29"/>
        <v>0</v>
      </c>
    </row>
    <row r="960" spans="1:25" x14ac:dyDescent="0.3">
      <c r="A960" t="s">
        <v>2554</v>
      </c>
      <c r="B960" t="s">
        <v>282</v>
      </c>
      <c r="C960">
        <v>280.61</v>
      </c>
      <c r="D960" s="1">
        <v>45257.692488425928</v>
      </c>
      <c r="E960" t="s">
        <v>25</v>
      </c>
      <c r="F960" t="s">
        <v>41</v>
      </c>
      <c r="G960" t="s">
        <v>979</v>
      </c>
      <c r="H960" t="s">
        <v>289</v>
      </c>
      <c r="I960" t="s">
        <v>687</v>
      </c>
      <c r="J960" t="s">
        <v>30</v>
      </c>
      <c r="K960">
        <v>47</v>
      </c>
      <c r="L960" t="s">
        <v>89</v>
      </c>
      <c r="M960">
        <v>129</v>
      </c>
      <c r="N960">
        <v>3</v>
      </c>
      <c r="O960">
        <v>7888.76</v>
      </c>
      <c r="P960" s="1">
        <v>45600.340821759259</v>
      </c>
      <c r="Q960">
        <v>16</v>
      </c>
      <c r="R960" t="s">
        <v>47</v>
      </c>
      <c r="S960">
        <v>-5.8174332608194802E-2</v>
      </c>
      <c r="T960" t="b">
        <v>0</v>
      </c>
      <c r="U960" t="b">
        <v>1</v>
      </c>
      <c r="V960" t="b">
        <f t="shared" si="28"/>
        <v>1</v>
      </c>
      <c r="W960">
        <v>1</v>
      </c>
      <c r="Y960">
        <f t="shared" si="29"/>
        <v>0</v>
      </c>
    </row>
    <row r="961" spans="1:25" x14ac:dyDescent="0.3">
      <c r="A961" t="s">
        <v>2555</v>
      </c>
      <c r="B961" t="s">
        <v>2556</v>
      </c>
      <c r="C961">
        <v>199.02</v>
      </c>
      <c r="D961" s="1">
        <v>45075.688622685186</v>
      </c>
      <c r="E961" t="s">
        <v>25</v>
      </c>
      <c r="F961" t="s">
        <v>35</v>
      </c>
      <c r="G961" t="s">
        <v>1952</v>
      </c>
      <c r="H961" t="s">
        <v>2557</v>
      </c>
      <c r="I961" t="s">
        <v>275</v>
      </c>
      <c r="J961" t="s">
        <v>30</v>
      </c>
      <c r="K961">
        <v>61</v>
      </c>
      <c r="L961" t="s">
        <v>82</v>
      </c>
      <c r="M961">
        <v>269</v>
      </c>
      <c r="N961">
        <v>1</v>
      </c>
      <c r="O961">
        <v>4658.8900000000003</v>
      </c>
      <c r="P961" s="1">
        <v>45600.338437500002</v>
      </c>
      <c r="Q961">
        <v>16</v>
      </c>
      <c r="R961" t="s">
        <v>47</v>
      </c>
      <c r="S961">
        <v>-0.337643590560333</v>
      </c>
      <c r="T961" t="b">
        <v>0</v>
      </c>
      <c r="U961" t="b">
        <v>0</v>
      </c>
      <c r="V961" t="b">
        <f t="shared" si="28"/>
        <v>1</v>
      </c>
      <c r="W961">
        <v>0</v>
      </c>
      <c r="Y961">
        <f t="shared" si="29"/>
        <v>0</v>
      </c>
    </row>
    <row r="962" spans="1:25" x14ac:dyDescent="0.3">
      <c r="A962" t="s">
        <v>2558</v>
      </c>
      <c r="B962" t="s">
        <v>1812</v>
      </c>
      <c r="C962">
        <v>104.23</v>
      </c>
      <c r="D962" s="1">
        <v>45216.695590277777</v>
      </c>
      <c r="E962" t="s">
        <v>57</v>
      </c>
      <c r="F962" t="s">
        <v>120</v>
      </c>
      <c r="G962" t="s">
        <v>217</v>
      </c>
      <c r="H962" t="s">
        <v>2003</v>
      </c>
      <c r="I962" t="s">
        <v>440</v>
      </c>
      <c r="J962" t="s">
        <v>45</v>
      </c>
      <c r="K962">
        <v>63</v>
      </c>
      <c r="L962" t="s">
        <v>82</v>
      </c>
      <c r="M962">
        <v>108</v>
      </c>
      <c r="N962">
        <v>1</v>
      </c>
      <c r="O962">
        <v>5009.29</v>
      </c>
      <c r="P962" s="1">
        <v>45600.340104166666</v>
      </c>
      <c r="Q962">
        <v>16</v>
      </c>
      <c r="R962" t="s">
        <v>32</v>
      </c>
      <c r="S962">
        <v>-0.66232665173551597</v>
      </c>
      <c r="T962" t="b">
        <v>0</v>
      </c>
      <c r="U962" t="b">
        <v>0</v>
      </c>
      <c r="V962" t="b">
        <f t="shared" si="28"/>
        <v>1</v>
      </c>
      <c r="W962">
        <v>0</v>
      </c>
      <c r="Y962">
        <f t="shared" si="29"/>
        <v>0</v>
      </c>
    </row>
    <row r="963" spans="1:25" x14ac:dyDescent="0.3">
      <c r="A963" t="s">
        <v>2559</v>
      </c>
      <c r="B963" t="s">
        <v>717</v>
      </c>
      <c r="C963">
        <v>353.59</v>
      </c>
      <c r="D963" s="1">
        <v>45149.748518518521</v>
      </c>
      <c r="E963" t="s">
        <v>57</v>
      </c>
      <c r="F963" t="s">
        <v>216</v>
      </c>
      <c r="G963" t="s">
        <v>337</v>
      </c>
      <c r="H963" t="s">
        <v>857</v>
      </c>
      <c r="I963" t="s">
        <v>259</v>
      </c>
      <c r="J963" t="s">
        <v>81</v>
      </c>
      <c r="K963">
        <v>52</v>
      </c>
      <c r="L963" t="s">
        <v>82</v>
      </c>
      <c r="M963">
        <v>109</v>
      </c>
      <c r="N963">
        <v>5</v>
      </c>
      <c r="O963">
        <v>1822.34</v>
      </c>
      <c r="P963" s="1">
        <v>45600.340891203705</v>
      </c>
      <c r="Q963">
        <v>17</v>
      </c>
      <c r="R963" t="s">
        <v>54</v>
      </c>
      <c r="S963">
        <v>0.19180319460527501</v>
      </c>
      <c r="T963" t="b">
        <v>0</v>
      </c>
      <c r="U963" t="b">
        <v>1</v>
      </c>
      <c r="V963" t="b">
        <f t="shared" ref="V963:V1026" si="30">ISLOGICAL(T963)</f>
        <v>1</v>
      </c>
      <c r="W963">
        <v>1</v>
      </c>
      <c r="Y963">
        <f t="shared" ref="Y963:Y1026" si="31">--T963</f>
        <v>0</v>
      </c>
    </row>
    <row r="964" spans="1:25" x14ac:dyDescent="0.3">
      <c r="A964" t="s">
        <v>2560</v>
      </c>
      <c r="B964" t="s">
        <v>2383</v>
      </c>
      <c r="C964">
        <v>55.86</v>
      </c>
      <c r="D964" s="1">
        <v>44949.721018518518</v>
      </c>
      <c r="E964" t="s">
        <v>25</v>
      </c>
      <c r="F964" t="s">
        <v>70</v>
      </c>
      <c r="G964" t="s">
        <v>2561</v>
      </c>
      <c r="H964" t="s">
        <v>1427</v>
      </c>
      <c r="I964" t="s">
        <v>95</v>
      </c>
      <c r="J964" t="s">
        <v>45</v>
      </c>
      <c r="K964">
        <v>39</v>
      </c>
      <c r="L964" t="s">
        <v>89</v>
      </c>
      <c r="M964">
        <v>68</v>
      </c>
      <c r="N964">
        <v>1</v>
      </c>
      <c r="O964">
        <v>5346.46</v>
      </c>
      <c r="P964" s="1">
        <v>45600.338182870371</v>
      </c>
      <c r="Q964">
        <v>17</v>
      </c>
      <c r="R964" t="s">
        <v>47</v>
      </c>
      <c r="S964">
        <v>-0.82800783824299096</v>
      </c>
      <c r="T964" t="b">
        <v>0</v>
      </c>
      <c r="U964" t="b">
        <v>0</v>
      </c>
      <c r="V964" t="b">
        <f t="shared" si="30"/>
        <v>1</v>
      </c>
      <c r="W964">
        <v>0</v>
      </c>
      <c r="Y964">
        <f t="shared" si="31"/>
        <v>0</v>
      </c>
    </row>
    <row r="965" spans="1:25" x14ac:dyDescent="0.3">
      <c r="A965" t="s">
        <v>2562</v>
      </c>
      <c r="B965" t="s">
        <v>780</v>
      </c>
      <c r="C965">
        <v>10.77</v>
      </c>
      <c r="D965" s="1">
        <v>44993.707303240742</v>
      </c>
      <c r="E965" t="s">
        <v>25</v>
      </c>
      <c r="F965" t="s">
        <v>77</v>
      </c>
      <c r="G965" t="s">
        <v>2563</v>
      </c>
      <c r="H965" t="s">
        <v>2009</v>
      </c>
      <c r="I965" t="s">
        <v>1300</v>
      </c>
      <c r="J965" t="s">
        <v>30</v>
      </c>
      <c r="K965">
        <v>31</v>
      </c>
      <c r="L965" t="s">
        <v>31</v>
      </c>
      <c r="M965">
        <v>178</v>
      </c>
      <c r="N965">
        <v>1</v>
      </c>
      <c r="O965">
        <v>10704.95</v>
      </c>
      <c r="P965" s="1">
        <v>45600.340798611112</v>
      </c>
      <c r="Q965">
        <v>16</v>
      </c>
      <c r="R965" t="s">
        <v>74</v>
      </c>
      <c r="S965">
        <v>-0.98245407970716503</v>
      </c>
      <c r="T965" t="b">
        <v>0</v>
      </c>
      <c r="U965" t="b">
        <v>0</v>
      </c>
      <c r="V965" t="b">
        <f t="shared" si="30"/>
        <v>1</v>
      </c>
      <c r="W965">
        <v>0</v>
      </c>
      <c r="Y965">
        <f t="shared" si="31"/>
        <v>0</v>
      </c>
    </row>
    <row r="966" spans="1:25" x14ac:dyDescent="0.3">
      <c r="A966" t="s">
        <v>2564</v>
      </c>
      <c r="B966" t="s">
        <v>2146</v>
      </c>
      <c r="C966">
        <v>95.55</v>
      </c>
      <c r="D966" s="1">
        <v>45026.684201388889</v>
      </c>
      <c r="E966" t="s">
        <v>25</v>
      </c>
      <c r="F966" t="s">
        <v>120</v>
      </c>
      <c r="G966" t="s">
        <v>2565</v>
      </c>
      <c r="H966" t="s">
        <v>2566</v>
      </c>
      <c r="I966" t="s">
        <v>419</v>
      </c>
      <c r="J966" t="s">
        <v>81</v>
      </c>
      <c r="K966">
        <v>33</v>
      </c>
      <c r="L966" t="s">
        <v>89</v>
      </c>
      <c r="M966">
        <v>51</v>
      </c>
      <c r="N966">
        <v>1</v>
      </c>
      <c r="O966">
        <v>2434.7399999999998</v>
      </c>
      <c r="P966" s="1">
        <v>45600.340428240743</v>
      </c>
      <c r="Q966">
        <v>16</v>
      </c>
      <c r="R966" t="s">
        <v>47</v>
      </c>
      <c r="S966">
        <v>-0.69205815264279102</v>
      </c>
      <c r="T966" t="b">
        <v>0</v>
      </c>
      <c r="U966" t="b">
        <v>0</v>
      </c>
      <c r="V966" t="b">
        <f t="shared" si="30"/>
        <v>1</v>
      </c>
      <c r="W966">
        <v>0</v>
      </c>
      <c r="Y966">
        <f t="shared" si="31"/>
        <v>0</v>
      </c>
    </row>
    <row r="967" spans="1:25" x14ac:dyDescent="0.3">
      <c r="A967" t="s">
        <v>2567</v>
      </c>
      <c r="B967" t="s">
        <v>673</v>
      </c>
      <c r="C967">
        <v>477.07</v>
      </c>
      <c r="D967" s="1">
        <v>45257.687928240739</v>
      </c>
      <c r="E967" t="s">
        <v>25</v>
      </c>
      <c r="F967" t="s">
        <v>137</v>
      </c>
      <c r="G967" t="s">
        <v>836</v>
      </c>
      <c r="H967" t="s">
        <v>2568</v>
      </c>
      <c r="I967" t="s">
        <v>1300</v>
      </c>
      <c r="J967" t="s">
        <v>45</v>
      </c>
      <c r="K967">
        <v>27</v>
      </c>
      <c r="L967" t="s">
        <v>89</v>
      </c>
      <c r="M967">
        <v>278</v>
      </c>
      <c r="N967">
        <v>1</v>
      </c>
      <c r="O967">
        <v>6568.07</v>
      </c>
      <c r="P967" s="1">
        <v>45600.338587962964</v>
      </c>
      <c r="Q967">
        <v>16</v>
      </c>
      <c r="R967" t="s">
        <v>47</v>
      </c>
      <c r="S967">
        <v>0.61475777202812099</v>
      </c>
      <c r="T967" t="b">
        <v>0</v>
      </c>
      <c r="U967" t="b">
        <v>0</v>
      </c>
      <c r="V967" t="b">
        <f t="shared" si="30"/>
        <v>1</v>
      </c>
      <c r="W967">
        <v>0</v>
      </c>
      <c r="Y967">
        <f t="shared" si="31"/>
        <v>0</v>
      </c>
    </row>
    <row r="968" spans="1:25" x14ac:dyDescent="0.3">
      <c r="A968" t="s">
        <v>2569</v>
      </c>
      <c r="B968" t="s">
        <v>529</v>
      </c>
      <c r="C968">
        <v>9.1</v>
      </c>
      <c r="D968" s="1">
        <v>44987.673368055555</v>
      </c>
      <c r="E968" t="s">
        <v>57</v>
      </c>
      <c r="F968" t="s">
        <v>225</v>
      </c>
      <c r="G968" t="s">
        <v>701</v>
      </c>
      <c r="H968" t="s">
        <v>2158</v>
      </c>
      <c r="I968" t="s">
        <v>491</v>
      </c>
      <c r="J968" t="s">
        <v>45</v>
      </c>
      <c r="K968">
        <v>52</v>
      </c>
      <c r="L968" t="s">
        <v>82</v>
      </c>
      <c r="M968">
        <v>63</v>
      </c>
      <c r="N968">
        <v>1</v>
      </c>
      <c r="O968">
        <v>2791.45</v>
      </c>
      <c r="P968" s="1">
        <v>45600.340231481481</v>
      </c>
      <c r="Q968">
        <v>16</v>
      </c>
      <c r="R968" t="s">
        <v>141</v>
      </c>
      <c r="S968">
        <v>-0.98817431087250496</v>
      </c>
      <c r="T968" t="b">
        <v>0</v>
      </c>
      <c r="U968" t="b">
        <v>0</v>
      </c>
      <c r="V968" t="b">
        <f t="shared" si="30"/>
        <v>1</v>
      </c>
      <c r="W968">
        <v>0</v>
      </c>
      <c r="Y968">
        <f t="shared" si="31"/>
        <v>0</v>
      </c>
    </row>
    <row r="969" spans="1:25" x14ac:dyDescent="0.3">
      <c r="A969" t="s">
        <v>2570</v>
      </c>
      <c r="B969" t="s">
        <v>2379</v>
      </c>
      <c r="C969">
        <v>21.41</v>
      </c>
      <c r="D969" s="1">
        <v>45264.68545138889</v>
      </c>
      <c r="E969" t="s">
        <v>25</v>
      </c>
      <c r="F969" t="s">
        <v>120</v>
      </c>
      <c r="G969" t="s">
        <v>1368</v>
      </c>
      <c r="H969" t="s">
        <v>1201</v>
      </c>
      <c r="I969" t="s">
        <v>632</v>
      </c>
      <c r="J969" t="s">
        <v>45</v>
      </c>
      <c r="K969">
        <v>57</v>
      </c>
      <c r="L969" t="s">
        <v>31</v>
      </c>
      <c r="M969">
        <v>99</v>
      </c>
      <c r="N969">
        <v>1</v>
      </c>
      <c r="O969">
        <v>658.91</v>
      </c>
      <c r="P969" s="1">
        <v>45600.33935185185</v>
      </c>
      <c r="Q969">
        <v>16</v>
      </c>
      <c r="R969" t="s">
        <v>47</v>
      </c>
      <c r="S969">
        <v>-0.94600901407889204</v>
      </c>
      <c r="T969" t="b">
        <v>0</v>
      </c>
      <c r="U969" t="b">
        <v>0</v>
      </c>
      <c r="V969" t="b">
        <f t="shared" si="30"/>
        <v>1</v>
      </c>
      <c r="W969">
        <v>0</v>
      </c>
      <c r="Y969">
        <f t="shared" si="31"/>
        <v>0</v>
      </c>
    </row>
    <row r="970" spans="1:25" x14ac:dyDescent="0.3">
      <c r="A970" t="s">
        <v>2571</v>
      </c>
      <c r="B970" t="s">
        <v>1987</v>
      </c>
      <c r="C970">
        <v>278.27999999999997</v>
      </c>
      <c r="D970" s="1">
        <v>45201.681157407409</v>
      </c>
      <c r="E970" t="s">
        <v>25</v>
      </c>
      <c r="F970" t="s">
        <v>405</v>
      </c>
      <c r="G970" t="s">
        <v>246</v>
      </c>
      <c r="H970" t="s">
        <v>2572</v>
      </c>
      <c r="I970" t="s">
        <v>361</v>
      </c>
      <c r="J970" t="s">
        <v>81</v>
      </c>
      <c r="K970">
        <v>28</v>
      </c>
      <c r="L970" t="s">
        <v>46</v>
      </c>
      <c r="M970">
        <v>26</v>
      </c>
      <c r="N970">
        <v>1</v>
      </c>
      <c r="O970">
        <v>1346.88</v>
      </c>
      <c r="P970" s="1">
        <v>45600.338622685187</v>
      </c>
      <c r="Q970">
        <v>16</v>
      </c>
      <c r="R970" t="s">
        <v>47</v>
      </c>
      <c r="S970">
        <v>-6.6155253934687006E-2</v>
      </c>
      <c r="T970" t="b">
        <v>0</v>
      </c>
      <c r="U970" t="b">
        <v>0</v>
      </c>
      <c r="V970" t="b">
        <f t="shared" si="30"/>
        <v>1</v>
      </c>
      <c r="W970">
        <v>0</v>
      </c>
      <c r="Y970">
        <f t="shared" si="31"/>
        <v>0</v>
      </c>
    </row>
    <row r="971" spans="1:25" x14ac:dyDescent="0.3">
      <c r="A971" t="s">
        <v>2573</v>
      </c>
      <c r="B971" t="s">
        <v>1567</v>
      </c>
      <c r="C971">
        <v>388.1</v>
      </c>
      <c r="D971" s="1">
        <v>45159.754849537036</v>
      </c>
      <c r="E971" t="s">
        <v>57</v>
      </c>
      <c r="F971" t="s">
        <v>153</v>
      </c>
      <c r="G971" t="s">
        <v>2123</v>
      </c>
      <c r="H971" t="s">
        <v>584</v>
      </c>
      <c r="I971" t="s">
        <v>73</v>
      </c>
      <c r="J971" t="s">
        <v>45</v>
      </c>
      <c r="K971">
        <v>73</v>
      </c>
      <c r="L971" t="s">
        <v>82</v>
      </c>
      <c r="M971">
        <v>40</v>
      </c>
      <c r="N971">
        <v>1</v>
      </c>
      <c r="O971">
        <v>3022.12</v>
      </c>
      <c r="P971" s="1">
        <v>45600.338564814818</v>
      </c>
      <c r="Q971">
        <v>18</v>
      </c>
      <c r="R971" t="s">
        <v>47</v>
      </c>
      <c r="S971">
        <v>0.31000988772855398</v>
      </c>
      <c r="T971" t="b">
        <v>0</v>
      </c>
      <c r="U971" t="b">
        <v>0</v>
      </c>
      <c r="V971" t="b">
        <f t="shared" si="30"/>
        <v>1</v>
      </c>
      <c r="W971">
        <v>0</v>
      </c>
      <c r="Y971">
        <f t="shared" si="31"/>
        <v>0</v>
      </c>
    </row>
    <row r="972" spans="1:25" x14ac:dyDescent="0.3">
      <c r="A972" t="s">
        <v>2574</v>
      </c>
      <c r="B972" t="s">
        <v>2545</v>
      </c>
      <c r="C972">
        <v>215.39</v>
      </c>
      <c r="D972" s="1">
        <v>45098.683252314811</v>
      </c>
      <c r="E972" t="s">
        <v>25</v>
      </c>
      <c r="F972" t="s">
        <v>85</v>
      </c>
      <c r="G972" t="s">
        <v>2575</v>
      </c>
      <c r="H972" t="s">
        <v>1038</v>
      </c>
      <c r="I972" t="s">
        <v>73</v>
      </c>
      <c r="J972" t="s">
        <v>30</v>
      </c>
      <c r="K972">
        <v>27</v>
      </c>
      <c r="L972" t="s">
        <v>46</v>
      </c>
      <c r="M972">
        <v>216</v>
      </c>
      <c r="N972">
        <v>1</v>
      </c>
      <c r="O972">
        <v>1582.55</v>
      </c>
      <c r="P972" s="1">
        <v>45600.341122685182</v>
      </c>
      <c r="Q972">
        <v>16</v>
      </c>
      <c r="R972" t="s">
        <v>74</v>
      </c>
      <c r="S972">
        <v>-0.28157162398751101</v>
      </c>
      <c r="T972" t="b">
        <v>0</v>
      </c>
      <c r="U972" t="b">
        <v>0</v>
      </c>
      <c r="V972" t="b">
        <f t="shared" si="30"/>
        <v>1</v>
      </c>
      <c r="W972">
        <v>0</v>
      </c>
      <c r="Y972">
        <f t="shared" si="31"/>
        <v>0</v>
      </c>
    </row>
    <row r="973" spans="1:25" x14ac:dyDescent="0.3">
      <c r="A973" t="s">
        <v>2576</v>
      </c>
      <c r="B973" t="s">
        <v>2577</v>
      </c>
      <c r="C973">
        <v>194.37</v>
      </c>
      <c r="D973" s="1">
        <v>45042.746655092589</v>
      </c>
      <c r="E973" t="s">
        <v>25</v>
      </c>
      <c r="F973" t="s">
        <v>191</v>
      </c>
      <c r="G973" t="s">
        <v>1227</v>
      </c>
      <c r="H973" t="s">
        <v>1930</v>
      </c>
      <c r="I973" t="s">
        <v>1222</v>
      </c>
      <c r="J973" t="s">
        <v>30</v>
      </c>
      <c r="K973">
        <v>66</v>
      </c>
      <c r="L973" t="s">
        <v>31</v>
      </c>
      <c r="M973">
        <v>161</v>
      </c>
      <c r="N973">
        <v>1</v>
      </c>
      <c r="O973">
        <v>14395.88</v>
      </c>
      <c r="P973" s="1">
        <v>45600.339907407404</v>
      </c>
      <c r="Q973">
        <v>17</v>
      </c>
      <c r="R973" t="s">
        <v>74</v>
      </c>
      <c r="S973">
        <v>-0.35357118033208701</v>
      </c>
      <c r="T973" t="b">
        <v>0</v>
      </c>
      <c r="U973" t="b">
        <v>0</v>
      </c>
      <c r="V973" t="b">
        <f t="shared" si="30"/>
        <v>1</v>
      </c>
      <c r="W973">
        <v>0</v>
      </c>
      <c r="Y973">
        <f t="shared" si="31"/>
        <v>0</v>
      </c>
    </row>
    <row r="974" spans="1:25" x14ac:dyDescent="0.3">
      <c r="A974" t="s">
        <v>2578</v>
      </c>
      <c r="B974" t="s">
        <v>1040</v>
      </c>
      <c r="C974">
        <v>37.700000000000003</v>
      </c>
      <c r="D974" s="1">
        <v>45106.669641203705</v>
      </c>
      <c r="E974" t="s">
        <v>25</v>
      </c>
      <c r="F974" t="s">
        <v>185</v>
      </c>
      <c r="G974" t="s">
        <v>2579</v>
      </c>
      <c r="H974" t="s">
        <v>2072</v>
      </c>
      <c r="I974" t="s">
        <v>871</v>
      </c>
      <c r="J974" t="s">
        <v>30</v>
      </c>
      <c r="K974">
        <v>20</v>
      </c>
      <c r="L974" t="s">
        <v>46</v>
      </c>
      <c r="M974">
        <v>109</v>
      </c>
      <c r="N974">
        <v>1</v>
      </c>
      <c r="O974">
        <v>1741.1</v>
      </c>
      <c r="P974" s="1">
        <v>45600.34175925926</v>
      </c>
      <c r="Q974">
        <v>16</v>
      </c>
      <c r="R974" t="s">
        <v>141</v>
      </c>
      <c r="S974">
        <v>-0.89021107055590798</v>
      </c>
      <c r="T974" t="b">
        <v>0</v>
      </c>
      <c r="U974" t="b">
        <v>0</v>
      </c>
      <c r="V974" t="b">
        <f t="shared" si="30"/>
        <v>1</v>
      </c>
      <c r="W974">
        <v>0</v>
      </c>
      <c r="Y974">
        <f t="shared" si="31"/>
        <v>0</v>
      </c>
    </row>
    <row r="975" spans="1:25" x14ac:dyDescent="0.3">
      <c r="A975" t="s">
        <v>2580</v>
      </c>
      <c r="B975" t="s">
        <v>1541</v>
      </c>
      <c r="C975">
        <v>19.59</v>
      </c>
      <c r="D975" s="1">
        <v>45093.783032407409</v>
      </c>
      <c r="E975" t="s">
        <v>25</v>
      </c>
      <c r="F975" t="s">
        <v>262</v>
      </c>
      <c r="G975" t="s">
        <v>2581</v>
      </c>
      <c r="H975" t="s">
        <v>1639</v>
      </c>
      <c r="I975" t="s">
        <v>1823</v>
      </c>
      <c r="J975" t="s">
        <v>81</v>
      </c>
      <c r="K975">
        <v>64</v>
      </c>
      <c r="L975" t="s">
        <v>82</v>
      </c>
      <c r="M975">
        <v>122</v>
      </c>
      <c r="N975">
        <v>1</v>
      </c>
      <c r="O975">
        <v>1061.69</v>
      </c>
      <c r="P975" s="1">
        <v>45600.340636574074</v>
      </c>
      <c r="Q975">
        <v>18</v>
      </c>
      <c r="R975" t="s">
        <v>54</v>
      </c>
      <c r="S975">
        <v>-0.95224303846267599</v>
      </c>
      <c r="T975" t="b">
        <v>0</v>
      </c>
      <c r="U975" t="b">
        <v>0</v>
      </c>
      <c r="V975" t="b">
        <f t="shared" si="30"/>
        <v>1</v>
      </c>
      <c r="W975">
        <v>0</v>
      </c>
      <c r="Y975">
        <f t="shared" si="31"/>
        <v>0</v>
      </c>
    </row>
    <row r="976" spans="1:25" x14ac:dyDescent="0.3">
      <c r="A976" t="s">
        <v>2582</v>
      </c>
      <c r="B976" t="s">
        <v>725</v>
      </c>
      <c r="C976">
        <v>81.349999999999994</v>
      </c>
      <c r="D976" s="1">
        <v>44949.735509259262</v>
      </c>
      <c r="E976" t="s">
        <v>25</v>
      </c>
      <c r="F976" t="s">
        <v>35</v>
      </c>
      <c r="G976" t="s">
        <v>1605</v>
      </c>
      <c r="H976" t="s">
        <v>891</v>
      </c>
      <c r="I976" t="s">
        <v>178</v>
      </c>
      <c r="J976" t="s">
        <v>45</v>
      </c>
      <c r="K976">
        <v>41</v>
      </c>
      <c r="L976" t="s">
        <v>89</v>
      </c>
      <c r="M976">
        <v>103</v>
      </c>
      <c r="N976">
        <v>1</v>
      </c>
      <c r="O976">
        <v>7192.45</v>
      </c>
      <c r="P976" s="1">
        <v>45600.338240740741</v>
      </c>
      <c r="Q976">
        <v>17</v>
      </c>
      <c r="R976" t="s">
        <v>47</v>
      </c>
      <c r="S976">
        <v>-0.740697243988793</v>
      </c>
      <c r="T976" t="b">
        <v>0</v>
      </c>
      <c r="U976" t="b">
        <v>0</v>
      </c>
      <c r="V976" t="b">
        <f t="shared" si="30"/>
        <v>1</v>
      </c>
      <c r="W976">
        <v>0</v>
      </c>
      <c r="Y976">
        <f t="shared" si="31"/>
        <v>0</v>
      </c>
    </row>
    <row r="977" spans="1:25" x14ac:dyDescent="0.3">
      <c r="A977" t="s">
        <v>2583</v>
      </c>
      <c r="B977" t="s">
        <v>1269</v>
      </c>
      <c r="C977">
        <v>314.54000000000002</v>
      </c>
      <c r="D977" s="1">
        <v>45198.690312500003</v>
      </c>
      <c r="E977" t="s">
        <v>57</v>
      </c>
      <c r="F977" t="s">
        <v>314</v>
      </c>
      <c r="G977" t="s">
        <v>2584</v>
      </c>
      <c r="H977" t="s">
        <v>1334</v>
      </c>
      <c r="I977" t="s">
        <v>88</v>
      </c>
      <c r="J977" t="s">
        <v>81</v>
      </c>
      <c r="K977">
        <v>58</v>
      </c>
      <c r="L977" t="s">
        <v>89</v>
      </c>
      <c r="M977">
        <v>228</v>
      </c>
      <c r="N977">
        <v>1</v>
      </c>
      <c r="O977">
        <v>9923.4500000000007</v>
      </c>
      <c r="P977" s="1">
        <v>45600.340995370374</v>
      </c>
      <c r="Q977">
        <v>16</v>
      </c>
      <c r="R977" t="s">
        <v>54</v>
      </c>
      <c r="S977">
        <v>5.8045693403768001E-2</v>
      </c>
      <c r="T977" t="b">
        <v>0</v>
      </c>
      <c r="U977" t="b">
        <v>0</v>
      </c>
      <c r="V977" t="b">
        <f t="shared" si="30"/>
        <v>1</v>
      </c>
      <c r="W977">
        <v>0</v>
      </c>
      <c r="Y977">
        <f t="shared" si="31"/>
        <v>0</v>
      </c>
    </row>
    <row r="978" spans="1:25" x14ac:dyDescent="0.3">
      <c r="A978" t="s">
        <v>2585</v>
      </c>
      <c r="B978" t="s">
        <v>416</v>
      </c>
      <c r="C978">
        <v>466.64</v>
      </c>
      <c r="D978" s="1">
        <v>45173.706608796296</v>
      </c>
      <c r="E978" t="s">
        <v>25</v>
      </c>
      <c r="F978" t="s">
        <v>159</v>
      </c>
      <c r="G978" t="s">
        <v>785</v>
      </c>
      <c r="H978" t="s">
        <v>382</v>
      </c>
      <c r="I978" t="s">
        <v>997</v>
      </c>
      <c r="J978" t="s">
        <v>30</v>
      </c>
      <c r="K978">
        <v>58</v>
      </c>
      <c r="L978" t="s">
        <v>31</v>
      </c>
      <c r="M978">
        <v>11</v>
      </c>
      <c r="N978">
        <v>1</v>
      </c>
      <c r="O978">
        <v>10915.11</v>
      </c>
      <c r="P978" s="1">
        <v>45600.339814814812</v>
      </c>
      <c r="Q978">
        <v>16</v>
      </c>
      <c r="R978" t="s">
        <v>47</v>
      </c>
      <c r="S978">
        <v>0.57903201690566997</v>
      </c>
      <c r="T978" t="b">
        <v>0</v>
      </c>
      <c r="U978" t="b">
        <v>0</v>
      </c>
      <c r="V978" t="b">
        <f t="shared" si="30"/>
        <v>1</v>
      </c>
      <c r="W978">
        <v>0</v>
      </c>
      <c r="Y978">
        <f t="shared" si="31"/>
        <v>0</v>
      </c>
    </row>
    <row r="979" spans="1:25" x14ac:dyDescent="0.3">
      <c r="A979" t="s">
        <v>2586</v>
      </c>
      <c r="B979" t="s">
        <v>1138</v>
      </c>
      <c r="C979">
        <v>397.01</v>
      </c>
      <c r="D979" s="1">
        <v>45145.740185185183</v>
      </c>
      <c r="E979" t="s">
        <v>25</v>
      </c>
      <c r="F979" t="s">
        <v>153</v>
      </c>
      <c r="G979" t="s">
        <v>2460</v>
      </c>
      <c r="H979" t="s">
        <v>2293</v>
      </c>
      <c r="I979" t="s">
        <v>720</v>
      </c>
      <c r="J979" t="s">
        <v>30</v>
      </c>
      <c r="K979">
        <v>22</v>
      </c>
      <c r="L979" t="s">
        <v>46</v>
      </c>
      <c r="M979">
        <v>100</v>
      </c>
      <c r="N979">
        <v>1</v>
      </c>
      <c r="O979">
        <v>719.52</v>
      </c>
      <c r="P979" s="1">
        <v>45600.337858796294</v>
      </c>
      <c r="Q979">
        <v>17</v>
      </c>
      <c r="R979" t="s">
        <v>47</v>
      </c>
      <c r="S979">
        <v>0.34052920490410898</v>
      </c>
      <c r="T979" t="b">
        <v>0</v>
      </c>
      <c r="U979" t="b">
        <v>0</v>
      </c>
      <c r="V979" t="b">
        <f t="shared" si="30"/>
        <v>1</v>
      </c>
      <c r="W979">
        <v>0</v>
      </c>
      <c r="Y979">
        <f t="shared" si="31"/>
        <v>0</v>
      </c>
    </row>
    <row r="980" spans="1:25" x14ac:dyDescent="0.3">
      <c r="A980" t="s">
        <v>2587</v>
      </c>
      <c r="B980" t="s">
        <v>169</v>
      </c>
      <c r="C980">
        <v>472.48</v>
      </c>
      <c r="D980" s="1">
        <v>44984.712916666664</v>
      </c>
      <c r="E980" t="s">
        <v>25</v>
      </c>
      <c r="F980" t="s">
        <v>216</v>
      </c>
      <c r="G980" t="s">
        <v>1058</v>
      </c>
      <c r="H980" t="s">
        <v>2588</v>
      </c>
      <c r="I980" t="s">
        <v>527</v>
      </c>
      <c r="J980" t="s">
        <v>81</v>
      </c>
      <c r="K980">
        <v>55</v>
      </c>
      <c r="L980" t="s">
        <v>89</v>
      </c>
      <c r="M980">
        <v>87</v>
      </c>
      <c r="N980">
        <v>1</v>
      </c>
      <c r="O980">
        <v>7128.82</v>
      </c>
      <c r="P980" s="1">
        <v>45600.340266203704</v>
      </c>
      <c r="Q980">
        <v>17</v>
      </c>
      <c r="R980" t="s">
        <v>47</v>
      </c>
      <c r="S980">
        <v>0.59903569954374403</v>
      </c>
      <c r="T980" t="b">
        <v>0</v>
      </c>
      <c r="U980" t="b">
        <v>0</v>
      </c>
      <c r="V980" t="b">
        <f t="shared" si="30"/>
        <v>1</v>
      </c>
      <c r="W980">
        <v>0</v>
      </c>
      <c r="Y980">
        <f t="shared" si="31"/>
        <v>0</v>
      </c>
    </row>
    <row r="981" spans="1:25" x14ac:dyDescent="0.3">
      <c r="A981" t="s">
        <v>2589</v>
      </c>
      <c r="B981" t="s">
        <v>1091</v>
      </c>
      <c r="C981">
        <v>67.150000000000006</v>
      </c>
      <c r="D981" s="1">
        <v>45250.720196759263</v>
      </c>
      <c r="E981" t="s">
        <v>25</v>
      </c>
      <c r="F981" t="s">
        <v>77</v>
      </c>
      <c r="G981" t="s">
        <v>305</v>
      </c>
      <c r="H981" t="s">
        <v>727</v>
      </c>
      <c r="I981" t="s">
        <v>366</v>
      </c>
      <c r="J981" t="s">
        <v>45</v>
      </c>
      <c r="K981">
        <v>59</v>
      </c>
      <c r="L981" t="s">
        <v>31</v>
      </c>
      <c r="M981">
        <v>14</v>
      </c>
      <c r="N981">
        <v>1</v>
      </c>
      <c r="O981">
        <v>9028.49</v>
      </c>
      <c r="P981" s="1">
        <v>45600.340891203705</v>
      </c>
      <c r="Q981">
        <v>17</v>
      </c>
      <c r="R981" t="s">
        <v>47</v>
      </c>
      <c r="S981">
        <v>-0.78933633533479597</v>
      </c>
      <c r="T981" t="b">
        <v>0</v>
      </c>
      <c r="U981" t="b">
        <v>0</v>
      </c>
      <c r="V981" t="b">
        <f t="shared" si="30"/>
        <v>1</v>
      </c>
      <c r="W981">
        <v>0</v>
      </c>
      <c r="Y981">
        <f t="shared" si="31"/>
        <v>0</v>
      </c>
    </row>
    <row r="982" spans="1:25" x14ac:dyDescent="0.3">
      <c r="A982" t="s">
        <v>2590</v>
      </c>
      <c r="B982" t="s">
        <v>277</v>
      </c>
      <c r="C982">
        <v>102.67</v>
      </c>
      <c r="D982" s="1">
        <v>45056.737488425926</v>
      </c>
      <c r="E982" t="s">
        <v>25</v>
      </c>
      <c r="F982" t="s">
        <v>98</v>
      </c>
      <c r="G982" t="s">
        <v>439</v>
      </c>
      <c r="H982" t="s">
        <v>43</v>
      </c>
      <c r="I982" t="s">
        <v>61</v>
      </c>
      <c r="J982" t="s">
        <v>81</v>
      </c>
      <c r="K982">
        <v>79</v>
      </c>
      <c r="L982" t="s">
        <v>82</v>
      </c>
      <c r="M982">
        <v>119</v>
      </c>
      <c r="N982">
        <v>1</v>
      </c>
      <c r="O982">
        <v>4656.9399999999996</v>
      </c>
      <c r="P982" s="1">
        <v>45600.337870370371</v>
      </c>
      <c r="Q982">
        <v>17</v>
      </c>
      <c r="R982" t="s">
        <v>74</v>
      </c>
      <c r="S982">
        <v>-0.66767010120732995</v>
      </c>
      <c r="T982" t="b">
        <v>0</v>
      </c>
      <c r="U982" t="b">
        <v>0</v>
      </c>
      <c r="V982" t="b">
        <f t="shared" si="30"/>
        <v>1</v>
      </c>
      <c r="W982">
        <v>0</v>
      </c>
      <c r="Y982">
        <f t="shared" si="31"/>
        <v>0</v>
      </c>
    </row>
    <row r="983" spans="1:25" x14ac:dyDescent="0.3">
      <c r="A983" t="s">
        <v>2591</v>
      </c>
      <c r="B983" t="s">
        <v>570</v>
      </c>
      <c r="C983">
        <v>460.09</v>
      </c>
      <c r="D983" s="1">
        <v>44991.712094907409</v>
      </c>
      <c r="E983" t="s">
        <v>57</v>
      </c>
      <c r="F983" t="s">
        <v>571</v>
      </c>
      <c r="G983" t="s">
        <v>2492</v>
      </c>
      <c r="H983" t="s">
        <v>2592</v>
      </c>
      <c r="I983" t="s">
        <v>440</v>
      </c>
      <c r="J983" t="s">
        <v>45</v>
      </c>
      <c r="K983">
        <v>35</v>
      </c>
      <c r="L983" t="s">
        <v>31</v>
      </c>
      <c r="M983">
        <v>146</v>
      </c>
      <c r="N983">
        <v>3</v>
      </c>
      <c r="O983">
        <v>6990.64</v>
      </c>
      <c r="P983" s="1">
        <v>45600.339270833334</v>
      </c>
      <c r="Q983">
        <v>17</v>
      </c>
      <c r="R983" t="s">
        <v>47</v>
      </c>
      <c r="S983">
        <v>0.55659637970029596</v>
      </c>
      <c r="T983" t="b">
        <v>0</v>
      </c>
      <c r="U983" t="b">
        <v>1</v>
      </c>
      <c r="V983" t="b">
        <f t="shared" si="30"/>
        <v>1</v>
      </c>
      <c r="W983">
        <v>1</v>
      </c>
      <c r="Y983">
        <f t="shared" si="31"/>
        <v>0</v>
      </c>
    </row>
    <row r="984" spans="1:25" x14ac:dyDescent="0.3">
      <c r="A984" t="s">
        <v>2593</v>
      </c>
      <c r="B984" t="s">
        <v>2594</v>
      </c>
      <c r="C984">
        <v>453.49</v>
      </c>
      <c r="D984" s="1">
        <v>44928.671168981484</v>
      </c>
      <c r="E984" t="s">
        <v>25</v>
      </c>
      <c r="F984" t="s">
        <v>70</v>
      </c>
      <c r="G984" t="s">
        <v>2291</v>
      </c>
      <c r="H984" t="s">
        <v>395</v>
      </c>
      <c r="I984" t="s">
        <v>782</v>
      </c>
      <c r="J984" t="s">
        <v>81</v>
      </c>
      <c r="K984">
        <v>66</v>
      </c>
      <c r="L984" t="s">
        <v>31</v>
      </c>
      <c r="M984">
        <v>147</v>
      </c>
      <c r="N984">
        <v>1</v>
      </c>
      <c r="O984">
        <v>6366.43</v>
      </c>
      <c r="P984" s="1">
        <v>45600.339537037034</v>
      </c>
      <c r="Q984">
        <v>16</v>
      </c>
      <c r="R984" t="s">
        <v>47</v>
      </c>
      <c r="S984">
        <v>0.53398947808877295</v>
      </c>
      <c r="T984" t="b">
        <v>0</v>
      </c>
      <c r="U984" t="b">
        <v>0</v>
      </c>
      <c r="V984" t="b">
        <f t="shared" si="30"/>
        <v>1</v>
      </c>
      <c r="W984">
        <v>0</v>
      </c>
      <c r="Y984">
        <f t="shared" si="31"/>
        <v>0</v>
      </c>
    </row>
    <row r="985" spans="1:25" x14ac:dyDescent="0.3">
      <c r="A985" t="s">
        <v>2595</v>
      </c>
      <c r="B985" t="s">
        <v>2596</v>
      </c>
      <c r="C985">
        <v>267.17</v>
      </c>
      <c r="D985" s="1">
        <v>45162.705972222226</v>
      </c>
      <c r="E985" t="s">
        <v>25</v>
      </c>
      <c r="F985" t="s">
        <v>70</v>
      </c>
      <c r="G985" t="s">
        <v>2283</v>
      </c>
      <c r="H985" t="s">
        <v>656</v>
      </c>
      <c r="I985" t="s">
        <v>753</v>
      </c>
      <c r="J985" t="s">
        <v>30</v>
      </c>
      <c r="K985">
        <v>26</v>
      </c>
      <c r="L985" t="s">
        <v>46</v>
      </c>
      <c r="M985">
        <v>170</v>
      </c>
      <c r="N985">
        <v>1</v>
      </c>
      <c r="O985">
        <v>1382.62</v>
      </c>
      <c r="P985" s="1">
        <v>45600.338819444441</v>
      </c>
      <c r="Q985">
        <v>16</v>
      </c>
      <c r="R985" t="s">
        <v>141</v>
      </c>
      <c r="S985">
        <v>-0.104210204980749</v>
      </c>
      <c r="T985" t="b">
        <v>0</v>
      </c>
      <c r="U985" t="b">
        <v>0</v>
      </c>
      <c r="V985" t="b">
        <f t="shared" si="30"/>
        <v>1</v>
      </c>
      <c r="W985">
        <v>0</v>
      </c>
      <c r="Y985">
        <f t="shared" si="31"/>
        <v>0</v>
      </c>
    </row>
    <row r="986" spans="1:25" x14ac:dyDescent="0.3">
      <c r="A986" t="s">
        <v>2597</v>
      </c>
      <c r="B986" t="s">
        <v>780</v>
      </c>
      <c r="C986">
        <v>111.26</v>
      </c>
      <c r="D986" s="1">
        <v>45156.713402777779</v>
      </c>
      <c r="E986" t="s">
        <v>25</v>
      </c>
      <c r="F986" t="s">
        <v>401</v>
      </c>
      <c r="G986" t="s">
        <v>1545</v>
      </c>
      <c r="H986" t="s">
        <v>2598</v>
      </c>
      <c r="I986" t="s">
        <v>1300</v>
      </c>
      <c r="J986" t="s">
        <v>30</v>
      </c>
      <c r="K986">
        <v>66</v>
      </c>
      <c r="L986" t="s">
        <v>31</v>
      </c>
      <c r="M986">
        <v>43</v>
      </c>
      <c r="N986">
        <v>1</v>
      </c>
      <c r="O986">
        <v>14350.11</v>
      </c>
      <c r="P986" s="1">
        <v>45600.338738425926</v>
      </c>
      <c r="Q986">
        <v>17</v>
      </c>
      <c r="R986" t="s">
        <v>54</v>
      </c>
      <c r="S986">
        <v>-0.63824687623112197</v>
      </c>
      <c r="T986" t="b">
        <v>0</v>
      </c>
      <c r="U986" t="b">
        <v>0</v>
      </c>
      <c r="V986" t="b">
        <f t="shared" si="30"/>
        <v>1</v>
      </c>
      <c r="W986">
        <v>0</v>
      </c>
      <c r="Y986">
        <f t="shared" si="31"/>
        <v>0</v>
      </c>
    </row>
    <row r="987" spans="1:25" x14ac:dyDescent="0.3">
      <c r="A987" t="s">
        <v>2599</v>
      </c>
      <c r="B987" t="s">
        <v>2445</v>
      </c>
      <c r="C987">
        <v>121.17</v>
      </c>
      <c r="D987" s="1">
        <v>45285.730046296296</v>
      </c>
      <c r="E987" t="s">
        <v>25</v>
      </c>
      <c r="F987" t="s">
        <v>438</v>
      </c>
      <c r="G987" t="s">
        <v>1466</v>
      </c>
      <c r="H987" t="s">
        <v>931</v>
      </c>
      <c r="I987" t="s">
        <v>213</v>
      </c>
      <c r="J987" t="s">
        <v>30</v>
      </c>
      <c r="K987">
        <v>68</v>
      </c>
      <c r="L987" t="s">
        <v>31</v>
      </c>
      <c r="M987">
        <v>158</v>
      </c>
      <c r="N987">
        <v>1</v>
      </c>
      <c r="O987">
        <v>12990.77</v>
      </c>
      <c r="P987" s="1">
        <v>45600.340416666666</v>
      </c>
      <c r="Q987">
        <v>17</v>
      </c>
      <c r="R987" t="s">
        <v>47</v>
      </c>
      <c r="S987">
        <v>-0.60430227093260802</v>
      </c>
      <c r="T987" t="b">
        <v>0</v>
      </c>
      <c r="U987" t="b">
        <v>0</v>
      </c>
      <c r="V987" t="b">
        <f t="shared" si="30"/>
        <v>1</v>
      </c>
      <c r="W987">
        <v>0</v>
      </c>
      <c r="Y987">
        <f t="shared" si="31"/>
        <v>0</v>
      </c>
    </row>
    <row r="988" spans="1:25" x14ac:dyDescent="0.3">
      <c r="A988" t="s">
        <v>2600</v>
      </c>
      <c r="B988" t="s">
        <v>624</v>
      </c>
      <c r="C988">
        <v>213.28</v>
      </c>
      <c r="D988" s="1">
        <v>45285.770196759258</v>
      </c>
      <c r="E988" t="s">
        <v>25</v>
      </c>
      <c r="F988" t="s">
        <v>41</v>
      </c>
      <c r="G988" t="s">
        <v>1762</v>
      </c>
      <c r="H988" t="s">
        <v>2601</v>
      </c>
      <c r="I988" t="s">
        <v>782</v>
      </c>
      <c r="J988" t="s">
        <v>81</v>
      </c>
      <c r="K988">
        <v>51</v>
      </c>
      <c r="L988" t="s">
        <v>82</v>
      </c>
      <c r="M988">
        <v>94</v>
      </c>
      <c r="N988">
        <v>1</v>
      </c>
      <c r="O988">
        <v>4835.91</v>
      </c>
      <c r="P988" s="1">
        <v>45600.341284722221</v>
      </c>
      <c r="Q988">
        <v>18</v>
      </c>
      <c r="R988" t="s">
        <v>47</v>
      </c>
      <c r="S988">
        <v>-0.28879898192695203</v>
      </c>
      <c r="T988" t="b">
        <v>0</v>
      </c>
      <c r="U988" t="b">
        <v>0</v>
      </c>
      <c r="V988" t="b">
        <f t="shared" si="30"/>
        <v>1</v>
      </c>
      <c r="W988">
        <v>0</v>
      </c>
      <c r="Y988">
        <f t="shared" si="31"/>
        <v>0</v>
      </c>
    </row>
    <row r="989" spans="1:25" x14ac:dyDescent="0.3">
      <c r="A989" t="s">
        <v>2602</v>
      </c>
      <c r="B989" t="s">
        <v>303</v>
      </c>
      <c r="C989">
        <v>187.88</v>
      </c>
      <c r="D989" s="1">
        <v>45148.69425925926</v>
      </c>
      <c r="E989" t="s">
        <v>25</v>
      </c>
      <c r="F989" t="s">
        <v>92</v>
      </c>
      <c r="G989" t="s">
        <v>1762</v>
      </c>
      <c r="H989" t="s">
        <v>1248</v>
      </c>
      <c r="I989" t="s">
        <v>123</v>
      </c>
      <c r="J989" t="s">
        <v>30</v>
      </c>
      <c r="K989">
        <v>60</v>
      </c>
      <c r="L989" t="s">
        <v>89</v>
      </c>
      <c r="M989">
        <v>180</v>
      </c>
      <c r="N989">
        <v>1</v>
      </c>
      <c r="O989">
        <v>2154.58</v>
      </c>
      <c r="P989" s="1">
        <v>45600.340925925928</v>
      </c>
      <c r="Q989">
        <v>16</v>
      </c>
      <c r="R989" t="s">
        <v>141</v>
      </c>
      <c r="S989">
        <v>-0.37580130025008401</v>
      </c>
      <c r="T989" t="b">
        <v>0</v>
      </c>
      <c r="U989" t="b">
        <v>0</v>
      </c>
      <c r="V989" t="b">
        <f t="shared" si="30"/>
        <v>1</v>
      </c>
      <c r="W989">
        <v>0</v>
      </c>
      <c r="Y989">
        <f t="shared" si="31"/>
        <v>0</v>
      </c>
    </row>
    <row r="990" spans="1:25" x14ac:dyDescent="0.3">
      <c r="A990" t="s">
        <v>2603</v>
      </c>
      <c r="B990" t="s">
        <v>790</v>
      </c>
      <c r="C990">
        <v>471.88</v>
      </c>
      <c r="D990" s="1">
        <v>45229.780810185184</v>
      </c>
      <c r="E990" t="s">
        <v>57</v>
      </c>
      <c r="F990" t="s">
        <v>236</v>
      </c>
      <c r="G990" t="s">
        <v>1552</v>
      </c>
      <c r="H990" t="s">
        <v>218</v>
      </c>
      <c r="I990" t="s">
        <v>67</v>
      </c>
      <c r="J990" t="s">
        <v>45</v>
      </c>
      <c r="K990">
        <v>34</v>
      </c>
      <c r="L990" t="s">
        <v>31</v>
      </c>
      <c r="M990">
        <v>141</v>
      </c>
      <c r="N990">
        <v>1</v>
      </c>
      <c r="O990">
        <v>14833.34</v>
      </c>
      <c r="P990" s="1">
        <v>45600.338194444441</v>
      </c>
      <c r="Q990">
        <v>18</v>
      </c>
      <c r="R990" t="s">
        <v>47</v>
      </c>
      <c r="S990">
        <v>0.59698052666997004</v>
      </c>
      <c r="T990" t="b">
        <v>0</v>
      </c>
      <c r="U990" t="b">
        <v>0</v>
      </c>
      <c r="V990" t="b">
        <f t="shared" si="30"/>
        <v>1</v>
      </c>
      <c r="W990">
        <v>0</v>
      </c>
      <c r="Y990">
        <f t="shared" si="31"/>
        <v>0</v>
      </c>
    </row>
    <row r="991" spans="1:25" x14ac:dyDescent="0.3">
      <c r="A991" t="s">
        <v>2604</v>
      </c>
      <c r="B991" t="s">
        <v>1666</v>
      </c>
      <c r="C991">
        <v>83.79</v>
      </c>
      <c r="D991" s="1">
        <v>45211.692928240744</v>
      </c>
      <c r="E991" t="s">
        <v>25</v>
      </c>
      <c r="F991" t="s">
        <v>92</v>
      </c>
      <c r="G991" t="s">
        <v>2605</v>
      </c>
      <c r="H991" t="s">
        <v>971</v>
      </c>
      <c r="I991" t="s">
        <v>1013</v>
      </c>
      <c r="J991" t="s">
        <v>30</v>
      </c>
      <c r="K991">
        <v>57</v>
      </c>
      <c r="L991" t="s">
        <v>89</v>
      </c>
      <c r="M991">
        <v>47</v>
      </c>
      <c r="N991">
        <v>1</v>
      </c>
      <c r="O991">
        <v>5061.3</v>
      </c>
      <c r="P991" s="1">
        <v>45600.339641203704</v>
      </c>
      <c r="Q991">
        <v>16</v>
      </c>
      <c r="R991" t="s">
        <v>141</v>
      </c>
      <c r="S991">
        <v>-0.73233954096877596</v>
      </c>
      <c r="T991" t="b">
        <v>0</v>
      </c>
      <c r="U991" t="b">
        <v>0</v>
      </c>
      <c r="V991" t="b">
        <f t="shared" si="30"/>
        <v>1</v>
      </c>
      <c r="W991">
        <v>0</v>
      </c>
      <c r="Y991">
        <f t="shared" si="31"/>
        <v>0</v>
      </c>
    </row>
    <row r="992" spans="1:25" x14ac:dyDescent="0.3">
      <c r="A992" t="s">
        <v>2606</v>
      </c>
      <c r="B992" t="s">
        <v>902</v>
      </c>
      <c r="C992">
        <v>212.14</v>
      </c>
      <c r="D992" s="1">
        <v>45152.728206018517</v>
      </c>
      <c r="E992" t="s">
        <v>25</v>
      </c>
      <c r="F992" t="s">
        <v>131</v>
      </c>
      <c r="G992" t="s">
        <v>2081</v>
      </c>
      <c r="H992" t="s">
        <v>2199</v>
      </c>
      <c r="I992" t="s">
        <v>491</v>
      </c>
      <c r="J992" t="s">
        <v>81</v>
      </c>
      <c r="K992">
        <v>72</v>
      </c>
      <c r="L992" t="s">
        <v>82</v>
      </c>
      <c r="M992">
        <v>105</v>
      </c>
      <c r="N992">
        <v>1</v>
      </c>
      <c r="O992">
        <v>7225.06</v>
      </c>
      <c r="P992" s="1">
        <v>45600.339421296296</v>
      </c>
      <c r="Q992">
        <v>17</v>
      </c>
      <c r="R992" t="s">
        <v>47</v>
      </c>
      <c r="S992">
        <v>-0.29270381038712501</v>
      </c>
      <c r="T992" t="b">
        <v>0</v>
      </c>
      <c r="U992" t="b">
        <v>0</v>
      </c>
      <c r="V992" t="b">
        <f t="shared" si="30"/>
        <v>1</v>
      </c>
      <c r="W992">
        <v>0</v>
      </c>
      <c r="Y992">
        <f t="shared" si="31"/>
        <v>0</v>
      </c>
    </row>
    <row r="993" spans="1:25" x14ac:dyDescent="0.3">
      <c r="A993" t="s">
        <v>2607</v>
      </c>
      <c r="B993" t="s">
        <v>412</v>
      </c>
      <c r="C993">
        <v>99.16</v>
      </c>
      <c r="D993" s="1">
        <v>44985.746527777781</v>
      </c>
      <c r="E993" t="s">
        <v>25</v>
      </c>
      <c r="F993" t="s">
        <v>225</v>
      </c>
      <c r="G993" t="s">
        <v>1466</v>
      </c>
      <c r="H993" t="s">
        <v>1616</v>
      </c>
      <c r="I993" t="s">
        <v>427</v>
      </c>
      <c r="J993" t="s">
        <v>45</v>
      </c>
      <c r="K993">
        <v>79</v>
      </c>
      <c r="L993" t="s">
        <v>82</v>
      </c>
      <c r="M993">
        <v>202</v>
      </c>
      <c r="N993">
        <v>1</v>
      </c>
      <c r="O993">
        <v>2607.58</v>
      </c>
      <c r="P993" s="1">
        <v>45600.340590277781</v>
      </c>
      <c r="Q993">
        <v>17</v>
      </c>
      <c r="R993" t="s">
        <v>32</v>
      </c>
      <c r="S993">
        <v>-0.67969286251891303</v>
      </c>
      <c r="T993" t="b">
        <v>0</v>
      </c>
      <c r="U993" t="b">
        <v>0</v>
      </c>
      <c r="V993" t="b">
        <f t="shared" si="30"/>
        <v>1</v>
      </c>
      <c r="W993">
        <v>0</v>
      </c>
      <c r="Y993">
        <f t="shared" si="31"/>
        <v>0</v>
      </c>
    </row>
    <row r="994" spans="1:25" x14ac:dyDescent="0.3">
      <c r="A994" t="s">
        <v>2608</v>
      </c>
      <c r="B994" t="s">
        <v>1418</v>
      </c>
      <c r="C994">
        <v>839.33</v>
      </c>
      <c r="D994" s="1">
        <v>45048.669016203705</v>
      </c>
      <c r="E994" t="s">
        <v>57</v>
      </c>
      <c r="F994" t="s">
        <v>120</v>
      </c>
      <c r="G994" t="s">
        <v>65</v>
      </c>
      <c r="H994" t="s">
        <v>544</v>
      </c>
      <c r="I994" t="s">
        <v>371</v>
      </c>
      <c r="J994" t="s">
        <v>81</v>
      </c>
      <c r="K994">
        <v>60</v>
      </c>
      <c r="L994" t="s">
        <v>31</v>
      </c>
      <c r="M994">
        <v>86</v>
      </c>
      <c r="N994">
        <v>1</v>
      </c>
      <c r="O994">
        <v>11538.97</v>
      </c>
      <c r="P994" s="1">
        <v>45600.339826388888</v>
      </c>
      <c r="Q994">
        <v>16</v>
      </c>
      <c r="R994" t="s">
        <v>32</v>
      </c>
      <c r="S994">
        <v>1.85560264745086</v>
      </c>
      <c r="T994" t="b">
        <v>0</v>
      </c>
      <c r="U994" t="b">
        <v>0</v>
      </c>
      <c r="V994" t="b">
        <f t="shared" si="30"/>
        <v>1</v>
      </c>
      <c r="W994">
        <v>0</v>
      </c>
      <c r="Y994">
        <f t="shared" si="31"/>
        <v>0</v>
      </c>
    </row>
    <row r="995" spans="1:25" x14ac:dyDescent="0.3">
      <c r="A995" t="s">
        <v>2609</v>
      </c>
      <c r="B995" t="s">
        <v>1887</v>
      </c>
      <c r="C995">
        <v>29.91</v>
      </c>
      <c r="D995" s="1">
        <v>45138.685104166667</v>
      </c>
      <c r="E995" t="s">
        <v>57</v>
      </c>
      <c r="F995" t="s">
        <v>256</v>
      </c>
      <c r="G995" t="s">
        <v>973</v>
      </c>
      <c r="H995" t="s">
        <v>1907</v>
      </c>
      <c r="I995" t="s">
        <v>652</v>
      </c>
      <c r="J995" t="s">
        <v>45</v>
      </c>
      <c r="K995">
        <v>76</v>
      </c>
      <c r="L995" t="s">
        <v>82</v>
      </c>
      <c r="M995">
        <v>43</v>
      </c>
      <c r="N995">
        <v>3</v>
      </c>
      <c r="O995">
        <v>2834.84</v>
      </c>
      <c r="P995" s="1">
        <v>45600.33934027778</v>
      </c>
      <c r="Q995">
        <v>16</v>
      </c>
      <c r="R995" t="s">
        <v>47</v>
      </c>
      <c r="S995">
        <v>-0.91689406503375004</v>
      </c>
      <c r="T995" t="b">
        <v>0</v>
      </c>
      <c r="U995" t="b">
        <v>1</v>
      </c>
      <c r="V995" t="b">
        <f t="shared" si="30"/>
        <v>1</v>
      </c>
      <c r="W995">
        <v>1</v>
      </c>
      <c r="Y995">
        <f t="shared" si="31"/>
        <v>0</v>
      </c>
    </row>
    <row r="996" spans="1:25" x14ac:dyDescent="0.3">
      <c r="A996" t="s">
        <v>2610</v>
      </c>
      <c r="B996" t="s">
        <v>1182</v>
      </c>
      <c r="C996">
        <v>4.24</v>
      </c>
      <c r="D996" s="1">
        <v>45033.698969907404</v>
      </c>
      <c r="E996" t="s">
        <v>25</v>
      </c>
      <c r="F996" t="s">
        <v>26</v>
      </c>
      <c r="G996" t="s">
        <v>718</v>
      </c>
      <c r="H996" t="s">
        <v>274</v>
      </c>
      <c r="I996" t="s">
        <v>585</v>
      </c>
      <c r="J996" t="s">
        <v>45</v>
      </c>
      <c r="K996">
        <v>38</v>
      </c>
      <c r="L996" t="s">
        <v>89</v>
      </c>
      <c r="M996">
        <v>38</v>
      </c>
      <c r="N996">
        <v>1</v>
      </c>
      <c r="O996">
        <v>7822.73</v>
      </c>
      <c r="P996" s="1">
        <v>45600.338819444441</v>
      </c>
      <c r="Q996">
        <v>16</v>
      </c>
      <c r="R996" t="s">
        <v>47</v>
      </c>
      <c r="S996">
        <v>-1.0048212111500801</v>
      </c>
      <c r="T996" t="b">
        <v>0</v>
      </c>
      <c r="U996" t="b">
        <v>0</v>
      </c>
      <c r="V996" t="b">
        <f t="shared" si="30"/>
        <v>1</v>
      </c>
      <c r="W996">
        <v>0</v>
      </c>
      <c r="Y996">
        <f t="shared" si="31"/>
        <v>0</v>
      </c>
    </row>
    <row r="997" spans="1:25" x14ac:dyDescent="0.3">
      <c r="A997" t="s">
        <v>2611</v>
      </c>
      <c r="B997" t="s">
        <v>1451</v>
      </c>
      <c r="C997">
        <v>50.29</v>
      </c>
      <c r="D997" s="1">
        <v>45187.676134259258</v>
      </c>
      <c r="E997" t="s">
        <v>57</v>
      </c>
      <c r="F997" t="s">
        <v>50</v>
      </c>
      <c r="G997" t="s">
        <v>2295</v>
      </c>
      <c r="H997" t="s">
        <v>1194</v>
      </c>
      <c r="I997" t="s">
        <v>178</v>
      </c>
      <c r="J997" t="s">
        <v>45</v>
      </c>
      <c r="K997">
        <v>58</v>
      </c>
      <c r="L997" t="s">
        <v>31</v>
      </c>
      <c r="M997">
        <v>64</v>
      </c>
      <c r="N997">
        <v>1</v>
      </c>
      <c r="O997">
        <v>7604.9</v>
      </c>
      <c r="P997" s="1">
        <v>45600.338379629633</v>
      </c>
      <c r="Q997">
        <v>16</v>
      </c>
      <c r="R997" t="s">
        <v>47</v>
      </c>
      <c r="S997">
        <v>-0.84708669308786699</v>
      </c>
      <c r="T997" t="b">
        <v>0</v>
      </c>
      <c r="U997" t="b">
        <v>0</v>
      </c>
      <c r="V997" t="b">
        <f t="shared" si="30"/>
        <v>1</v>
      </c>
      <c r="W997">
        <v>0</v>
      </c>
      <c r="Y997">
        <f t="shared" si="31"/>
        <v>0</v>
      </c>
    </row>
    <row r="998" spans="1:25" x14ac:dyDescent="0.3">
      <c r="A998" t="s">
        <v>2612</v>
      </c>
      <c r="B998" t="s">
        <v>1541</v>
      </c>
      <c r="C998">
        <v>135.85</v>
      </c>
      <c r="D998" s="1">
        <v>45141.726354166669</v>
      </c>
      <c r="E998" t="s">
        <v>25</v>
      </c>
      <c r="F998" t="s">
        <v>571</v>
      </c>
      <c r="G998" t="s">
        <v>1601</v>
      </c>
      <c r="H998" t="s">
        <v>644</v>
      </c>
      <c r="I998" t="s">
        <v>29</v>
      </c>
      <c r="J998" t="s">
        <v>45</v>
      </c>
      <c r="K998">
        <v>57</v>
      </c>
      <c r="L998" t="s">
        <v>82</v>
      </c>
      <c r="M998">
        <v>269</v>
      </c>
      <c r="N998">
        <v>1</v>
      </c>
      <c r="O998">
        <v>1480.39</v>
      </c>
      <c r="P998" s="1">
        <v>45600.339074074072</v>
      </c>
      <c r="Q998">
        <v>17</v>
      </c>
      <c r="R998" t="s">
        <v>141</v>
      </c>
      <c r="S998">
        <v>-0.55401904128758594</v>
      </c>
      <c r="T998" t="b">
        <v>0</v>
      </c>
      <c r="U998" t="b">
        <v>0</v>
      </c>
      <c r="V998" t="b">
        <f t="shared" si="30"/>
        <v>1</v>
      </c>
      <c r="W998">
        <v>0</v>
      </c>
      <c r="Y998">
        <f t="shared" si="31"/>
        <v>0</v>
      </c>
    </row>
    <row r="999" spans="1:25" x14ac:dyDescent="0.3">
      <c r="A999" t="s">
        <v>2613</v>
      </c>
      <c r="B999" t="s">
        <v>2614</v>
      </c>
      <c r="C999">
        <v>368.53</v>
      </c>
      <c r="D999" s="1">
        <v>45019.673020833332</v>
      </c>
      <c r="E999" t="s">
        <v>25</v>
      </c>
      <c r="F999" t="s">
        <v>50</v>
      </c>
      <c r="G999" t="s">
        <v>551</v>
      </c>
      <c r="H999" t="s">
        <v>870</v>
      </c>
      <c r="I999" t="s">
        <v>527</v>
      </c>
      <c r="J999" t="s">
        <v>81</v>
      </c>
      <c r="K999">
        <v>68</v>
      </c>
      <c r="L999" t="s">
        <v>31</v>
      </c>
      <c r="M999">
        <v>34</v>
      </c>
      <c r="N999">
        <v>1</v>
      </c>
      <c r="O999">
        <v>13696.31</v>
      </c>
      <c r="P999" s="1">
        <v>45600.338148148148</v>
      </c>
      <c r="Q999">
        <v>16</v>
      </c>
      <c r="R999" t="s">
        <v>47</v>
      </c>
      <c r="S999">
        <v>0.242976999162267</v>
      </c>
      <c r="T999" t="b">
        <v>0</v>
      </c>
      <c r="U999" t="b">
        <v>0</v>
      </c>
      <c r="V999" t="b">
        <f t="shared" si="30"/>
        <v>1</v>
      </c>
      <c r="W999">
        <v>0</v>
      </c>
      <c r="Y999">
        <f t="shared" si="31"/>
        <v>0</v>
      </c>
    </row>
    <row r="1000" spans="1:25" x14ac:dyDescent="0.3">
      <c r="A1000" t="s">
        <v>2615</v>
      </c>
      <c r="B1000" t="s">
        <v>902</v>
      </c>
      <c r="C1000">
        <v>17.95</v>
      </c>
      <c r="D1000" s="1">
        <v>45082.72383101852</v>
      </c>
      <c r="E1000" t="s">
        <v>57</v>
      </c>
      <c r="F1000" t="s">
        <v>298</v>
      </c>
      <c r="G1000" t="s">
        <v>1030</v>
      </c>
      <c r="H1000" t="s">
        <v>1516</v>
      </c>
      <c r="I1000" t="s">
        <v>1575</v>
      </c>
      <c r="J1000" t="s">
        <v>81</v>
      </c>
      <c r="K1000">
        <v>64</v>
      </c>
      <c r="L1000" t="s">
        <v>31</v>
      </c>
      <c r="M1000">
        <v>135</v>
      </c>
      <c r="N1000">
        <v>1</v>
      </c>
      <c r="O1000">
        <v>12344.9</v>
      </c>
      <c r="P1000" s="1">
        <v>45600.34</v>
      </c>
      <c r="Q1000">
        <v>17</v>
      </c>
      <c r="R1000" t="s">
        <v>47</v>
      </c>
      <c r="S1000">
        <v>-0.95786051098432701</v>
      </c>
      <c r="T1000" t="b">
        <v>0</v>
      </c>
      <c r="U1000" t="b">
        <v>0</v>
      </c>
      <c r="V1000" t="b">
        <f t="shared" si="30"/>
        <v>1</v>
      </c>
      <c r="W1000">
        <v>0</v>
      </c>
      <c r="Y1000">
        <f t="shared" si="31"/>
        <v>0</v>
      </c>
    </row>
    <row r="1001" spans="1:25" x14ac:dyDescent="0.3">
      <c r="A1001" t="s">
        <v>2616</v>
      </c>
      <c r="B1001" t="s">
        <v>2146</v>
      </c>
      <c r="C1001">
        <v>127.8</v>
      </c>
      <c r="D1001" s="1">
        <v>44987.670740740738</v>
      </c>
      <c r="E1001" t="s">
        <v>57</v>
      </c>
      <c r="F1001" t="s">
        <v>314</v>
      </c>
      <c r="G1001" t="s">
        <v>2617</v>
      </c>
      <c r="H1001" t="s">
        <v>920</v>
      </c>
      <c r="I1001" t="s">
        <v>620</v>
      </c>
      <c r="J1001" t="s">
        <v>81</v>
      </c>
      <c r="K1001">
        <v>31</v>
      </c>
      <c r="L1001" t="s">
        <v>89</v>
      </c>
      <c r="M1001">
        <v>47</v>
      </c>
      <c r="N1001">
        <v>1</v>
      </c>
      <c r="O1001">
        <v>8630.99</v>
      </c>
      <c r="P1001" s="1">
        <v>45600.338217592594</v>
      </c>
      <c r="Q1001">
        <v>16</v>
      </c>
      <c r="R1001" t="s">
        <v>141</v>
      </c>
      <c r="S1001">
        <v>-0.58159261067739698</v>
      </c>
      <c r="T1001" t="b">
        <v>0</v>
      </c>
      <c r="U1001" t="b">
        <v>0</v>
      </c>
      <c r="V1001" t="b">
        <f t="shared" si="30"/>
        <v>1</v>
      </c>
      <c r="W1001">
        <v>0</v>
      </c>
      <c r="Y1001">
        <f t="shared" si="31"/>
        <v>0</v>
      </c>
    </row>
    <row r="1002" spans="1:25" x14ac:dyDescent="0.3">
      <c r="A1002" t="s">
        <v>2618</v>
      </c>
      <c r="B1002" t="s">
        <v>981</v>
      </c>
      <c r="C1002">
        <v>16.73</v>
      </c>
      <c r="D1002" s="1">
        <v>44979.736041666663</v>
      </c>
      <c r="E1002" t="s">
        <v>25</v>
      </c>
      <c r="F1002" t="s">
        <v>35</v>
      </c>
      <c r="G1002" t="s">
        <v>1030</v>
      </c>
      <c r="H1002" t="s">
        <v>942</v>
      </c>
      <c r="I1002" t="s">
        <v>101</v>
      </c>
      <c r="J1002" t="s">
        <v>45</v>
      </c>
      <c r="K1002">
        <v>45</v>
      </c>
      <c r="L1002" t="s">
        <v>89</v>
      </c>
      <c r="M1002">
        <v>48</v>
      </c>
      <c r="N1002">
        <v>1</v>
      </c>
      <c r="O1002">
        <v>2202.62</v>
      </c>
      <c r="P1002" s="1">
        <v>45600.34</v>
      </c>
      <c r="Q1002">
        <v>17</v>
      </c>
      <c r="R1002" t="s">
        <v>74</v>
      </c>
      <c r="S1002">
        <v>-0.96203936249433497</v>
      </c>
      <c r="T1002" t="b">
        <v>0</v>
      </c>
      <c r="U1002" t="b">
        <v>0</v>
      </c>
      <c r="V1002" t="b">
        <f t="shared" si="30"/>
        <v>1</v>
      </c>
      <c r="W1002">
        <v>0</v>
      </c>
      <c r="Y1002">
        <f t="shared" si="31"/>
        <v>0</v>
      </c>
    </row>
    <row r="1003" spans="1:25" x14ac:dyDescent="0.3">
      <c r="A1003" t="s">
        <v>2619</v>
      </c>
      <c r="B1003" t="s">
        <v>2032</v>
      </c>
      <c r="C1003">
        <v>317.12</v>
      </c>
      <c r="D1003" s="1">
        <v>45271.669328703705</v>
      </c>
      <c r="E1003" t="s">
        <v>25</v>
      </c>
      <c r="F1003" t="s">
        <v>170</v>
      </c>
      <c r="G1003" t="s">
        <v>913</v>
      </c>
      <c r="H1003" t="s">
        <v>1275</v>
      </c>
      <c r="I1003" t="s">
        <v>775</v>
      </c>
      <c r="J1003" t="s">
        <v>81</v>
      </c>
      <c r="K1003">
        <v>44</v>
      </c>
      <c r="L1003" t="s">
        <v>31</v>
      </c>
      <c r="M1003">
        <v>80</v>
      </c>
      <c r="N1003">
        <v>1</v>
      </c>
      <c r="O1003">
        <v>14409.74</v>
      </c>
      <c r="P1003" s="1">
        <v>45600.33898148148</v>
      </c>
      <c r="Q1003">
        <v>16</v>
      </c>
      <c r="R1003" t="s">
        <v>47</v>
      </c>
      <c r="S1003">
        <v>6.6882936760999406E-2</v>
      </c>
      <c r="T1003" t="b">
        <v>0</v>
      </c>
      <c r="U1003" t="b">
        <v>0</v>
      </c>
      <c r="V1003" t="b">
        <f t="shared" si="30"/>
        <v>1</v>
      </c>
      <c r="W1003">
        <v>0</v>
      </c>
      <c r="Y1003">
        <f t="shared" si="31"/>
        <v>0</v>
      </c>
    </row>
    <row r="1004" spans="1:25" x14ac:dyDescent="0.3">
      <c r="A1004" t="s">
        <v>2620</v>
      </c>
      <c r="B1004" t="s">
        <v>746</v>
      </c>
      <c r="C1004">
        <v>476.63</v>
      </c>
      <c r="D1004" s="1">
        <v>45132.720706018517</v>
      </c>
      <c r="E1004" t="s">
        <v>25</v>
      </c>
      <c r="F1004" t="s">
        <v>262</v>
      </c>
      <c r="G1004" t="s">
        <v>1646</v>
      </c>
      <c r="H1004" t="s">
        <v>1015</v>
      </c>
      <c r="I1004" t="s">
        <v>993</v>
      </c>
      <c r="J1004" t="s">
        <v>30</v>
      </c>
      <c r="K1004">
        <v>79</v>
      </c>
      <c r="L1004" t="s">
        <v>82</v>
      </c>
      <c r="M1004">
        <v>115</v>
      </c>
      <c r="N1004">
        <v>1</v>
      </c>
      <c r="O1004">
        <v>4894.25</v>
      </c>
      <c r="P1004" s="1">
        <v>45600.339687500003</v>
      </c>
      <c r="Q1004">
        <v>17</v>
      </c>
      <c r="R1004" t="s">
        <v>32</v>
      </c>
      <c r="S1004">
        <v>0.61325064525401995</v>
      </c>
      <c r="T1004" t="b">
        <v>0</v>
      </c>
      <c r="U1004" t="b">
        <v>0</v>
      </c>
      <c r="V1004" t="b">
        <f t="shared" si="30"/>
        <v>1</v>
      </c>
      <c r="W1004">
        <v>0</v>
      </c>
      <c r="Y1004">
        <f t="shared" si="31"/>
        <v>0</v>
      </c>
    </row>
    <row r="1005" spans="1:25" x14ac:dyDescent="0.3">
      <c r="A1005" t="s">
        <v>2621</v>
      </c>
      <c r="B1005" t="s">
        <v>49</v>
      </c>
      <c r="C1005">
        <v>156.58000000000001</v>
      </c>
      <c r="D1005" s="1">
        <v>45187.668865740743</v>
      </c>
      <c r="E1005" t="s">
        <v>25</v>
      </c>
      <c r="F1005" t="s">
        <v>608</v>
      </c>
      <c r="G1005" t="s">
        <v>1588</v>
      </c>
      <c r="H1005" t="s">
        <v>2622</v>
      </c>
      <c r="I1005" t="s">
        <v>173</v>
      </c>
      <c r="J1005" t="s">
        <v>81</v>
      </c>
      <c r="K1005">
        <v>24</v>
      </c>
      <c r="L1005" t="s">
        <v>46</v>
      </c>
      <c r="M1005">
        <v>160</v>
      </c>
      <c r="N1005">
        <v>1</v>
      </c>
      <c r="O1005">
        <v>8981.61</v>
      </c>
      <c r="P1005" s="1">
        <v>45600.34003472222</v>
      </c>
      <c r="Q1005">
        <v>16</v>
      </c>
      <c r="R1005" t="s">
        <v>47</v>
      </c>
      <c r="S1005">
        <v>-0.48301281849866801</v>
      </c>
      <c r="T1005" t="b">
        <v>0</v>
      </c>
      <c r="U1005" t="b">
        <v>0</v>
      </c>
      <c r="V1005" t="b">
        <f t="shared" si="30"/>
        <v>1</v>
      </c>
      <c r="W1005">
        <v>0</v>
      </c>
      <c r="Y1005">
        <f t="shared" si="31"/>
        <v>0</v>
      </c>
    </row>
    <row r="1006" spans="1:25" x14ac:dyDescent="0.3">
      <c r="A1006" t="s">
        <v>2623</v>
      </c>
      <c r="B1006" t="s">
        <v>1783</v>
      </c>
      <c r="C1006">
        <v>55.12</v>
      </c>
      <c r="D1006" s="1">
        <v>45187.679895833331</v>
      </c>
      <c r="E1006" t="s">
        <v>57</v>
      </c>
      <c r="F1006" t="s">
        <v>35</v>
      </c>
      <c r="G1006" t="s">
        <v>2624</v>
      </c>
      <c r="H1006" t="s">
        <v>407</v>
      </c>
      <c r="I1006" t="s">
        <v>1050</v>
      </c>
      <c r="J1006" t="s">
        <v>45</v>
      </c>
      <c r="K1006">
        <v>34</v>
      </c>
      <c r="L1006" t="s">
        <v>89</v>
      </c>
      <c r="M1006">
        <v>261</v>
      </c>
      <c r="N1006">
        <v>1</v>
      </c>
      <c r="O1006">
        <v>3791.99</v>
      </c>
      <c r="P1006" s="1">
        <v>45600.341192129628</v>
      </c>
      <c r="Q1006">
        <v>16</v>
      </c>
      <c r="R1006" t="s">
        <v>47</v>
      </c>
      <c r="S1006">
        <v>-0.83054255145398004</v>
      </c>
      <c r="T1006" t="b">
        <v>0</v>
      </c>
      <c r="U1006" t="b">
        <v>0</v>
      </c>
      <c r="V1006" t="b">
        <f t="shared" si="30"/>
        <v>1</v>
      </c>
      <c r="W1006">
        <v>0</v>
      </c>
      <c r="Y1006">
        <f t="shared" si="31"/>
        <v>0</v>
      </c>
    </row>
    <row r="1007" spans="1:25" x14ac:dyDescent="0.3">
      <c r="A1007" t="s">
        <v>2625</v>
      </c>
      <c r="B1007" t="s">
        <v>2221</v>
      </c>
      <c r="C1007">
        <v>15.74</v>
      </c>
      <c r="D1007" s="1">
        <v>44935.670162037037</v>
      </c>
      <c r="E1007" t="s">
        <v>25</v>
      </c>
      <c r="F1007" t="s">
        <v>126</v>
      </c>
      <c r="G1007" t="s">
        <v>2626</v>
      </c>
      <c r="H1007" t="s">
        <v>2627</v>
      </c>
      <c r="I1007" t="s">
        <v>280</v>
      </c>
      <c r="J1007" t="s">
        <v>81</v>
      </c>
      <c r="K1007">
        <v>27</v>
      </c>
      <c r="L1007" t="s">
        <v>46</v>
      </c>
      <c r="M1007">
        <v>38</v>
      </c>
      <c r="N1007">
        <v>1</v>
      </c>
      <c r="O1007">
        <v>690.16</v>
      </c>
      <c r="P1007" s="1">
        <v>45600.340300925927</v>
      </c>
      <c r="Q1007">
        <v>16</v>
      </c>
      <c r="R1007" t="s">
        <v>47</v>
      </c>
      <c r="S1007">
        <v>-0.96543039773606398</v>
      </c>
      <c r="T1007" t="b">
        <v>0</v>
      </c>
      <c r="U1007" t="b">
        <v>0</v>
      </c>
      <c r="V1007" t="b">
        <f t="shared" si="30"/>
        <v>1</v>
      </c>
      <c r="W1007">
        <v>0</v>
      </c>
      <c r="Y1007">
        <f t="shared" si="31"/>
        <v>0</v>
      </c>
    </row>
    <row r="1008" spans="1:25" x14ac:dyDescent="0.3">
      <c r="A1008" t="s">
        <v>2628</v>
      </c>
      <c r="B1008" t="s">
        <v>2629</v>
      </c>
      <c r="C1008">
        <v>353.68</v>
      </c>
      <c r="D1008" s="1">
        <v>45236.689560185187</v>
      </c>
      <c r="E1008" t="s">
        <v>25</v>
      </c>
      <c r="F1008" t="s">
        <v>159</v>
      </c>
      <c r="G1008" t="s">
        <v>2630</v>
      </c>
      <c r="H1008" t="s">
        <v>636</v>
      </c>
      <c r="I1008" t="s">
        <v>107</v>
      </c>
      <c r="J1008" t="s">
        <v>45</v>
      </c>
      <c r="K1008">
        <v>70</v>
      </c>
      <c r="L1008" t="s">
        <v>82</v>
      </c>
      <c r="M1008">
        <v>145</v>
      </c>
      <c r="N1008">
        <v>1</v>
      </c>
      <c r="O1008">
        <v>6777.12</v>
      </c>
      <c r="P1008" s="1">
        <v>45600.33929398148</v>
      </c>
      <c r="Q1008">
        <v>16</v>
      </c>
      <c r="R1008" t="s">
        <v>47</v>
      </c>
      <c r="S1008">
        <v>0.19211147053634101</v>
      </c>
      <c r="T1008" t="b">
        <v>0</v>
      </c>
      <c r="U1008" t="b">
        <v>0</v>
      </c>
      <c r="V1008" t="b">
        <f t="shared" si="30"/>
        <v>1</v>
      </c>
      <c r="W1008">
        <v>0</v>
      </c>
      <c r="Y1008">
        <f t="shared" si="31"/>
        <v>0</v>
      </c>
    </row>
    <row r="1009" spans="1:25" x14ac:dyDescent="0.3">
      <c r="A1009" t="s">
        <v>2631</v>
      </c>
      <c r="B1009" t="s">
        <v>602</v>
      </c>
      <c r="C1009">
        <v>297.14999999999998</v>
      </c>
      <c r="D1009" s="1">
        <v>45211.757951388892</v>
      </c>
      <c r="E1009" t="s">
        <v>25</v>
      </c>
      <c r="F1009" t="s">
        <v>438</v>
      </c>
      <c r="G1009" t="s">
        <v>1423</v>
      </c>
      <c r="H1009" t="s">
        <v>1680</v>
      </c>
      <c r="I1009" t="s">
        <v>652</v>
      </c>
      <c r="J1009" t="s">
        <v>45</v>
      </c>
      <c r="K1009">
        <v>76</v>
      </c>
      <c r="L1009" t="s">
        <v>82</v>
      </c>
      <c r="M1009">
        <v>178</v>
      </c>
      <c r="N1009">
        <v>1</v>
      </c>
      <c r="O1009">
        <v>5449.37</v>
      </c>
      <c r="P1009" s="1">
        <v>45600.340358796297</v>
      </c>
      <c r="Q1009">
        <v>18</v>
      </c>
      <c r="R1009" t="s">
        <v>141</v>
      </c>
      <c r="S1009">
        <v>-1.5200670544706801E-3</v>
      </c>
      <c r="T1009" t="b">
        <v>0</v>
      </c>
      <c r="U1009" t="b">
        <v>0</v>
      </c>
      <c r="V1009" t="b">
        <f t="shared" si="30"/>
        <v>1</v>
      </c>
      <c r="W1009">
        <v>0</v>
      </c>
      <c r="Y1009">
        <f t="shared" si="31"/>
        <v>0</v>
      </c>
    </row>
    <row r="1010" spans="1:25" x14ac:dyDescent="0.3">
      <c r="A1010" t="s">
        <v>2632</v>
      </c>
      <c r="B1010" t="s">
        <v>522</v>
      </c>
      <c r="C1010">
        <v>647.85</v>
      </c>
      <c r="D1010" s="1">
        <v>45264.688680555555</v>
      </c>
      <c r="E1010" t="s">
        <v>25</v>
      </c>
      <c r="F1010" t="s">
        <v>309</v>
      </c>
      <c r="G1010" t="s">
        <v>456</v>
      </c>
      <c r="H1010" t="s">
        <v>2633</v>
      </c>
      <c r="I1010" t="s">
        <v>652</v>
      </c>
      <c r="J1010" t="s">
        <v>81</v>
      </c>
      <c r="K1010">
        <v>36</v>
      </c>
      <c r="L1010" t="s">
        <v>31</v>
      </c>
      <c r="M1010">
        <v>121</v>
      </c>
      <c r="N1010">
        <v>1</v>
      </c>
      <c r="O1010">
        <v>13779.97</v>
      </c>
      <c r="P1010" s="1">
        <v>45600.33997685185</v>
      </c>
      <c r="Q1010">
        <v>16</v>
      </c>
      <c r="R1010" t="s">
        <v>47</v>
      </c>
      <c r="S1010">
        <v>1.19972847766687</v>
      </c>
      <c r="T1010" t="b">
        <v>0</v>
      </c>
      <c r="U1010" t="b">
        <v>0</v>
      </c>
      <c r="V1010" t="b">
        <f t="shared" si="30"/>
        <v>1</v>
      </c>
      <c r="W1010">
        <v>0</v>
      </c>
      <c r="Y1010">
        <f t="shared" si="31"/>
        <v>0</v>
      </c>
    </row>
    <row r="1011" spans="1:25" x14ac:dyDescent="0.3">
      <c r="A1011" t="s">
        <v>2634</v>
      </c>
      <c r="B1011" t="s">
        <v>538</v>
      </c>
      <c r="C1011">
        <v>75.040000000000006</v>
      </c>
      <c r="D1011" s="1">
        <v>45134.711643518516</v>
      </c>
      <c r="E1011" t="s">
        <v>25</v>
      </c>
      <c r="F1011" t="s">
        <v>519</v>
      </c>
      <c r="G1011" t="s">
        <v>609</v>
      </c>
      <c r="H1011" t="s">
        <v>1059</v>
      </c>
      <c r="I1011" t="s">
        <v>695</v>
      </c>
      <c r="J1011" t="s">
        <v>30</v>
      </c>
      <c r="K1011">
        <v>49</v>
      </c>
      <c r="L1011" t="s">
        <v>89</v>
      </c>
      <c r="M1011">
        <v>178</v>
      </c>
      <c r="N1011">
        <v>1</v>
      </c>
      <c r="O1011">
        <v>9648.6</v>
      </c>
      <c r="P1011" s="1">
        <v>45600.338518518518</v>
      </c>
      <c r="Q1011">
        <v>17</v>
      </c>
      <c r="R1011" t="s">
        <v>141</v>
      </c>
      <c r="S1011">
        <v>-0.762310812044658</v>
      </c>
      <c r="T1011" t="b">
        <v>0</v>
      </c>
      <c r="U1011" t="b">
        <v>0</v>
      </c>
      <c r="V1011" t="b">
        <f t="shared" si="30"/>
        <v>1</v>
      </c>
      <c r="W1011">
        <v>0</v>
      </c>
      <c r="Y1011">
        <f t="shared" si="31"/>
        <v>0</v>
      </c>
    </row>
    <row r="1012" spans="1:25" x14ac:dyDescent="0.3">
      <c r="A1012" t="s">
        <v>2635</v>
      </c>
      <c r="B1012" t="s">
        <v>780</v>
      </c>
      <c r="C1012">
        <v>273.92</v>
      </c>
      <c r="D1012" s="1">
        <v>45054.746481481481</v>
      </c>
      <c r="E1012" t="s">
        <v>25</v>
      </c>
      <c r="F1012" t="s">
        <v>314</v>
      </c>
      <c r="G1012" t="s">
        <v>1375</v>
      </c>
      <c r="H1012" t="s">
        <v>584</v>
      </c>
      <c r="I1012" t="s">
        <v>585</v>
      </c>
      <c r="J1012" t="s">
        <v>45</v>
      </c>
      <c r="K1012">
        <v>28</v>
      </c>
      <c r="L1012" t="s">
        <v>46</v>
      </c>
      <c r="M1012">
        <v>35</v>
      </c>
      <c r="N1012">
        <v>1</v>
      </c>
      <c r="O1012">
        <v>1029.1500000000001</v>
      </c>
      <c r="P1012" s="1">
        <v>45600.340115740742</v>
      </c>
      <c r="Q1012">
        <v>17</v>
      </c>
      <c r="R1012" t="s">
        <v>47</v>
      </c>
      <c r="S1012">
        <v>-8.1089510150783403E-2</v>
      </c>
      <c r="T1012" t="b">
        <v>0</v>
      </c>
      <c r="U1012" t="b">
        <v>0</v>
      </c>
      <c r="V1012" t="b">
        <f t="shared" si="30"/>
        <v>1</v>
      </c>
      <c r="W1012">
        <v>0</v>
      </c>
      <c r="Y1012">
        <f t="shared" si="31"/>
        <v>0</v>
      </c>
    </row>
    <row r="1013" spans="1:25" x14ac:dyDescent="0.3">
      <c r="A1013" t="s">
        <v>2636</v>
      </c>
      <c r="B1013" t="s">
        <v>1404</v>
      </c>
      <c r="C1013">
        <v>215.8</v>
      </c>
      <c r="D1013" s="1">
        <v>45064.669421296298</v>
      </c>
      <c r="E1013" t="s">
        <v>57</v>
      </c>
      <c r="F1013" t="s">
        <v>405</v>
      </c>
      <c r="G1013" t="s">
        <v>1423</v>
      </c>
      <c r="H1013" t="s">
        <v>509</v>
      </c>
      <c r="I1013" t="s">
        <v>101</v>
      </c>
      <c r="J1013" t="s">
        <v>81</v>
      </c>
      <c r="K1013">
        <v>51</v>
      </c>
      <c r="L1013" t="s">
        <v>82</v>
      </c>
      <c r="M1013">
        <v>66</v>
      </c>
      <c r="N1013">
        <v>1</v>
      </c>
      <c r="O1013">
        <v>3656.62</v>
      </c>
      <c r="P1013" s="1">
        <v>45600.339247685188</v>
      </c>
      <c r="Q1013">
        <v>16</v>
      </c>
      <c r="R1013" t="s">
        <v>141</v>
      </c>
      <c r="S1013">
        <v>-0.28016725585709801</v>
      </c>
      <c r="T1013" t="b">
        <v>0</v>
      </c>
      <c r="U1013" t="b">
        <v>0</v>
      </c>
      <c r="V1013" t="b">
        <f t="shared" si="30"/>
        <v>1</v>
      </c>
      <c r="W1013">
        <v>0</v>
      </c>
      <c r="Y1013">
        <f t="shared" si="31"/>
        <v>0</v>
      </c>
    </row>
    <row r="1014" spans="1:25" x14ac:dyDescent="0.3">
      <c r="A1014" t="s">
        <v>2637</v>
      </c>
      <c r="B1014" t="s">
        <v>742</v>
      </c>
      <c r="C1014">
        <v>963.77</v>
      </c>
      <c r="D1014" s="1">
        <v>45118.698171296295</v>
      </c>
      <c r="E1014" t="s">
        <v>25</v>
      </c>
      <c r="F1014" t="s">
        <v>120</v>
      </c>
      <c r="G1014" t="s">
        <v>2638</v>
      </c>
      <c r="H1014" t="s">
        <v>1015</v>
      </c>
      <c r="I1014" t="s">
        <v>301</v>
      </c>
      <c r="J1014" t="s">
        <v>30</v>
      </c>
      <c r="K1014">
        <v>41</v>
      </c>
      <c r="L1014" t="s">
        <v>89</v>
      </c>
      <c r="M1014">
        <v>248</v>
      </c>
      <c r="N1014">
        <v>1</v>
      </c>
      <c r="O1014">
        <v>6710.51</v>
      </c>
      <c r="P1014" s="1">
        <v>45600.340416666666</v>
      </c>
      <c r="Q1014">
        <v>16</v>
      </c>
      <c r="R1014" t="s">
        <v>32</v>
      </c>
      <c r="S1014">
        <v>2.28184550147175</v>
      </c>
      <c r="T1014" t="b">
        <v>1</v>
      </c>
      <c r="U1014" t="b">
        <v>0</v>
      </c>
      <c r="V1014" t="b">
        <f t="shared" si="30"/>
        <v>1</v>
      </c>
      <c r="W1014">
        <v>1</v>
      </c>
      <c r="Y1014">
        <f t="shared" si="31"/>
        <v>1</v>
      </c>
    </row>
    <row r="1015" spans="1:25" x14ac:dyDescent="0.3">
      <c r="A1015" t="s">
        <v>2639</v>
      </c>
      <c r="B1015" t="s">
        <v>944</v>
      </c>
      <c r="C1015">
        <v>420.6</v>
      </c>
      <c r="D1015" s="1">
        <v>45033.673831018517</v>
      </c>
      <c r="E1015" t="s">
        <v>25</v>
      </c>
      <c r="F1015" t="s">
        <v>120</v>
      </c>
      <c r="G1015" t="s">
        <v>1550</v>
      </c>
      <c r="H1015" t="s">
        <v>2640</v>
      </c>
      <c r="I1015" t="s">
        <v>585</v>
      </c>
      <c r="J1015" t="s">
        <v>81</v>
      </c>
      <c r="K1015">
        <v>26</v>
      </c>
      <c r="L1015" t="s">
        <v>46</v>
      </c>
      <c r="M1015">
        <v>55</v>
      </c>
      <c r="N1015">
        <v>1</v>
      </c>
      <c r="O1015">
        <v>1778.75</v>
      </c>
      <c r="P1015" s="1">
        <v>45600.339930555558</v>
      </c>
      <c r="Q1015">
        <v>16</v>
      </c>
      <c r="R1015" t="s">
        <v>47</v>
      </c>
      <c r="S1015">
        <v>0.42133175172468701</v>
      </c>
      <c r="T1015" t="b">
        <v>0</v>
      </c>
      <c r="U1015" t="b">
        <v>0</v>
      </c>
      <c r="V1015" t="b">
        <f t="shared" si="30"/>
        <v>1</v>
      </c>
      <c r="W1015">
        <v>0</v>
      </c>
      <c r="Y1015">
        <f t="shared" si="31"/>
        <v>0</v>
      </c>
    </row>
    <row r="1016" spans="1:25" x14ac:dyDescent="0.3">
      <c r="A1016" t="s">
        <v>2641</v>
      </c>
      <c r="B1016" t="s">
        <v>272</v>
      </c>
      <c r="C1016">
        <v>688.36</v>
      </c>
      <c r="D1016" s="1">
        <v>45107.688761574071</v>
      </c>
      <c r="E1016" t="s">
        <v>57</v>
      </c>
      <c r="F1016" t="s">
        <v>104</v>
      </c>
      <c r="G1016" t="s">
        <v>42</v>
      </c>
      <c r="H1016" t="s">
        <v>1427</v>
      </c>
      <c r="I1016" t="s">
        <v>95</v>
      </c>
      <c r="J1016" t="s">
        <v>81</v>
      </c>
      <c r="K1016">
        <v>23</v>
      </c>
      <c r="L1016" t="s">
        <v>46</v>
      </c>
      <c r="M1016">
        <v>22</v>
      </c>
      <c r="N1016">
        <v>1</v>
      </c>
      <c r="O1016">
        <v>5191.13</v>
      </c>
      <c r="P1016" s="1">
        <v>45600.34103009259</v>
      </c>
      <c r="Q1016">
        <v>16</v>
      </c>
      <c r="R1016" t="s">
        <v>54</v>
      </c>
      <c r="S1016">
        <v>1.3384868995279</v>
      </c>
      <c r="T1016" t="b">
        <v>0</v>
      </c>
      <c r="U1016" t="b">
        <v>0</v>
      </c>
      <c r="V1016" t="b">
        <f t="shared" si="30"/>
        <v>1</v>
      </c>
      <c r="W1016">
        <v>0</v>
      </c>
      <c r="Y1016">
        <f t="shared" si="31"/>
        <v>0</v>
      </c>
    </row>
    <row r="1017" spans="1:25" x14ac:dyDescent="0.3">
      <c r="A1017" t="s">
        <v>2642</v>
      </c>
      <c r="B1017" t="s">
        <v>1995</v>
      </c>
      <c r="C1017">
        <v>285.18</v>
      </c>
      <c r="D1017" s="1">
        <v>44993.693912037037</v>
      </c>
      <c r="E1017" t="s">
        <v>57</v>
      </c>
      <c r="F1017" t="s">
        <v>298</v>
      </c>
      <c r="G1017" t="s">
        <v>2325</v>
      </c>
      <c r="H1017" t="s">
        <v>2643</v>
      </c>
      <c r="I1017" t="s">
        <v>833</v>
      </c>
      <c r="J1017" t="s">
        <v>81</v>
      </c>
      <c r="K1017">
        <v>55</v>
      </c>
      <c r="L1017" t="s">
        <v>31</v>
      </c>
      <c r="M1017">
        <v>150</v>
      </c>
      <c r="N1017">
        <v>1</v>
      </c>
      <c r="O1017">
        <v>14847.97</v>
      </c>
      <c r="P1017" s="1">
        <v>45600.34002314815</v>
      </c>
      <c r="Q1017">
        <v>16</v>
      </c>
      <c r="R1017" t="s">
        <v>74</v>
      </c>
      <c r="S1017">
        <v>-4.2520765886277102E-2</v>
      </c>
      <c r="T1017" t="b">
        <v>0</v>
      </c>
      <c r="U1017" t="b">
        <v>0</v>
      </c>
      <c r="V1017" t="b">
        <f t="shared" si="30"/>
        <v>1</v>
      </c>
      <c r="W1017">
        <v>0</v>
      </c>
      <c r="Y1017">
        <f t="shared" si="31"/>
        <v>0</v>
      </c>
    </row>
    <row r="1018" spans="1:25" x14ac:dyDescent="0.3">
      <c r="A1018" t="s">
        <v>2644</v>
      </c>
      <c r="B1018" t="s">
        <v>717</v>
      </c>
      <c r="C1018">
        <v>213.55</v>
      </c>
      <c r="D1018" s="1">
        <v>45015.666956018518</v>
      </c>
      <c r="E1018" t="s">
        <v>25</v>
      </c>
      <c r="F1018" t="s">
        <v>401</v>
      </c>
      <c r="G1018" t="s">
        <v>1426</v>
      </c>
      <c r="H1018" t="s">
        <v>989</v>
      </c>
      <c r="I1018" t="s">
        <v>556</v>
      </c>
      <c r="J1018" t="s">
        <v>30</v>
      </c>
      <c r="K1018">
        <v>63</v>
      </c>
      <c r="L1018" t="s">
        <v>31</v>
      </c>
      <c r="M1018">
        <v>15</v>
      </c>
      <c r="N1018">
        <v>1</v>
      </c>
      <c r="O1018">
        <v>5238.37</v>
      </c>
      <c r="P1018" s="1">
        <v>45600.338263888887</v>
      </c>
      <c r="Q1018">
        <v>16</v>
      </c>
      <c r="R1018" t="s">
        <v>141</v>
      </c>
      <c r="S1018">
        <v>-0.287874154133754</v>
      </c>
      <c r="T1018" t="b">
        <v>0</v>
      </c>
      <c r="U1018" t="b">
        <v>0</v>
      </c>
      <c r="V1018" t="b">
        <f t="shared" si="30"/>
        <v>1</v>
      </c>
      <c r="W1018">
        <v>0</v>
      </c>
      <c r="Y1018">
        <f t="shared" si="31"/>
        <v>0</v>
      </c>
    </row>
    <row r="1019" spans="1:25" x14ac:dyDescent="0.3">
      <c r="A1019" t="s">
        <v>2645</v>
      </c>
      <c r="B1019" t="s">
        <v>1625</v>
      </c>
      <c r="C1019">
        <v>463.11</v>
      </c>
      <c r="D1019" s="1">
        <v>45195.70144675926</v>
      </c>
      <c r="E1019" t="s">
        <v>57</v>
      </c>
      <c r="F1019" t="s">
        <v>159</v>
      </c>
      <c r="G1019" t="s">
        <v>1037</v>
      </c>
      <c r="H1019" t="s">
        <v>2219</v>
      </c>
      <c r="I1019" t="s">
        <v>316</v>
      </c>
      <c r="J1019" t="s">
        <v>81</v>
      </c>
      <c r="K1019">
        <v>51</v>
      </c>
      <c r="L1019" t="s">
        <v>31</v>
      </c>
      <c r="M1019">
        <v>159</v>
      </c>
      <c r="N1019">
        <v>1</v>
      </c>
      <c r="O1019">
        <v>10238.82</v>
      </c>
      <c r="P1019" s="1">
        <v>45600.338402777779</v>
      </c>
      <c r="Q1019">
        <v>16</v>
      </c>
      <c r="R1019" t="s">
        <v>32</v>
      </c>
      <c r="S1019">
        <v>0.56694074983162901</v>
      </c>
      <c r="T1019" t="b">
        <v>0</v>
      </c>
      <c r="U1019" t="b">
        <v>0</v>
      </c>
      <c r="V1019" t="b">
        <f t="shared" si="30"/>
        <v>1</v>
      </c>
      <c r="W1019">
        <v>0</v>
      </c>
      <c r="Y1019">
        <f t="shared" si="31"/>
        <v>0</v>
      </c>
    </row>
    <row r="1020" spans="1:25" x14ac:dyDescent="0.3">
      <c r="A1020" t="s">
        <v>2646</v>
      </c>
      <c r="B1020" t="s">
        <v>2063</v>
      </c>
      <c r="C1020">
        <v>150.03</v>
      </c>
      <c r="D1020" s="1">
        <v>45117.678715277776</v>
      </c>
      <c r="E1020" t="s">
        <v>25</v>
      </c>
      <c r="F1020" t="s">
        <v>137</v>
      </c>
      <c r="G1020" t="s">
        <v>2647</v>
      </c>
      <c r="H1020" t="s">
        <v>2648</v>
      </c>
      <c r="I1020" t="s">
        <v>140</v>
      </c>
      <c r="J1020" t="s">
        <v>30</v>
      </c>
      <c r="K1020">
        <v>73</v>
      </c>
      <c r="L1020" t="s">
        <v>82</v>
      </c>
      <c r="M1020">
        <v>176</v>
      </c>
      <c r="N1020">
        <v>1</v>
      </c>
      <c r="O1020">
        <v>7491.42</v>
      </c>
      <c r="P1020" s="1">
        <v>45600.341319444444</v>
      </c>
      <c r="Q1020">
        <v>16</v>
      </c>
      <c r="R1020" t="s">
        <v>47</v>
      </c>
      <c r="S1020">
        <v>-0.50544845570404195</v>
      </c>
      <c r="T1020" t="b">
        <v>0</v>
      </c>
      <c r="U1020" t="b">
        <v>0</v>
      </c>
      <c r="V1020" t="b">
        <f t="shared" si="30"/>
        <v>1</v>
      </c>
      <c r="W1020">
        <v>0</v>
      </c>
      <c r="Y1020">
        <f t="shared" si="31"/>
        <v>0</v>
      </c>
    </row>
    <row r="1021" spans="1:25" x14ac:dyDescent="0.3">
      <c r="A1021" t="s">
        <v>2649</v>
      </c>
      <c r="B1021" t="s">
        <v>2650</v>
      </c>
      <c r="C1021">
        <v>428.61</v>
      </c>
      <c r="D1021" s="1">
        <v>45208.666967592595</v>
      </c>
      <c r="E1021" t="s">
        <v>25</v>
      </c>
      <c r="F1021" t="s">
        <v>571</v>
      </c>
      <c r="G1021" t="s">
        <v>1423</v>
      </c>
      <c r="H1021" t="s">
        <v>2206</v>
      </c>
      <c r="I1021" t="s">
        <v>487</v>
      </c>
      <c r="J1021" t="s">
        <v>81</v>
      </c>
      <c r="K1021">
        <v>51</v>
      </c>
      <c r="L1021" t="s">
        <v>82</v>
      </c>
      <c r="M1021">
        <v>131</v>
      </c>
      <c r="N1021">
        <v>1</v>
      </c>
      <c r="O1021">
        <v>2116.36</v>
      </c>
      <c r="P1021" s="1">
        <v>45600.338750000003</v>
      </c>
      <c r="Q1021">
        <v>16</v>
      </c>
      <c r="R1021" t="s">
        <v>47</v>
      </c>
      <c r="S1021">
        <v>0.44876830958957997</v>
      </c>
      <c r="T1021" t="b">
        <v>0</v>
      </c>
      <c r="U1021" t="b">
        <v>0</v>
      </c>
      <c r="V1021" t="b">
        <f t="shared" si="30"/>
        <v>1</v>
      </c>
      <c r="W1021">
        <v>0</v>
      </c>
      <c r="Y1021">
        <f t="shared" si="31"/>
        <v>0</v>
      </c>
    </row>
    <row r="1022" spans="1:25" x14ac:dyDescent="0.3">
      <c r="A1022" t="s">
        <v>2651</v>
      </c>
      <c r="B1022" t="s">
        <v>1029</v>
      </c>
      <c r="C1022">
        <v>309.56</v>
      </c>
      <c r="D1022" s="1">
        <v>45082.729027777779</v>
      </c>
      <c r="E1022" t="s">
        <v>25</v>
      </c>
      <c r="F1022" t="s">
        <v>262</v>
      </c>
      <c r="G1022" t="s">
        <v>2652</v>
      </c>
      <c r="H1022" t="s">
        <v>2206</v>
      </c>
      <c r="I1022" t="s">
        <v>222</v>
      </c>
      <c r="J1022" t="s">
        <v>45</v>
      </c>
      <c r="K1022">
        <v>58</v>
      </c>
      <c r="L1022" t="s">
        <v>31</v>
      </c>
      <c r="M1022">
        <v>147</v>
      </c>
      <c r="N1022">
        <v>1</v>
      </c>
      <c r="O1022">
        <v>972.04</v>
      </c>
      <c r="P1022" s="1">
        <v>45600.339780092596</v>
      </c>
      <c r="Q1022">
        <v>17</v>
      </c>
      <c r="R1022" t="s">
        <v>47</v>
      </c>
      <c r="S1022">
        <v>4.0987758551437402E-2</v>
      </c>
      <c r="T1022" t="b">
        <v>0</v>
      </c>
      <c r="U1022" t="b">
        <v>0</v>
      </c>
      <c r="V1022" t="b">
        <f t="shared" si="30"/>
        <v>1</v>
      </c>
      <c r="W1022">
        <v>0</v>
      </c>
      <c r="Y1022">
        <f t="shared" si="31"/>
        <v>0</v>
      </c>
    </row>
    <row r="1023" spans="1:25" x14ac:dyDescent="0.3">
      <c r="A1023" t="s">
        <v>2653</v>
      </c>
      <c r="B1023" t="s">
        <v>1819</v>
      </c>
      <c r="C1023">
        <v>377.08</v>
      </c>
      <c r="D1023" s="1">
        <v>44972.731516203705</v>
      </c>
      <c r="E1023" t="s">
        <v>57</v>
      </c>
      <c r="F1023" t="s">
        <v>41</v>
      </c>
      <c r="G1023" t="s">
        <v>1550</v>
      </c>
      <c r="H1023" t="s">
        <v>2654</v>
      </c>
      <c r="I1023" t="s">
        <v>290</v>
      </c>
      <c r="J1023" t="s">
        <v>81</v>
      </c>
      <c r="K1023">
        <v>26</v>
      </c>
      <c r="L1023" t="s">
        <v>46</v>
      </c>
      <c r="M1023">
        <v>71</v>
      </c>
      <c r="N1023">
        <v>1</v>
      </c>
      <c r="O1023">
        <v>6430.86</v>
      </c>
      <c r="P1023" s="1">
        <v>45600.34065972222</v>
      </c>
      <c r="Q1023">
        <v>17</v>
      </c>
      <c r="R1023" t="s">
        <v>74</v>
      </c>
      <c r="S1023">
        <v>0.27226321261355702</v>
      </c>
      <c r="T1023" t="b">
        <v>0</v>
      </c>
      <c r="U1023" t="b">
        <v>0</v>
      </c>
      <c r="V1023" t="b">
        <f t="shared" si="30"/>
        <v>1</v>
      </c>
      <c r="W1023">
        <v>0</v>
      </c>
      <c r="Y1023">
        <f t="shared" si="31"/>
        <v>0</v>
      </c>
    </row>
    <row r="1024" spans="1:25" x14ac:dyDescent="0.3">
      <c r="A1024" t="s">
        <v>2655</v>
      </c>
      <c r="B1024" t="s">
        <v>2656</v>
      </c>
      <c r="C1024">
        <v>77.25</v>
      </c>
      <c r="D1024" s="1">
        <v>45282.743020833332</v>
      </c>
      <c r="E1024" t="s">
        <v>25</v>
      </c>
      <c r="F1024" t="s">
        <v>314</v>
      </c>
      <c r="G1024" t="s">
        <v>165</v>
      </c>
      <c r="H1024" t="s">
        <v>668</v>
      </c>
      <c r="I1024" t="s">
        <v>140</v>
      </c>
      <c r="J1024" t="s">
        <v>81</v>
      </c>
      <c r="K1024">
        <v>68</v>
      </c>
      <c r="L1024" t="s">
        <v>31</v>
      </c>
      <c r="M1024">
        <v>157</v>
      </c>
      <c r="N1024">
        <v>1</v>
      </c>
      <c r="O1024">
        <v>14077.97</v>
      </c>
      <c r="P1024" s="1">
        <v>45600.338773148149</v>
      </c>
      <c r="Q1024">
        <v>17</v>
      </c>
      <c r="R1024" t="s">
        <v>54</v>
      </c>
      <c r="S1024">
        <v>-0.75474092529292103</v>
      </c>
      <c r="T1024" t="b">
        <v>0</v>
      </c>
      <c r="U1024" t="b">
        <v>0</v>
      </c>
      <c r="V1024" t="b">
        <f t="shared" si="30"/>
        <v>1</v>
      </c>
      <c r="W1024">
        <v>0</v>
      </c>
      <c r="Y1024">
        <f t="shared" si="31"/>
        <v>0</v>
      </c>
    </row>
    <row r="1025" spans="1:25" x14ac:dyDescent="0.3">
      <c r="A1025" t="s">
        <v>2657</v>
      </c>
      <c r="B1025" t="s">
        <v>1073</v>
      </c>
      <c r="C1025">
        <v>146.91999999999999</v>
      </c>
      <c r="D1025" s="1">
        <v>45177.686736111114</v>
      </c>
      <c r="E1025" t="s">
        <v>25</v>
      </c>
      <c r="F1025" t="s">
        <v>608</v>
      </c>
      <c r="G1025" t="s">
        <v>674</v>
      </c>
      <c r="H1025" t="s">
        <v>555</v>
      </c>
      <c r="I1025" t="s">
        <v>375</v>
      </c>
      <c r="J1025" t="s">
        <v>30</v>
      </c>
      <c r="K1025">
        <v>64</v>
      </c>
      <c r="L1025" t="s">
        <v>82</v>
      </c>
      <c r="M1025">
        <v>272</v>
      </c>
      <c r="N1025">
        <v>1</v>
      </c>
      <c r="O1025">
        <v>3990.6</v>
      </c>
      <c r="P1025" s="1">
        <v>45600.33866898148</v>
      </c>
      <c r="Q1025">
        <v>16</v>
      </c>
      <c r="R1025" t="s">
        <v>54</v>
      </c>
      <c r="S1025">
        <v>-0.51610110176644097</v>
      </c>
      <c r="T1025" t="b">
        <v>0</v>
      </c>
      <c r="U1025" t="b">
        <v>0</v>
      </c>
      <c r="V1025" t="b">
        <f t="shared" si="30"/>
        <v>1</v>
      </c>
      <c r="W1025">
        <v>0</v>
      </c>
      <c r="Y1025">
        <f t="shared" si="31"/>
        <v>0</v>
      </c>
    </row>
    <row r="1026" spans="1:25" x14ac:dyDescent="0.3">
      <c r="A1026" t="s">
        <v>2658</v>
      </c>
      <c r="B1026" t="s">
        <v>2056</v>
      </c>
      <c r="C1026">
        <v>126.6</v>
      </c>
      <c r="D1026" s="1">
        <v>45072.667187500003</v>
      </c>
      <c r="E1026" t="s">
        <v>25</v>
      </c>
      <c r="F1026" t="s">
        <v>250</v>
      </c>
      <c r="G1026" t="s">
        <v>2659</v>
      </c>
      <c r="H1026" t="s">
        <v>1803</v>
      </c>
      <c r="I1026" t="s">
        <v>1013</v>
      </c>
      <c r="J1026" t="s">
        <v>81</v>
      </c>
      <c r="K1026">
        <v>22</v>
      </c>
      <c r="L1026" t="s">
        <v>46</v>
      </c>
      <c r="M1026">
        <v>146</v>
      </c>
      <c r="N1026">
        <v>1</v>
      </c>
      <c r="O1026">
        <v>961.65</v>
      </c>
      <c r="P1026" s="1">
        <v>45600.33929398148</v>
      </c>
      <c r="Q1026">
        <v>16</v>
      </c>
      <c r="R1026" t="s">
        <v>54</v>
      </c>
      <c r="S1026">
        <v>-0.58570295642494696</v>
      </c>
      <c r="T1026" t="b">
        <v>0</v>
      </c>
      <c r="U1026" t="b">
        <v>0</v>
      </c>
      <c r="V1026" t="b">
        <f t="shared" si="30"/>
        <v>1</v>
      </c>
      <c r="W1026">
        <v>0</v>
      </c>
      <c r="Y1026">
        <f t="shared" si="31"/>
        <v>0</v>
      </c>
    </row>
    <row r="1027" spans="1:25" x14ac:dyDescent="0.3">
      <c r="A1027" t="s">
        <v>2660</v>
      </c>
      <c r="B1027" t="s">
        <v>2661</v>
      </c>
      <c r="C1027">
        <v>101.34</v>
      </c>
      <c r="D1027" s="1">
        <v>44988.742974537039</v>
      </c>
      <c r="E1027" t="s">
        <v>25</v>
      </c>
      <c r="F1027" t="s">
        <v>401</v>
      </c>
      <c r="G1027" t="s">
        <v>1597</v>
      </c>
      <c r="H1027" t="s">
        <v>1518</v>
      </c>
      <c r="I1027" t="s">
        <v>1537</v>
      </c>
      <c r="J1027" t="s">
        <v>30</v>
      </c>
      <c r="K1027">
        <v>24</v>
      </c>
      <c r="L1027" t="s">
        <v>46</v>
      </c>
      <c r="M1027">
        <v>46</v>
      </c>
      <c r="N1027">
        <v>1</v>
      </c>
      <c r="O1027">
        <v>703.26</v>
      </c>
      <c r="P1027" s="1">
        <v>45600.340451388889</v>
      </c>
      <c r="Q1027">
        <v>17</v>
      </c>
      <c r="R1027" t="s">
        <v>54</v>
      </c>
      <c r="S1027">
        <v>-0.67222573441086397</v>
      </c>
      <c r="T1027" t="b">
        <v>0</v>
      </c>
      <c r="U1027" t="b">
        <v>0</v>
      </c>
      <c r="V1027" t="b">
        <f t="shared" ref="V1027:V1090" si="32">ISLOGICAL(T1027)</f>
        <v>1</v>
      </c>
      <c r="W1027">
        <v>0</v>
      </c>
      <c r="Y1027">
        <f t="shared" ref="Y1027:Y1090" si="33">--T1027</f>
        <v>0</v>
      </c>
    </row>
    <row r="1028" spans="1:25" x14ac:dyDescent="0.3">
      <c r="A1028" t="s">
        <v>2662</v>
      </c>
      <c r="B1028" t="s">
        <v>2663</v>
      </c>
      <c r="C1028">
        <v>184.97</v>
      </c>
      <c r="D1028" s="1">
        <v>45103.69908564815</v>
      </c>
      <c r="E1028" t="s">
        <v>25</v>
      </c>
      <c r="F1028" t="s">
        <v>126</v>
      </c>
      <c r="G1028" t="s">
        <v>402</v>
      </c>
      <c r="H1028" t="s">
        <v>1594</v>
      </c>
      <c r="I1028" t="s">
        <v>458</v>
      </c>
      <c r="J1028" t="s">
        <v>81</v>
      </c>
      <c r="K1028">
        <v>58</v>
      </c>
      <c r="L1028" t="s">
        <v>31</v>
      </c>
      <c r="M1028">
        <v>268</v>
      </c>
      <c r="N1028">
        <v>1</v>
      </c>
      <c r="O1028">
        <v>1156.67</v>
      </c>
      <c r="P1028" s="1">
        <v>45600.341041666667</v>
      </c>
      <c r="Q1028">
        <v>16</v>
      </c>
      <c r="R1028" t="s">
        <v>47</v>
      </c>
      <c r="S1028">
        <v>-0.385768888687892</v>
      </c>
      <c r="T1028" t="b">
        <v>0</v>
      </c>
      <c r="U1028" t="b">
        <v>0</v>
      </c>
      <c r="V1028" t="b">
        <f t="shared" si="32"/>
        <v>1</v>
      </c>
      <c r="W1028">
        <v>0</v>
      </c>
      <c r="Y1028">
        <f t="shared" si="33"/>
        <v>0</v>
      </c>
    </row>
    <row r="1029" spans="1:25" x14ac:dyDescent="0.3">
      <c r="A1029" t="s">
        <v>2664</v>
      </c>
      <c r="B1029" t="s">
        <v>999</v>
      </c>
      <c r="C1029">
        <v>451.15</v>
      </c>
      <c r="D1029" s="1">
        <v>44984.699884259258</v>
      </c>
      <c r="E1029" t="s">
        <v>25</v>
      </c>
      <c r="F1029" t="s">
        <v>534</v>
      </c>
      <c r="G1029" t="s">
        <v>1204</v>
      </c>
      <c r="H1029" t="s">
        <v>1066</v>
      </c>
      <c r="I1029" t="s">
        <v>222</v>
      </c>
      <c r="J1029" t="s">
        <v>30</v>
      </c>
      <c r="K1029">
        <v>46</v>
      </c>
      <c r="L1029" t="s">
        <v>89</v>
      </c>
      <c r="M1029">
        <v>175</v>
      </c>
      <c r="N1029">
        <v>1</v>
      </c>
      <c r="O1029">
        <v>1356.47</v>
      </c>
      <c r="P1029" s="1">
        <v>45600.340798611112</v>
      </c>
      <c r="Q1029">
        <v>16</v>
      </c>
      <c r="R1029" t="s">
        <v>47</v>
      </c>
      <c r="S1029">
        <v>0.52597430388105104</v>
      </c>
      <c r="T1029" t="b">
        <v>0</v>
      </c>
      <c r="U1029" t="b">
        <v>0</v>
      </c>
      <c r="V1029" t="b">
        <f t="shared" si="32"/>
        <v>1</v>
      </c>
      <c r="W1029">
        <v>0</v>
      </c>
      <c r="Y1029">
        <f t="shared" si="33"/>
        <v>0</v>
      </c>
    </row>
    <row r="1030" spans="1:25" x14ac:dyDescent="0.3">
      <c r="A1030" t="s">
        <v>2665</v>
      </c>
      <c r="B1030" t="s">
        <v>152</v>
      </c>
      <c r="C1030">
        <v>516.47</v>
      </c>
      <c r="D1030" s="1">
        <v>45281.708912037036</v>
      </c>
      <c r="E1030" t="s">
        <v>57</v>
      </c>
      <c r="F1030" t="s">
        <v>262</v>
      </c>
      <c r="G1030" t="s">
        <v>2002</v>
      </c>
      <c r="H1030" t="s">
        <v>161</v>
      </c>
      <c r="I1030" t="s">
        <v>620</v>
      </c>
      <c r="J1030" t="s">
        <v>30</v>
      </c>
      <c r="K1030">
        <v>25</v>
      </c>
      <c r="L1030" t="s">
        <v>46</v>
      </c>
      <c r="M1030">
        <v>94</v>
      </c>
      <c r="N1030">
        <v>1</v>
      </c>
      <c r="O1030">
        <v>1305.06</v>
      </c>
      <c r="P1030" s="1">
        <v>45600.340173611112</v>
      </c>
      <c r="Q1030">
        <v>17</v>
      </c>
      <c r="R1030" t="s">
        <v>141</v>
      </c>
      <c r="S1030">
        <v>0.74971412407266402</v>
      </c>
      <c r="T1030" t="b">
        <v>0</v>
      </c>
      <c r="U1030" t="b">
        <v>0</v>
      </c>
      <c r="V1030" t="b">
        <f t="shared" si="32"/>
        <v>1</v>
      </c>
      <c r="W1030">
        <v>0</v>
      </c>
      <c r="Y1030">
        <f t="shared" si="33"/>
        <v>0</v>
      </c>
    </row>
    <row r="1031" spans="1:25" x14ac:dyDescent="0.3">
      <c r="A1031" t="s">
        <v>2666</v>
      </c>
      <c r="B1031" t="s">
        <v>1029</v>
      </c>
      <c r="C1031">
        <v>880.04</v>
      </c>
      <c r="D1031" s="1">
        <v>45229.790763888886</v>
      </c>
      <c r="E1031" t="s">
        <v>25</v>
      </c>
      <c r="F1031" t="s">
        <v>298</v>
      </c>
      <c r="G1031" t="s">
        <v>2667</v>
      </c>
      <c r="H1031" t="s">
        <v>2188</v>
      </c>
      <c r="I1031" t="s">
        <v>495</v>
      </c>
      <c r="J1031" t="s">
        <v>30</v>
      </c>
      <c r="K1031">
        <v>25</v>
      </c>
      <c r="L1031" t="s">
        <v>46</v>
      </c>
      <c r="M1031">
        <v>29</v>
      </c>
      <c r="N1031">
        <v>1</v>
      </c>
      <c r="O1031">
        <v>261.97000000000003</v>
      </c>
      <c r="P1031" s="1">
        <v>45600.338622685187</v>
      </c>
      <c r="Q1031">
        <v>18</v>
      </c>
      <c r="R1031" t="s">
        <v>47</v>
      </c>
      <c r="S1031">
        <v>1.9950461269364801</v>
      </c>
      <c r="T1031" t="b">
        <v>0</v>
      </c>
      <c r="U1031" t="b">
        <v>0</v>
      </c>
      <c r="V1031" t="b">
        <f t="shared" si="32"/>
        <v>1</v>
      </c>
      <c r="W1031">
        <v>0</v>
      </c>
      <c r="Y1031">
        <f t="shared" si="33"/>
        <v>0</v>
      </c>
    </row>
    <row r="1032" spans="1:25" x14ac:dyDescent="0.3">
      <c r="A1032" t="s">
        <v>2668</v>
      </c>
      <c r="B1032" t="s">
        <v>1915</v>
      </c>
      <c r="C1032">
        <v>353.69</v>
      </c>
      <c r="D1032" s="1">
        <v>45160.700995370367</v>
      </c>
      <c r="E1032" t="s">
        <v>25</v>
      </c>
      <c r="F1032" t="s">
        <v>236</v>
      </c>
      <c r="G1032" t="s">
        <v>1705</v>
      </c>
      <c r="H1032" t="s">
        <v>243</v>
      </c>
      <c r="I1032" t="s">
        <v>1537</v>
      </c>
      <c r="J1032" t="s">
        <v>45</v>
      </c>
      <c r="K1032">
        <v>59</v>
      </c>
      <c r="L1032" t="s">
        <v>89</v>
      </c>
      <c r="M1032">
        <v>163</v>
      </c>
      <c r="N1032">
        <v>1</v>
      </c>
      <c r="O1032">
        <v>9500.7900000000009</v>
      </c>
      <c r="P1032" s="1">
        <v>45600.339479166665</v>
      </c>
      <c r="Q1032">
        <v>16</v>
      </c>
      <c r="R1032" t="s">
        <v>32</v>
      </c>
      <c r="S1032">
        <v>0.192145723417571</v>
      </c>
      <c r="T1032" t="b">
        <v>0</v>
      </c>
      <c r="U1032" t="b">
        <v>0</v>
      </c>
      <c r="V1032" t="b">
        <f t="shared" si="32"/>
        <v>1</v>
      </c>
      <c r="W1032">
        <v>0</v>
      </c>
      <c r="Y1032">
        <f t="shared" si="33"/>
        <v>0</v>
      </c>
    </row>
    <row r="1033" spans="1:25" x14ac:dyDescent="0.3">
      <c r="A1033" t="s">
        <v>2669</v>
      </c>
      <c r="B1033" t="s">
        <v>830</v>
      </c>
      <c r="C1033">
        <v>66.69</v>
      </c>
      <c r="D1033" s="1">
        <v>45231.668946759259</v>
      </c>
      <c r="E1033" t="s">
        <v>57</v>
      </c>
      <c r="F1033" t="s">
        <v>250</v>
      </c>
      <c r="G1033" t="s">
        <v>2670</v>
      </c>
      <c r="H1033" t="s">
        <v>2671</v>
      </c>
      <c r="I1033" t="s">
        <v>182</v>
      </c>
      <c r="J1033" t="s">
        <v>81</v>
      </c>
      <c r="K1033">
        <v>25</v>
      </c>
      <c r="L1033" t="s">
        <v>46</v>
      </c>
      <c r="M1033">
        <v>140</v>
      </c>
      <c r="N1033">
        <v>1</v>
      </c>
      <c r="O1033">
        <v>1210.33</v>
      </c>
      <c r="P1033" s="1">
        <v>45600.338379629633</v>
      </c>
      <c r="Q1033">
        <v>16</v>
      </c>
      <c r="R1033" t="s">
        <v>74</v>
      </c>
      <c r="S1033">
        <v>-0.79091196787135698</v>
      </c>
      <c r="T1033" t="b">
        <v>0</v>
      </c>
      <c r="U1033" t="b">
        <v>0</v>
      </c>
      <c r="V1033" t="b">
        <f t="shared" si="32"/>
        <v>1</v>
      </c>
      <c r="W1033">
        <v>0</v>
      </c>
      <c r="Y1033">
        <f t="shared" si="33"/>
        <v>0</v>
      </c>
    </row>
    <row r="1034" spans="1:25" x14ac:dyDescent="0.3">
      <c r="A1034" t="s">
        <v>2672</v>
      </c>
      <c r="B1034" t="s">
        <v>1230</v>
      </c>
      <c r="C1034">
        <v>95.75</v>
      </c>
      <c r="D1034" s="1">
        <v>45119.704780092594</v>
      </c>
      <c r="E1034" t="s">
        <v>25</v>
      </c>
      <c r="F1034" t="s">
        <v>153</v>
      </c>
      <c r="G1034" t="s">
        <v>2673</v>
      </c>
      <c r="H1034" t="s">
        <v>2311</v>
      </c>
      <c r="I1034" t="s">
        <v>344</v>
      </c>
      <c r="J1034" t="s">
        <v>81</v>
      </c>
      <c r="K1034">
        <v>31</v>
      </c>
      <c r="L1034" t="s">
        <v>89</v>
      </c>
      <c r="M1034">
        <v>169</v>
      </c>
      <c r="N1034">
        <v>1</v>
      </c>
      <c r="O1034">
        <v>337.62</v>
      </c>
      <c r="P1034" s="1">
        <v>45600.338564814818</v>
      </c>
      <c r="Q1034">
        <v>16</v>
      </c>
      <c r="R1034" t="s">
        <v>74</v>
      </c>
      <c r="S1034">
        <v>-0.69137309501819899</v>
      </c>
      <c r="T1034" t="b">
        <v>0</v>
      </c>
      <c r="U1034" t="b">
        <v>0</v>
      </c>
      <c r="V1034" t="b">
        <f t="shared" si="32"/>
        <v>1</v>
      </c>
      <c r="W1034">
        <v>0</v>
      </c>
      <c r="Y1034">
        <f t="shared" si="33"/>
        <v>0</v>
      </c>
    </row>
    <row r="1035" spans="1:25" x14ac:dyDescent="0.3">
      <c r="A1035" t="s">
        <v>2674</v>
      </c>
      <c r="B1035" t="s">
        <v>2005</v>
      </c>
      <c r="C1035">
        <v>43.91</v>
      </c>
      <c r="D1035" s="1">
        <v>45155.771793981483</v>
      </c>
      <c r="E1035" t="s">
        <v>25</v>
      </c>
      <c r="F1035" t="s">
        <v>98</v>
      </c>
      <c r="G1035" t="s">
        <v>2325</v>
      </c>
      <c r="H1035" t="s">
        <v>509</v>
      </c>
      <c r="I1035" t="s">
        <v>101</v>
      </c>
      <c r="J1035" t="s">
        <v>45</v>
      </c>
      <c r="K1035">
        <v>27</v>
      </c>
      <c r="L1035" t="s">
        <v>46</v>
      </c>
      <c r="M1035">
        <v>86</v>
      </c>
      <c r="N1035">
        <v>1</v>
      </c>
      <c r="O1035">
        <v>1806.68</v>
      </c>
      <c r="P1035" s="1">
        <v>45600.341921296298</v>
      </c>
      <c r="Q1035">
        <v>18</v>
      </c>
      <c r="R1035" t="s">
        <v>141</v>
      </c>
      <c r="S1035">
        <v>-0.86894003131233899</v>
      </c>
      <c r="T1035" t="b">
        <v>0</v>
      </c>
      <c r="U1035" t="b">
        <v>0</v>
      </c>
      <c r="V1035" t="b">
        <f t="shared" si="32"/>
        <v>1</v>
      </c>
      <c r="W1035">
        <v>0</v>
      </c>
      <c r="Y1035">
        <f t="shared" si="33"/>
        <v>0</v>
      </c>
    </row>
    <row r="1036" spans="1:25" x14ac:dyDescent="0.3">
      <c r="A1036" t="s">
        <v>2675</v>
      </c>
      <c r="B1036" t="s">
        <v>591</v>
      </c>
      <c r="C1036">
        <v>98.03</v>
      </c>
      <c r="D1036" s="1">
        <v>45278.778773148151</v>
      </c>
      <c r="E1036" t="s">
        <v>25</v>
      </c>
      <c r="F1036" t="s">
        <v>519</v>
      </c>
      <c r="G1036" t="s">
        <v>1646</v>
      </c>
      <c r="H1036" t="s">
        <v>247</v>
      </c>
      <c r="I1036" t="s">
        <v>325</v>
      </c>
      <c r="J1036" t="s">
        <v>81</v>
      </c>
      <c r="K1036">
        <v>54</v>
      </c>
      <c r="L1036" t="s">
        <v>89</v>
      </c>
      <c r="M1036">
        <v>165</v>
      </c>
      <c r="N1036">
        <v>1</v>
      </c>
      <c r="O1036">
        <v>6323.45</v>
      </c>
      <c r="P1036" s="1">
        <v>45600.339305555557</v>
      </c>
      <c r="Q1036">
        <v>18</v>
      </c>
      <c r="R1036" t="s">
        <v>47</v>
      </c>
      <c r="S1036">
        <v>-0.68356343809785503</v>
      </c>
      <c r="T1036" t="b">
        <v>0</v>
      </c>
      <c r="U1036" t="b">
        <v>0</v>
      </c>
      <c r="V1036" t="b">
        <f t="shared" si="32"/>
        <v>1</v>
      </c>
      <c r="W1036">
        <v>0</v>
      </c>
      <c r="Y1036">
        <f t="shared" si="33"/>
        <v>0</v>
      </c>
    </row>
    <row r="1037" spans="1:25" x14ac:dyDescent="0.3">
      <c r="A1037" t="s">
        <v>2676</v>
      </c>
      <c r="B1037" t="s">
        <v>2677</v>
      </c>
      <c r="C1037">
        <v>617.66</v>
      </c>
      <c r="D1037" s="1">
        <v>44973.712476851855</v>
      </c>
      <c r="E1037" t="s">
        <v>25</v>
      </c>
      <c r="F1037" t="s">
        <v>401</v>
      </c>
      <c r="G1037" t="s">
        <v>2563</v>
      </c>
      <c r="H1037" t="s">
        <v>920</v>
      </c>
      <c r="I1037" t="s">
        <v>112</v>
      </c>
      <c r="J1037" t="s">
        <v>30</v>
      </c>
      <c r="K1037">
        <v>42</v>
      </c>
      <c r="L1037" t="s">
        <v>89</v>
      </c>
      <c r="M1037">
        <v>128</v>
      </c>
      <c r="N1037">
        <v>1</v>
      </c>
      <c r="O1037">
        <v>7155.95</v>
      </c>
      <c r="P1037" s="1">
        <v>45600.338923611111</v>
      </c>
      <c r="Q1037">
        <v>17</v>
      </c>
      <c r="R1037" t="s">
        <v>141</v>
      </c>
      <c r="S1037">
        <v>1.09631902923477</v>
      </c>
      <c r="T1037" t="b">
        <v>0</v>
      </c>
      <c r="U1037" t="b">
        <v>0</v>
      </c>
      <c r="V1037" t="b">
        <f t="shared" si="32"/>
        <v>1</v>
      </c>
      <c r="W1037">
        <v>0</v>
      </c>
      <c r="Y1037">
        <f t="shared" si="33"/>
        <v>0</v>
      </c>
    </row>
    <row r="1038" spans="1:25" x14ac:dyDescent="0.3">
      <c r="A1038" t="s">
        <v>2678</v>
      </c>
      <c r="B1038" t="s">
        <v>1206</v>
      </c>
      <c r="C1038">
        <v>888.57</v>
      </c>
      <c r="D1038" s="1">
        <v>45090.683831018519</v>
      </c>
      <c r="E1038" t="s">
        <v>25</v>
      </c>
      <c r="F1038" t="s">
        <v>250</v>
      </c>
      <c r="G1038" t="s">
        <v>2679</v>
      </c>
      <c r="H1038" t="s">
        <v>883</v>
      </c>
      <c r="I1038" t="s">
        <v>199</v>
      </c>
      <c r="J1038" t="s">
        <v>45</v>
      </c>
      <c r="K1038">
        <v>62</v>
      </c>
      <c r="L1038" t="s">
        <v>82</v>
      </c>
      <c r="M1038">
        <v>102</v>
      </c>
      <c r="N1038">
        <v>1</v>
      </c>
      <c r="O1038">
        <v>7896.14</v>
      </c>
      <c r="P1038" s="1">
        <v>45600.340937499997</v>
      </c>
      <c r="Q1038">
        <v>16</v>
      </c>
      <c r="R1038" t="s">
        <v>32</v>
      </c>
      <c r="S1038">
        <v>2.0242638346253101</v>
      </c>
      <c r="T1038" t="b">
        <v>0</v>
      </c>
      <c r="U1038" t="b">
        <v>0</v>
      </c>
      <c r="V1038" t="b">
        <f t="shared" si="32"/>
        <v>1</v>
      </c>
      <c r="W1038">
        <v>0</v>
      </c>
      <c r="Y1038">
        <f t="shared" si="33"/>
        <v>0</v>
      </c>
    </row>
    <row r="1039" spans="1:25" x14ac:dyDescent="0.3">
      <c r="A1039" t="s">
        <v>2680</v>
      </c>
      <c r="B1039" t="s">
        <v>856</v>
      </c>
      <c r="C1039">
        <v>107.48</v>
      </c>
      <c r="D1039" s="1">
        <v>45264.751307870371</v>
      </c>
      <c r="E1039" t="s">
        <v>25</v>
      </c>
      <c r="F1039" t="s">
        <v>309</v>
      </c>
      <c r="G1039" t="s">
        <v>995</v>
      </c>
      <c r="H1039" t="s">
        <v>576</v>
      </c>
      <c r="I1039" t="s">
        <v>1027</v>
      </c>
      <c r="J1039" t="s">
        <v>81</v>
      </c>
      <c r="K1039">
        <v>22</v>
      </c>
      <c r="L1039" t="s">
        <v>46</v>
      </c>
      <c r="M1039">
        <v>129</v>
      </c>
      <c r="N1039">
        <v>1</v>
      </c>
      <c r="O1039">
        <v>591.23</v>
      </c>
      <c r="P1039" s="1">
        <v>45600.339016203703</v>
      </c>
      <c r="Q1039">
        <v>18</v>
      </c>
      <c r="R1039" t="s">
        <v>47</v>
      </c>
      <c r="S1039">
        <v>-0.65119446533590197</v>
      </c>
      <c r="T1039" t="b">
        <v>0</v>
      </c>
      <c r="U1039" t="b">
        <v>0</v>
      </c>
      <c r="V1039" t="b">
        <f t="shared" si="32"/>
        <v>1</v>
      </c>
      <c r="W1039">
        <v>0</v>
      </c>
      <c r="Y1039">
        <f t="shared" si="33"/>
        <v>0</v>
      </c>
    </row>
    <row r="1040" spans="1:25" x14ac:dyDescent="0.3">
      <c r="A1040" t="s">
        <v>2681</v>
      </c>
      <c r="B1040" t="s">
        <v>209</v>
      </c>
      <c r="C1040">
        <v>36.57</v>
      </c>
      <c r="D1040" s="1">
        <v>45145.70108796296</v>
      </c>
      <c r="E1040" t="s">
        <v>25</v>
      </c>
      <c r="F1040" t="s">
        <v>309</v>
      </c>
      <c r="G1040" t="s">
        <v>1857</v>
      </c>
      <c r="H1040" t="s">
        <v>1897</v>
      </c>
      <c r="I1040" t="s">
        <v>280</v>
      </c>
      <c r="J1040" t="s">
        <v>30</v>
      </c>
      <c r="K1040">
        <v>62</v>
      </c>
      <c r="L1040" t="s">
        <v>82</v>
      </c>
      <c r="M1040">
        <v>69</v>
      </c>
      <c r="N1040">
        <v>1</v>
      </c>
      <c r="O1040">
        <v>2583.0700000000002</v>
      </c>
      <c r="P1040" s="1">
        <v>45600.338217592594</v>
      </c>
      <c r="Q1040">
        <v>16</v>
      </c>
      <c r="R1040" t="s">
        <v>47</v>
      </c>
      <c r="S1040">
        <v>-0.89408164613484997</v>
      </c>
      <c r="T1040" t="b">
        <v>0</v>
      </c>
      <c r="U1040" t="b">
        <v>0</v>
      </c>
      <c r="V1040" t="b">
        <f t="shared" si="32"/>
        <v>1</v>
      </c>
      <c r="W1040">
        <v>0</v>
      </c>
      <c r="Y1040">
        <f t="shared" si="33"/>
        <v>0</v>
      </c>
    </row>
    <row r="1041" spans="1:25" x14ac:dyDescent="0.3">
      <c r="A1041" t="s">
        <v>2682</v>
      </c>
      <c r="B1041" t="s">
        <v>617</v>
      </c>
      <c r="C1041">
        <v>575.62</v>
      </c>
      <c r="D1041" s="1">
        <v>45089.771423611113</v>
      </c>
      <c r="E1041" t="s">
        <v>25</v>
      </c>
      <c r="F1041" t="s">
        <v>64</v>
      </c>
      <c r="G1041" t="s">
        <v>2308</v>
      </c>
      <c r="H1041" t="s">
        <v>106</v>
      </c>
      <c r="I1041" t="s">
        <v>440</v>
      </c>
      <c r="J1041" t="s">
        <v>45</v>
      </c>
      <c r="K1041">
        <v>43</v>
      </c>
      <c r="L1041" t="s">
        <v>31</v>
      </c>
      <c r="M1041">
        <v>129</v>
      </c>
      <c r="N1041">
        <v>1</v>
      </c>
      <c r="O1041">
        <v>234.41</v>
      </c>
      <c r="P1041" s="1">
        <v>45600.341354166667</v>
      </c>
      <c r="Q1041">
        <v>18</v>
      </c>
      <c r="R1041" t="s">
        <v>47</v>
      </c>
      <c r="S1041">
        <v>0.95231991654562598</v>
      </c>
      <c r="T1041" t="b">
        <v>0</v>
      </c>
      <c r="U1041" t="b">
        <v>0</v>
      </c>
      <c r="V1041" t="b">
        <f t="shared" si="32"/>
        <v>1</v>
      </c>
      <c r="W1041">
        <v>0</v>
      </c>
      <c r="Y1041">
        <f t="shared" si="33"/>
        <v>0</v>
      </c>
    </row>
    <row r="1042" spans="1:25" x14ac:dyDescent="0.3">
      <c r="A1042" t="s">
        <v>2683</v>
      </c>
      <c r="B1042" t="s">
        <v>2684</v>
      </c>
      <c r="C1042">
        <v>84.89</v>
      </c>
      <c r="D1042" s="1">
        <v>45068.727210648147</v>
      </c>
      <c r="E1042" t="s">
        <v>25</v>
      </c>
      <c r="F1042" t="s">
        <v>236</v>
      </c>
      <c r="G1042" t="s">
        <v>1104</v>
      </c>
      <c r="H1042" t="s">
        <v>1259</v>
      </c>
      <c r="I1042" t="s">
        <v>775</v>
      </c>
      <c r="J1042" t="s">
        <v>30</v>
      </c>
      <c r="K1042">
        <v>37</v>
      </c>
      <c r="L1042" t="s">
        <v>89</v>
      </c>
      <c r="M1042">
        <v>70</v>
      </c>
      <c r="N1042">
        <v>1</v>
      </c>
      <c r="O1042">
        <v>4735.6099999999997</v>
      </c>
      <c r="P1042" s="1">
        <v>45600.341851851852</v>
      </c>
      <c r="Q1042">
        <v>17</v>
      </c>
      <c r="R1042" t="s">
        <v>47</v>
      </c>
      <c r="S1042">
        <v>-0.72857172403352199</v>
      </c>
      <c r="T1042" t="b">
        <v>0</v>
      </c>
      <c r="U1042" t="b">
        <v>0</v>
      </c>
      <c r="V1042" t="b">
        <f t="shared" si="32"/>
        <v>1</v>
      </c>
      <c r="W1042">
        <v>0</v>
      </c>
      <c r="Y1042">
        <f t="shared" si="33"/>
        <v>0</v>
      </c>
    </row>
    <row r="1043" spans="1:25" x14ac:dyDescent="0.3">
      <c r="A1043" t="s">
        <v>2685</v>
      </c>
      <c r="B1043" t="s">
        <v>480</v>
      </c>
      <c r="C1043">
        <v>832.3</v>
      </c>
      <c r="D1043" s="1">
        <v>45119.705370370371</v>
      </c>
      <c r="E1043" t="s">
        <v>57</v>
      </c>
      <c r="F1043" t="s">
        <v>131</v>
      </c>
      <c r="G1043" t="s">
        <v>1969</v>
      </c>
      <c r="H1043" t="s">
        <v>2686</v>
      </c>
      <c r="I1043" t="s">
        <v>898</v>
      </c>
      <c r="J1043" t="s">
        <v>81</v>
      </c>
      <c r="K1043">
        <v>69</v>
      </c>
      <c r="L1043" t="s">
        <v>82</v>
      </c>
      <c r="M1043">
        <v>86</v>
      </c>
      <c r="N1043">
        <v>1</v>
      </c>
      <c r="O1043">
        <v>6617.52</v>
      </c>
      <c r="P1043" s="1">
        <v>45600.338043981479</v>
      </c>
      <c r="Q1043">
        <v>16</v>
      </c>
      <c r="R1043" t="s">
        <v>74</v>
      </c>
      <c r="S1043">
        <v>1.83152287194647</v>
      </c>
      <c r="T1043" t="b">
        <v>0</v>
      </c>
      <c r="U1043" t="b">
        <v>0</v>
      </c>
      <c r="V1043" t="b">
        <f t="shared" si="32"/>
        <v>1</v>
      </c>
      <c r="W1043">
        <v>0</v>
      </c>
      <c r="Y1043">
        <f t="shared" si="33"/>
        <v>0</v>
      </c>
    </row>
    <row r="1044" spans="1:25" x14ac:dyDescent="0.3">
      <c r="A1044" t="s">
        <v>2687</v>
      </c>
      <c r="B1044" t="s">
        <v>2656</v>
      </c>
      <c r="C1044">
        <v>180.65</v>
      </c>
      <c r="D1044" s="1">
        <v>45264.745937500003</v>
      </c>
      <c r="E1044" t="s">
        <v>25</v>
      </c>
      <c r="F1044" t="s">
        <v>262</v>
      </c>
      <c r="G1044" t="s">
        <v>2688</v>
      </c>
      <c r="H1044" t="s">
        <v>2249</v>
      </c>
      <c r="I1044" t="s">
        <v>458</v>
      </c>
      <c r="J1044" t="s">
        <v>81</v>
      </c>
      <c r="K1044">
        <v>22</v>
      </c>
      <c r="L1044" t="s">
        <v>46</v>
      </c>
      <c r="M1044">
        <v>38</v>
      </c>
      <c r="N1044">
        <v>5</v>
      </c>
      <c r="O1044">
        <v>816.01</v>
      </c>
      <c r="P1044" s="1">
        <v>45600.340162037035</v>
      </c>
      <c r="Q1044">
        <v>17</v>
      </c>
      <c r="R1044" t="s">
        <v>47</v>
      </c>
      <c r="S1044">
        <v>-0.40056613337906999</v>
      </c>
      <c r="T1044" t="b">
        <v>0</v>
      </c>
      <c r="U1044" t="b">
        <v>1</v>
      </c>
      <c r="V1044" t="b">
        <f t="shared" si="32"/>
        <v>1</v>
      </c>
      <c r="W1044">
        <v>1</v>
      </c>
      <c r="Y1044">
        <f t="shared" si="33"/>
        <v>0</v>
      </c>
    </row>
    <row r="1045" spans="1:25" x14ac:dyDescent="0.3">
      <c r="A1045" t="s">
        <v>2689</v>
      </c>
      <c r="B1045" t="s">
        <v>1666</v>
      </c>
      <c r="C1045">
        <v>7.76</v>
      </c>
      <c r="D1045" s="1">
        <v>45012.719537037039</v>
      </c>
      <c r="E1045" t="s">
        <v>57</v>
      </c>
      <c r="F1045" t="s">
        <v>159</v>
      </c>
      <c r="G1045" t="s">
        <v>2617</v>
      </c>
      <c r="H1045" t="s">
        <v>2415</v>
      </c>
      <c r="I1045" t="s">
        <v>61</v>
      </c>
      <c r="J1045" t="s">
        <v>45</v>
      </c>
      <c r="K1045">
        <v>52</v>
      </c>
      <c r="L1045" t="s">
        <v>82</v>
      </c>
      <c r="M1045">
        <v>84</v>
      </c>
      <c r="N1045">
        <v>1</v>
      </c>
      <c r="O1045">
        <v>7393.11</v>
      </c>
      <c r="P1045" s="1">
        <v>45600.341840277775</v>
      </c>
      <c r="Q1045">
        <v>17</v>
      </c>
      <c r="R1045" t="s">
        <v>47</v>
      </c>
      <c r="S1045">
        <v>-0.99276419695726803</v>
      </c>
      <c r="T1045" t="b">
        <v>0</v>
      </c>
      <c r="U1045" t="b">
        <v>0</v>
      </c>
      <c r="V1045" t="b">
        <f t="shared" si="32"/>
        <v>1</v>
      </c>
      <c r="W1045">
        <v>0</v>
      </c>
      <c r="Y1045">
        <f t="shared" si="33"/>
        <v>0</v>
      </c>
    </row>
    <row r="1046" spans="1:25" x14ac:dyDescent="0.3">
      <c r="A1046" t="s">
        <v>2690</v>
      </c>
      <c r="B1046" t="s">
        <v>558</v>
      </c>
      <c r="C1046">
        <v>109.3</v>
      </c>
      <c r="D1046" s="1">
        <v>45140.702951388892</v>
      </c>
      <c r="E1046" t="s">
        <v>25</v>
      </c>
      <c r="F1046" t="s">
        <v>170</v>
      </c>
      <c r="G1046" t="s">
        <v>1851</v>
      </c>
      <c r="H1046" t="s">
        <v>294</v>
      </c>
      <c r="I1046" t="s">
        <v>80</v>
      </c>
      <c r="J1046" t="s">
        <v>81</v>
      </c>
      <c r="K1046">
        <v>56</v>
      </c>
      <c r="L1046" t="s">
        <v>31</v>
      </c>
      <c r="M1046">
        <v>27</v>
      </c>
      <c r="N1046">
        <v>1</v>
      </c>
      <c r="O1046">
        <v>13510.11</v>
      </c>
      <c r="P1046" s="1">
        <v>45600.337835648148</v>
      </c>
      <c r="Q1046">
        <v>16</v>
      </c>
      <c r="R1046" t="s">
        <v>74</v>
      </c>
      <c r="S1046">
        <v>-0.64496044095211902</v>
      </c>
      <c r="T1046" t="b">
        <v>0</v>
      </c>
      <c r="U1046" t="b">
        <v>0</v>
      </c>
      <c r="V1046" t="b">
        <f t="shared" si="32"/>
        <v>1</v>
      </c>
      <c r="W1046">
        <v>0</v>
      </c>
      <c r="Y1046">
        <f t="shared" si="33"/>
        <v>0</v>
      </c>
    </row>
    <row r="1047" spans="1:25" x14ac:dyDescent="0.3">
      <c r="A1047" t="s">
        <v>2691</v>
      </c>
      <c r="B1047" t="s">
        <v>774</v>
      </c>
      <c r="C1047">
        <v>230.08</v>
      </c>
      <c r="D1047" s="1">
        <v>45047.68310185185</v>
      </c>
      <c r="E1047" t="s">
        <v>25</v>
      </c>
      <c r="F1047" t="s">
        <v>131</v>
      </c>
      <c r="G1047" t="s">
        <v>1343</v>
      </c>
      <c r="H1047" t="s">
        <v>796</v>
      </c>
      <c r="I1047" t="s">
        <v>611</v>
      </c>
      <c r="J1047" t="s">
        <v>45</v>
      </c>
      <c r="K1047">
        <v>79</v>
      </c>
      <c r="L1047" t="s">
        <v>82</v>
      </c>
      <c r="M1047">
        <v>124</v>
      </c>
      <c r="N1047">
        <v>1</v>
      </c>
      <c r="O1047">
        <v>4466.1000000000004</v>
      </c>
      <c r="P1047" s="1">
        <v>45600.341516203705</v>
      </c>
      <c r="Q1047">
        <v>16</v>
      </c>
      <c r="R1047" t="s">
        <v>47</v>
      </c>
      <c r="S1047">
        <v>-0.231254141461259</v>
      </c>
      <c r="T1047" t="b">
        <v>0</v>
      </c>
      <c r="U1047" t="b">
        <v>0</v>
      </c>
      <c r="V1047" t="b">
        <f t="shared" si="32"/>
        <v>1</v>
      </c>
      <c r="W1047">
        <v>0</v>
      </c>
      <c r="Y1047">
        <f t="shared" si="33"/>
        <v>0</v>
      </c>
    </row>
    <row r="1048" spans="1:25" x14ac:dyDescent="0.3">
      <c r="A1048" t="s">
        <v>2692</v>
      </c>
      <c r="B1048" t="s">
        <v>1352</v>
      </c>
      <c r="C1048">
        <v>361.92</v>
      </c>
      <c r="D1048" s="1">
        <v>44977.672777777778</v>
      </c>
      <c r="E1048" t="s">
        <v>25</v>
      </c>
      <c r="F1048" t="s">
        <v>85</v>
      </c>
      <c r="G1048" t="s">
        <v>530</v>
      </c>
      <c r="H1048" t="s">
        <v>942</v>
      </c>
      <c r="I1048" t="s">
        <v>775</v>
      </c>
      <c r="J1048" t="s">
        <v>30</v>
      </c>
      <c r="K1048">
        <v>54</v>
      </c>
      <c r="L1048" t="s">
        <v>82</v>
      </c>
      <c r="M1048">
        <v>111</v>
      </c>
      <c r="N1048">
        <v>1</v>
      </c>
      <c r="O1048">
        <v>7474.31</v>
      </c>
      <c r="P1048" s="1">
        <v>45600.340543981481</v>
      </c>
      <c r="Q1048">
        <v>16</v>
      </c>
      <c r="R1048" t="s">
        <v>47</v>
      </c>
      <c r="S1048">
        <v>0.220335844669515</v>
      </c>
      <c r="T1048" t="b">
        <v>0</v>
      </c>
      <c r="U1048" t="b">
        <v>0</v>
      </c>
      <c r="V1048" t="b">
        <f t="shared" si="32"/>
        <v>1</v>
      </c>
      <c r="W1048">
        <v>0</v>
      </c>
      <c r="Y1048">
        <f t="shared" si="33"/>
        <v>0</v>
      </c>
    </row>
    <row r="1049" spans="1:25" x14ac:dyDescent="0.3">
      <c r="A1049" t="s">
        <v>2693</v>
      </c>
      <c r="B1049" t="s">
        <v>2694</v>
      </c>
      <c r="C1049">
        <v>71.290000000000006</v>
      </c>
      <c r="D1049" s="1">
        <v>44959.709780092591</v>
      </c>
      <c r="E1049" t="s">
        <v>25</v>
      </c>
      <c r="F1049" t="s">
        <v>278</v>
      </c>
      <c r="G1049" t="s">
        <v>2695</v>
      </c>
      <c r="H1049" t="s">
        <v>1328</v>
      </c>
      <c r="I1049" t="s">
        <v>339</v>
      </c>
      <c r="J1049" t="s">
        <v>30</v>
      </c>
      <c r="K1049">
        <v>68</v>
      </c>
      <c r="L1049" t="s">
        <v>82</v>
      </c>
      <c r="M1049">
        <v>55</v>
      </c>
      <c r="N1049">
        <v>2</v>
      </c>
      <c r="O1049">
        <v>7225.63</v>
      </c>
      <c r="P1049" s="1">
        <v>45600.338773148149</v>
      </c>
      <c r="Q1049">
        <v>17</v>
      </c>
      <c r="R1049" t="s">
        <v>141</v>
      </c>
      <c r="S1049">
        <v>-0.77515564250574998</v>
      </c>
      <c r="T1049" t="b">
        <v>0</v>
      </c>
      <c r="U1049" t="b">
        <v>1</v>
      </c>
      <c r="V1049" t="b">
        <f t="shared" si="32"/>
        <v>1</v>
      </c>
      <c r="W1049">
        <v>1</v>
      </c>
      <c r="Y1049">
        <f t="shared" si="33"/>
        <v>0</v>
      </c>
    </row>
    <row r="1050" spans="1:25" x14ac:dyDescent="0.3">
      <c r="A1050" t="s">
        <v>2696</v>
      </c>
      <c r="B1050" t="s">
        <v>1582</v>
      </c>
      <c r="C1050">
        <v>122.45</v>
      </c>
      <c r="D1050" s="1">
        <v>44942.701539351852</v>
      </c>
      <c r="E1050" t="s">
        <v>25</v>
      </c>
      <c r="F1050" t="s">
        <v>216</v>
      </c>
      <c r="G1050" t="s">
        <v>2697</v>
      </c>
      <c r="H1050" t="s">
        <v>2698</v>
      </c>
      <c r="I1050" t="s">
        <v>162</v>
      </c>
      <c r="J1050" t="s">
        <v>81</v>
      </c>
      <c r="K1050">
        <v>46</v>
      </c>
      <c r="L1050" t="s">
        <v>31</v>
      </c>
      <c r="M1050">
        <v>98</v>
      </c>
      <c r="N1050">
        <v>1</v>
      </c>
      <c r="O1050">
        <v>7255.49</v>
      </c>
      <c r="P1050" s="1">
        <v>45600.338819444441</v>
      </c>
      <c r="Q1050">
        <v>16</v>
      </c>
      <c r="R1050" t="s">
        <v>47</v>
      </c>
      <c r="S1050">
        <v>-0.599917902135222</v>
      </c>
      <c r="T1050" t="b">
        <v>0</v>
      </c>
      <c r="U1050" t="b">
        <v>0</v>
      </c>
      <c r="V1050" t="b">
        <f t="shared" si="32"/>
        <v>1</v>
      </c>
      <c r="W1050">
        <v>0</v>
      </c>
      <c r="Y1050">
        <f t="shared" si="33"/>
        <v>0</v>
      </c>
    </row>
    <row r="1051" spans="1:25" x14ac:dyDescent="0.3">
      <c r="A1051" t="s">
        <v>2699</v>
      </c>
      <c r="B1051" t="s">
        <v>2016</v>
      </c>
      <c r="C1051">
        <v>642.53</v>
      </c>
      <c r="D1051" s="1">
        <v>45152.692164351851</v>
      </c>
      <c r="E1051" t="s">
        <v>25</v>
      </c>
      <c r="F1051" t="s">
        <v>41</v>
      </c>
      <c r="G1051" t="s">
        <v>2700</v>
      </c>
      <c r="H1051" t="s">
        <v>2338</v>
      </c>
      <c r="I1051" t="s">
        <v>134</v>
      </c>
      <c r="J1051" t="s">
        <v>30</v>
      </c>
      <c r="K1051">
        <v>65</v>
      </c>
      <c r="L1051" t="s">
        <v>31</v>
      </c>
      <c r="M1051">
        <v>128</v>
      </c>
      <c r="N1051">
        <v>1</v>
      </c>
      <c r="O1051">
        <v>11417.91</v>
      </c>
      <c r="P1051" s="1">
        <v>45600.341782407406</v>
      </c>
      <c r="Q1051">
        <v>16</v>
      </c>
      <c r="R1051" t="s">
        <v>47</v>
      </c>
      <c r="S1051">
        <v>1.1815059448527401</v>
      </c>
      <c r="T1051" t="b">
        <v>0</v>
      </c>
      <c r="U1051" t="b">
        <v>0</v>
      </c>
      <c r="V1051" t="b">
        <f t="shared" si="32"/>
        <v>1</v>
      </c>
      <c r="W1051">
        <v>0</v>
      </c>
      <c r="Y1051">
        <f t="shared" si="33"/>
        <v>0</v>
      </c>
    </row>
    <row r="1052" spans="1:25" x14ac:dyDescent="0.3">
      <c r="A1052" t="s">
        <v>2701</v>
      </c>
      <c r="B1052" t="s">
        <v>1555</v>
      </c>
      <c r="C1052">
        <v>62.86</v>
      </c>
      <c r="D1052" s="1">
        <v>45054.683333333334</v>
      </c>
      <c r="E1052" t="s">
        <v>25</v>
      </c>
      <c r="F1052" t="s">
        <v>35</v>
      </c>
      <c r="G1052" t="s">
        <v>1521</v>
      </c>
      <c r="H1052" t="s">
        <v>1427</v>
      </c>
      <c r="I1052" t="s">
        <v>290</v>
      </c>
      <c r="J1052" t="s">
        <v>81</v>
      </c>
      <c r="K1052">
        <v>25</v>
      </c>
      <c r="L1052" t="s">
        <v>46</v>
      </c>
      <c r="M1052">
        <v>31</v>
      </c>
      <c r="N1052">
        <v>1</v>
      </c>
      <c r="O1052">
        <v>1040.43</v>
      </c>
      <c r="P1052" s="1">
        <v>45600.34065972222</v>
      </c>
      <c r="Q1052">
        <v>16</v>
      </c>
      <c r="R1052" t="s">
        <v>47</v>
      </c>
      <c r="S1052">
        <v>-0.80403082138228599</v>
      </c>
      <c r="T1052" t="b">
        <v>0</v>
      </c>
      <c r="U1052" t="b">
        <v>0</v>
      </c>
      <c r="V1052" t="b">
        <f t="shared" si="32"/>
        <v>1</v>
      </c>
      <c r="W1052">
        <v>0</v>
      </c>
      <c r="Y1052">
        <f t="shared" si="33"/>
        <v>0</v>
      </c>
    </row>
    <row r="1053" spans="1:25" x14ac:dyDescent="0.3">
      <c r="A1053" t="s">
        <v>2702</v>
      </c>
      <c r="B1053" t="s">
        <v>2703</v>
      </c>
      <c r="C1053">
        <v>175.21</v>
      </c>
      <c r="D1053" s="1">
        <v>45281.781018518515</v>
      </c>
      <c r="E1053" t="s">
        <v>57</v>
      </c>
      <c r="F1053" t="s">
        <v>41</v>
      </c>
      <c r="G1053" t="s">
        <v>791</v>
      </c>
      <c r="H1053" t="s">
        <v>2396</v>
      </c>
      <c r="I1053" t="s">
        <v>487</v>
      </c>
      <c r="J1053" t="s">
        <v>30</v>
      </c>
      <c r="K1053">
        <v>69</v>
      </c>
      <c r="L1053" t="s">
        <v>31</v>
      </c>
      <c r="M1053">
        <v>69</v>
      </c>
      <c r="N1053">
        <v>1</v>
      </c>
      <c r="O1053">
        <v>6039.04</v>
      </c>
      <c r="P1053" s="1">
        <v>45600.339317129627</v>
      </c>
      <c r="Q1053">
        <v>18</v>
      </c>
      <c r="R1053" t="s">
        <v>141</v>
      </c>
      <c r="S1053">
        <v>-0.41919970076796098</v>
      </c>
      <c r="T1053" t="b">
        <v>0</v>
      </c>
      <c r="U1053" t="b">
        <v>0</v>
      </c>
      <c r="V1053" t="b">
        <f t="shared" si="32"/>
        <v>1</v>
      </c>
      <c r="W1053">
        <v>0</v>
      </c>
      <c r="Y1053">
        <f t="shared" si="33"/>
        <v>0</v>
      </c>
    </row>
    <row r="1054" spans="1:25" x14ac:dyDescent="0.3">
      <c r="A1054" t="s">
        <v>2704</v>
      </c>
      <c r="B1054" t="s">
        <v>421</v>
      </c>
      <c r="C1054">
        <v>168</v>
      </c>
      <c r="D1054" s="1">
        <v>45162.667824074073</v>
      </c>
      <c r="E1054" t="s">
        <v>57</v>
      </c>
      <c r="F1054" t="s">
        <v>268</v>
      </c>
      <c r="G1054" t="s">
        <v>1965</v>
      </c>
      <c r="H1054" t="s">
        <v>1468</v>
      </c>
      <c r="I1054" t="s">
        <v>213</v>
      </c>
      <c r="J1054" t="s">
        <v>81</v>
      </c>
      <c r="K1054">
        <v>32</v>
      </c>
      <c r="L1054" t="s">
        <v>89</v>
      </c>
      <c r="M1054">
        <v>11</v>
      </c>
      <c r="N1054">
        <v>1</v>
      </c>
      <c r="O1054">
        <v>3498.58</v>
      </c>
      <c r="P1054" s="1">
        <v>45600.341898148145</v>
      </c>
      <c r="Q1054">
        <v>16</v>
      </c>
      <c r="R1054" t="s">
        <v>141</v>
      </c>
      <c r="S1054">
        <v>-0.44389602813448797</v>
      </c>
      <c r="T1054" t="b">
        <v>0</v>
      </c>
      <c r="U1054" t="b">
        <v>0</v>
      </c>
      <c r="V1054" t="b">
        <f t="shared" si="32"/>
        <v>1</v>
      </c>
      <c r="W1054">
        <v>0</v>
      </c>
      <c r="Y1054">
        <f t="shared" si="33"/>
        <v>0</v>
      </c>
    </row>
    <row r="1055" spans="1:25" x14ac:dyDescent="0.3">
      <c r="A1055" t="s">
        <v>2705</v>
      </c>
      <c r="B1055" t="s">
        <v>1701</v>
      </c>
      <c r="C1055">
        <v>11.46</v>
      </c>
      <c r="D1055" s="1">
        <v>45208.701863425929</v>
      </c>
      <c r="E1055" t="s">
        <v>25</v>
      </c>
      <c r="F1055" t="s">
        <v>278</v>
      </c>
      <c r="G1055" t="s">
        <v>197</v>
      </c>
      <c r="H1055" t="s">
        <v>2706</v>
      </c>
      <c r="I1055" t="s">
        <v>695</v>
      </c>
      <c r="J1055" t="s">
        <v>45</v>
      </c>
      <c r="K1055">
        <v>67</v>
      </c>
      <c r="L1055" t="s">
        <v>82</v>
      </c>
      <c r="M1055">
        <v>73</v>
      </c>
      <c r="N1055">
        <v>1</v>
      </c>
      <c r="O1055">
        <v>6628.75</v>
      </c>
      <c r="P1055" s="1">
        <v>45600.338414351849</v>
      </c>
      <c r="Q1055">
        <v>16</v>
      </c>
      <c r="R1055" t="s">
        <v>47</v>
      </c>
      <c r="S1055">
        <v>-0.98009063090232396</v>
      </c>
      <c r="T1055" t="b">
        <v>0</v>
      </c>
      <c r="U1055" t="b">
        <v>0</v>
      </c>
      <c r="V1055" t="b">
        <f t="shared" si="32"/>
        <v>1</v>
      </c>
      <c r="W1055">
        <v>0</v>
      </c>
      <c r="Y1055">
        <f t="shared" si="33"/>
        <v>0</v>
      </c>
    </row>
    <row r="1056" spans="1:25" x14ac:dyDescent="0.3">
      <c r="A1056" t="s">
        <v>2707</v>
      </c>
      <c r="B1056" t="s">
        <v>2708</v>
      </c>
      <c r="C1056">
        <v>382.07</v>
      </c>
      <c r="D1056" s="1">
        <v>45082.741747685184</v>
      </c>
      <c r="E1056" t="s">
        <v>57</v>
      </c>
      <c r="F1056" t="s">
        <v>309</v>
      </c>
      <c r="G1056" t="s">
        <v>2709</v>
      </c>
      <c r="H1056" t="s">
        <v>444</v>
      </c>
      <c r="I1056" t="s">
        <v>61</v>
      </c>
      <c r="J1056" t="s">
        <v>81</v>
      </c>
      <c r="K1056">
        <v>62</v>
      </c>
      <c r="L1056" t="s">
        <v>31</v>
      </c>
      <c r="M1056">
        <v>147</v>
      </c>
      <c r="N1056">
        <v>1</v>
      </c>
      <c r="O1056">
        <v>10156.09</v>
      </c>
      <c r="P1056" s="1">
        <v>45600.339085648149</v>
      </c>
      <c r="Q1056">
        <v>17</v>
      </c>
      <c r="R1056" t="s">
        <v>47</v>
      </c>
      <c r="S1056">
        <v>0.28935540034711699</v>
      </c>
      <c r="T1056" t="b">
        <v>0</v>
      </c>
      <c r="U1056" t="b">
        <v>0</v>
      </c>
      <c r="V1056" t="b">
        <f t="shared" si="32"/>
        <v>1</v>
      </c>
      <c r="W1056">
        <v>0</v>
      </c>
      <c r="Y1056">
        <f t="shared" si="33"/>
        <v>0</v>
      </c>
    </row>
    <row r="1057" spans="1:25" x14ac:dyDescent="0.3">
      <c r="A1057" t="s">
        <v>2710</v>
      </c>
      <c r="B1057" t="s">
        <v>130</v>
      </c>
      <c r="C1057">
        <v>13.48</v>
      </c>
      <c r="D1057" s="1">
        <v>45189.742974537039</v>
      </c>
      <c r="E1057" t="s">
        <v>25</v>
      </c>
      <c r="F1057" t="s">
        <v>159</v>
      </c>
      <c r="G1057" t="s">
        <v>2711</v>
      </c>
      <c r="H1057" t="s">
        <v>94</v>
      </c>
      <c r="I1057" t="s">
        <v>222</v>
      </c>
      <c r="J1057" t="s">
        <v>45</v>
      </c>
      <c r="K1057">
        <v>18</v>
      </c>
      <c r="L1057" t="s">
        <v>46</v>
      </c>
      <c r="M1057">
        <v>20</v>
      </c>
      <c r="N1057">
        <v>3</v>
      </c>
      <c r="O1057">
        <v>521.88</v>
      </c>
      <c r="P1057" s="1">
        <v>45600.340509259258</v>
      </c>
      <c r="Q1057">
        <v>17</v>
      </c>
      <c r="R1057" t="s">
        <v>74</v>
      </c>
      <c r="S1057">
        <v>-0.97317154889394897</v>
      </c>
      <c r="T1057" t="b">
        <v>0</v>
      </c>
      <c r="U1057" t="b">
        <v>1</v>
      </c>
      <c r="V1057" t="b">
        <f t="shared" si="32"/>
        <v>1</v>
      </c>
      <c r="W1057">
        <v>1</v>
      </c>
      <c r="Y1057">
        <f t="shared" si="33"/>
        <v>0</v>
      </c>
    </row>
    <row r="1058" spans="1:25" x14ac:dyDescent="0.3">
      <c r="A1058" t="s">
        <v>2712</v>
      </c>
      <c r="B1058" t="s">
        <v>501</v>
      </c>
      <c r="C1058">
        <v>65.319999999999993</v>
      </c>
      <c r="D1058" s="1">
        <v>45232.677662037036</v>
      </c>
      <c r="E1058" t="s">
        <v>25</v>
      </c>
      <c r="F1058" t="s">
        <v>41</v>
      </c>
      <c r="G1058" t="s">
        <v>390</v>
      </c>
      <c r="H1058" t="s">
        <v>1745</v>
      </c>
      <c r="I1058" t="s">
        <v>222</v>
      </c>
      <c r="J1058" t="s">
        <v>30</v>
      </c>
      <c r="K1058">
        <v>28</v>
      </c>
      <c r="L1058" t="s">
        <v>46</v>
      </c>
      <c r="M1058">
        <v>54</v>
      </c>
      <c r="N1058">
        <v>1</v>
      </c>
      <c r="O1058">
        <v>9165.02</v>
      </c>
      <c r="P1058" s="1">
        <v>45600.34107638889</v>
      </c>
      <c r="Q1058">
        <v>16</v>
      </c>
      <c r="R1058" t="s">
        <v>141</v>
      </c>
      <c r="S1058">
        <v>-0.79560461259980897</v>
      </c>
      <c r="T1058" t="b">
        <v>0</v>
      </c>
      <c r="U1058" t="b">
        <v>0</v>
      </c>
      <c r="V1058" t="b">
        <f t="shared" si="32"/>
        <v>1</v>
      </c>
      <c r="W1058">
        <v>0</v>
      </c>
      <c r="Y1058">
        <f t="shared" si="33"/>
        <v>0</v>
      </c>
    </row>
    <row r="1059" spans="1:25" x14ac:dyDescent="0.3">
      <c r="A1059" t="s">
        <v>2713</v>
      </c>
      <c r="B1059" t="s">
        <v>2714</v>
      </c>
      <c r="C1059">
        <v>83.07</v>
      </c>
      <c r="D1059" s="1">
        <v>44932.676307870373</v>
      </c>
      <c r="E1059" t="s">
        <v>25</v>
      </c>
      <c r="F1059" t="s">
        <v>185</v>
      </c>
      <c r="G1059" t="s">
        <v>539</v>
      </c>
      <c r="H1059" t="s">
        <v>1085</v>
      </c>
      <c r="I1059" t="s">
        <v>620</v>
      </c>
      <c r="J1059" t="s">
        <v>81</v>
      </c>
      <c r="K1059">
        <v>27</v>
      </c>
      <c r="L1059" t="s">
        <v>89</v>
      </c>
      <c r="M1059">
        <v>291</v>
      </c>
      <c r="N1059">
        <v>4</v>
      </c>
      <c r="O1059">
        <v>6704.76</v>
      </c>
      <c r="P1059" s="1">
        <v>45600.340763888889</v>
      </c>
      <c r="Q1059">
        <v>16</v>
      </c>
      <c r="R1059" t="s">
        <v>54</v>
      </c>
      <c r="S1059">
        <v>-0.73480574841730595</v>
      </c>
      <c r="T1059" t="b">
        <v>0</v>
      </c>
      <c r="U1059" t="b">
        <v>1</v>
      </c>
      <c r="V1059" t="b">
        <f t="shared" si="32"/>
        <v>1</v>
      </c>
      <c r="W1059">
        <v>1</v>
      </c>
      <c r="Y1059">
        <f t="shared" si="33"/>
        <v>0</v>
      </c>
    </row>
    <row r="1060" spans="1:25" x14ac:dyDescent="0.3">
      <c r="A1060" t="s">
        <v>2715</v>
      </c>
      <c r="B1060" t="s">
        <v>261</v>
      </c>
      <c r="C1060">
        <v>730.1</v>
      </c>
      <c r="D1060" s="1">
        <v>45132.753310185188</v>
      </c>
      <c r="E1060" t="s">
        <v>57</v>
      </c>
      <c r="F1060" t="s">
        <v>278</v>
      </c>
      <c r="G1060" t="s">
        <v>470</v>
      </c>
      <c r="H1060" t="s">
        <v>1956</v>
      </c>
      <c r="I1060" t="s">
        <v>213</v>
      </c>
      <c r="J1060" t="s">
        <v>81</v>
      </c>
      <c r="K1060">
        <v>77</v>
      </c>
      <c r="L1060" t="s">
        <v>82</v>
      </c>
      <c r="M1060">
        <v>93</v>
      </c>
      <c r="N1060">
        <v>1</v>
      </c>
      <c r="O1060">
        <v>6384.05</v>
      </c>
      <c r="P1060" s="1">
        <v>45600.338055555556</v>
      </c>
      <c r="Q1060">
        <v>18</v>
      </c>
      <c r="R1060" t="s">
        <v>32</v>
      </c>
      <c r="S1060">
        <v>1.48145842578016</v>
      </c>
      <c r="T1060" t="b">
        <v>0</v>
      </c>
      <c r="U1060" t="b">
        <v>0</v>
      </c>
      <c r="V1060" t="b">
        <f t="shared" si="32"/>
        <v>1</v>
      </c>
      <c r="W1060">
        <v>0</v>
      </c>
      <c r="Y1060">
        <f t="shared" si="33"/>
        <v>0</v>
      </c>
    </row>
    <row r="1061" spans="1:25" x14ac:dyDescent="0.3">
      <c r="A1061" t="s">
        <v>2716</v>
      </c>
      <c r="B1061" t="s">
        <v>1987</v>
      </c>
      <c r="C1061">
        <v>85.31</v>
      </c>
      <c r="D1061" s="1">
        <v>45271.67087962963</v>
      </c>
      <c r="E1061" t="s">
        <v>25</v>
      </c>
      <c r="F1061" t="s">
        <v>304</v>
      </c>
      <c r="G1061" t="s">
        <v>1148</v>
      </c>
      <c r="H1061" t="s">
        <v>596</v>
      </c>
      <c r="I1061" t="s">
        <v>73</v>
      </c>
      <c r="J1061" t="s">
        <v>30</v>
      </c>
      <c r="K1061">
        <v>62</v>
      </c>
      <c r="L1061" t="s">
        <v>82</v>
      </c>
      <c r="M1061">
        <v>27</v>
      </c>
      <c r="N1061">
        <v>1</v>
      </c>
      <c r="O1061">
        <v>6095.65</v>
      </c>
      <c r="P1061" s="1">
        <v>45600.339039351849</v>
      </c>
      <c r="Q1061">
        <v>16</v>
      </c>
      <c r="R1061" t="s">
        <v>47</v>
      </c>
      <c r="S1061">
        <v>-0.72713310302187995</v>
      </c>
      <c r="T1061" t="b">
        <v>0</v>
      </c>
      <c r="U1061" t="b">
        <v>0</v>
      </c>
      <c r="V1061" t="b">
        <f t="shared" si="32"/>
        <v>1</v>
      </c>
      <c r="W1061">
        <v>0</v>
      </c>
      <c r="Y1061">
        <f t="shared" si="33"/>
        <v>0</v>
      </c>
    </row>
    <row r="1062" spans="1:25" x14ac:dyDescent="0.3">
      <c r="A1062" t="s">
        <v>2717</v>
      </c>
      <c r="B1062" t="s">
        <v>1758</v>
      </c>
      <c r="C1062">
        <v>726.61</v>
      </c>
      <c r="D1062" s="1">
        <v>45233.688449074078</v>
      </c>
      <c r="E1062" t="s">
        <v>25</v>
      </c>
      <c r="F1062" t="s">
        <v>438</v>
      </c>
      <c r="G1062" t="s">
        <v>474</v>
      </c>
      <c r="H1062" t="s">
        <v>2718</v>
      </c>
      <c r="I1062" t="s">
        <v>440</v>
      </c>
      <c r="J1062" t="s">
        <v>30</v>
      </c>
      <c r="K1062">
        <v>18</v>
      </c>
      <c r="L1062" t="s">
        <v>46</v>
      </c>
      <c r="M1062">
        <v>277</v>
      </c>
      <c r="N1062">
        <v>1</v>
      </c>
      <c r="O1062">
        <v>1008.76</v>
      </c>
      <c r="P1062" s="1">
        <v>45600.340439814812</v>
      </c>
      <c r="Q1062">
        <v>16</v>
      </c>
      <c r="R1062" t="s">
        <v>54</v>
      </c>
      <c r="S1062">
        <v>1.4695041702310401</v>
      </c>
      <c r="T1062" t="b">
        <v>0</v>
      </c>
      <c r="U1062" t="b">
        <v>0</v>
      </c>
      <c r="V1062" t="b">
        <f t="shared" si="32"/>
        <v>1</v>
      </c>
      <c r="W1062">
        <v>0</v>
      </c>
      <c r="Y1062">
        <f t="shared" si="33"/>
        <v>0</v>
      </c>
    </row>
    <row r="1063" spans="1:25" x14ac:dyDescent="0.3">
      <c r="A1063" t="s">
        <v>2719</v>
      </c>
      <c r="B1063" t="s">
        <v>2720</v>
      </c>
      <c r="C1063">
        <v>130.4</v>
      </c>
      <c r="D1063" s="1">
        <v>45019.688564814816</v>
      </c>
      <c r="E1063" t="s">
        <v>25</v>
      </c>
      <c r="F1063" t="s">
        <v>50</v>
      </c>
      <c r="G1063" t="s">
        <v>1591</v>
      </c>
      <c r="H1063" t="s">
        <v>686</v>
      </c>
      <c r="I1063" t="s">
        <v>1222</v>
      </c>
      <c r="J1063" t="s">
        <v>81</v>
      </c>
      <c r="K1063">
        <v>45</v>
      </c>
      <c r="L1063" t="s">
        <v>89</v>
      </c>
      <c r="M1063">
        <v>63</v>
      </c>
      <c r="N1063">
        <v>1</v>
      </c>
      <c r="O1063">
        <v>4381.24</v>
      </c>
      <c r="P1063" s="1">
        <v>45600.340057870373</v>
      </c>
      <c r="Q1063">
        <v>16</v>
      </c>
      <c r="R1063" t="s">
        <v>47</v>
      </c>
      <c r="S1063">
        <v>-0.57268686155770698</v>
      </c>
      <c r="T1063" t="b">
        <v>0</v>
      </c>
      <c r="U1063" t="b">
        <v>0</v>
      </c>
      <c r="V1063" t="b">
        <f t="shared" si="32"/>
        <v>1</v>
      </c>
      <c r="W1063">
        <v>0</v>
      </c>
      <c r="Y1063">
        <f t="shared" si="33"/>
        <v>0</v>
      </c>
    </row>
    <row r="1064" spans="1:25" x14ac:dyDescent="0.3">
      <c r="A1064" t="s">
        <v>2721</v>
      </c>
      <c r="B1064" t="s">
        <v>335</v>
      </c>
      <c r="C1064">
        <v>68.099999999999994</v>
      </c>
      <c r="D1064" s="1">
        <v>44928.66673611111</v>
      </c>
      <c r="E1064" t="s">
        <v>25</v>
      </c>
      <c r="F1064" t="s">
        <v>191</v>
      </c>
      <c r="G1064" t="s">
        <v>42</v>
      </c>
      <c r="H1064" t="s">
        <v>1678</v>
      </c>
      <c r="I1064" t="s">
        <v>561</v>
      </c>
      <c r="J1064" t="s">
        <v>30</v>
      </c>
      <c r="K1064">
        <v>20</v>
      </c>
      <c r="L1064" t="s">
        <v>46</v>
      </c>
      <c r="M1064">
        <v>47</v>
      </c>
      <c r="N1064">
        <v>1</v>
      </c>
      <c r="O1064">
        <v>1382.8</v>
      </c>
      <c r="P1064" s="1">
        <v>45600.340451388889</v>
      </c>
      <c r="Q1064">
        <v>16</v>
      </c>
      <c r="R1064" t="s">
        <v>47</v>
      </c>
      <c r="S1064">
        <v>-0.78608231161798603</v>
      </c>
      <c r="T1064" t="b">
        <v>0</v>
      </c>
      <c r="U1064" t="b">
        <v>0</v>
      </c>
      <c r="V1064" t="b">
        <f t="shared" si="32"/>
        <v>1</v>
      </c>
      <c r="W1064">
        <v>0</v>
      </c>
      <c r="Y1064">
        <f t="shared" si="33"/>
        <v>0</v>
      </c>
    </row>
    <row r="1065" spans="1:25" x14ac:dyDescent="0.3">
      <c r="A1065" t="s">
        <v>2722</v>
      </c>
      <c r="B1065" t="s">
        <v>2723</v>
      </c>
      <c r="C1065">
        <v>65.260000000000005</v>
      </c>
      <c r="D1065" s="1">
        <v>45268.712210648147</v>
      </c>
      <c r="E1065" t="s">
        <v>25</v>
      </c>
      <c r="F1065" t="s">
        <v>298</v>
      </c>
      <c r="G1065" t="s">
        <v>595</v>
      </c>
      <c r="H1065" t="s">
        <v>274</v>
      </c>
      <c r="I1065" t="s">
        <v>620</v>
      </c>
      <c r="J1065" t="s">
        <v>81</v>
      </c>
      <c r="K1065">
        <v>26</v>
      </c>
      <c r="L1065" t="s">
        <v>46</v>
      </c>
      <c r="M1065">
        <v>72</v>
      </c>
      <c r="N1065">
        <v>1</v>
      </c>
      <c r="O1065">
        <v>7380.63</v>
      </c>
      <c r="P1065" s="1">
        <v>45600.340902777774</v>
      </c>
      <c r="Q1065">
        <v>17</v>
      </c>
      <c r="R1065" t="s">
        <v>54</v>
      </c>
      <c r="S1065">
        <v>-0.79581012988718702</v>
      </c>
      <c r="T1065" t="b">
        <v>0</v>
      </c>
      <c r="U1065" t="b">
        <v>0</v>
      </c>
      <c r="V1065" t="b">
        <f t="shared" si="32"/>
        <v>1</v>
      </c>
      <c r="W1065">
        <v>0</v>
      </c>
      <c r="Y1065">
        <f t="shared" si="33"/>
        <v>0</v>
      </c>
    </row>
    <row r="1066" spans="1:25" x14ac:dyDescent="0.3">
      <c r="A1066" t="s">
        <v>2724</v>
      </c>
      <c r="B1066" t="s">
        <v>1812</v>
      </c>
      <c r="C1066">
        <v>191.62</v>
      </c>
      <c r="D1066" s="1">
        <v>45135.722083333334</v>
      </c>
      <c r="E1066" t="s">
        <v>25</v>
      </c>
      <c r="F1066" t="s">
        <v>405</v>
      </c>
      <c r="G1066" t="s">
        <v>592</v>
      </c>
      <c r="H1066" t="s">
        <v>457</v>
      </c>
      <c r="I1066" t="s">
        <v>1823</v>
      </c>
      <c r="J1066" t="s">
        <v>81</v>
      </c>
      <c r="K1066">
        <v>63</v>
      </c>
      <c r="L1066" t="s">
        <v>31</v>
      </c>
      <c r="M1066">
        <v>51</v>
      </c>
      <c r="N1066">
        <v>1</v>
      </c>
      <c r="O1066">
        <v>1981.67</v>
      </c>
      <c r="P1066" s="1">
        <v>45600.338240740741</v>
      </c>
      <c r="Q1066">
        <v>17</v>
      </c>
      <c r="R1066" t="s">
        <v>54</v>
      </c>
      <c r="S1066">
        <v>-0.36299072267022098</v>
      </c>
      <c r="T1066" t="b">
        <v>0</v>
      </c>
      <c r="U1066" t="b">
        <v>0</v>
      </c>
      <c r="V1066" t="b">
        <f t="shared" si="32"/>
        <v>1</v>
      </c>
      <c r="W1066">
        <v>0</v>
      </c>
      <c r="Y1066">
        <f t="shared" si="33"/>
        <v>0</v>
      </c>
    </row>
    <row r="1067" spans="1:25" x14ac:dyDescent="0.3">
      <c r="A1067" t="s">
        <v>2725</v>
      </c>
      <c r="B1067" t="s">
        <v>180</v>
      </c>
      <c r="C1067">
        <v>212.88</v>
      </c>
      <c r="D1067" s="1">
        <v>45065.780821759261</v>
      </c>
      <c r="E1067" t="s">
        <v>25</v>
      </c>
      <c r="F1067" t="s">
        <v>571</v>
      </c>
      <c r="G1067" t="s">
        <v>592</v>
      </c>
      <c r="H1067" t="s">
        <v>916</v>
      </c>
      <c r="I1067" t="s">
        <v>632</v>
      </c>
      <c r="J1067" t="s">
        <v>45</v>
      </c>
      <c r="K1067">
        <v>39</v>
      </c>
      <c r="L1067" t="s">
        <v>31</v>
      </c>
      <c r="M1067">
        <v>122</v>
      </c>
      <c r="N1067">
        <v>1</v>
      </c>
      <c r="O1067">
        <v>7036.72</v>
      </c>
      <c r="P1067" s="1">
        <v>45600.34138888889</v>
      </c>
      <c r="Q1067">
        <v>18</v>
      </c>
      <c r="R1067" t="s">
        <v>54</v>
      </c>
      <c r="S1067">
        <v>-0.29016909717613598</v>
      </c>
      <c r="T1067" t="b">
        <v>0</v>
      </c>
      <c r="U1067" t="b">
        <v>0</v>
      </c>
      <c r="V1067" t="b">
        <f t="shared" si="32"/>
        <v>1</v>
      </c>
      <c r="W1067">
        <v>0</v>
      </c>
      <c r="Y1067">
        <f t="shared" si="33"/>
        <v>0</v>
      </c>
    </row>
    <row r="1068" spans="1:25" x14ac:dyDescent="0.3">
      <c r="A1068" t="s">
        <v>2726</v>
      </c>
      <c r="B1068" t="s">
        <v>2032</v>
      </c>
      <c r="C1068">
        <v>88.38</v>
      </c>
      <c r="D1068" s="1">
        <v>44943.673993055556</v>
      </c>
      <c r="E1068" t="s">
        <v>25</v>
      </c>
      <c r="F1068" t="s">
        <v>314</v>
      </c>
      <c r="G1068" t="s">
        <v>1888</v>
      </c>
      <c r="H1068" t="s">
        <v>2340</v>
      </c>
      <c r="I1068" t="s">
        <v>620</v>
      </c>
      <c r="J1068" t="s">
        <v>30</v>
      </c>
      <c r="K1068">
        <v>30</v>
      </c>
      <c r="L1068" t="s">
        <v>89</v>
      </c>
      <c r="M1068">
        <v>138</v>
      </c>
      <c r="N1068">
        <v>1</v>
      </c>
      <c r="O1068">
        <v>3707.82</v>
      </c>
      <c r="P1068" s="1">
        <v>45600.339050925926</v>
      </c>
      <c r="Q1068">
        <v>16</v>
      </c>
      <c r="R1068" t="s">
        <v>32</v>
      </c>
      <c r="S1068">
        <v>-0.716617468484399</v>
      </c>
      <c r="T1068" t="b">
        <v>0</v>
      </c>
      <c r="U1068" t="b">
        <v>0</v>
      </c>
      <c r="V1068" t="b">
        <f t="shared" si="32"/>
        <v>1</v>
      </c>
      <c r="W1068">
        <v>0</v>
      </c>
      <c r="Y1068">
        <f t="shared" si="33"/>
        <v>0</v>
      </c>
    </row>
    <row r="1069" spans="1:25" x14ac:dyDescent="0.3">
      <c r="A1069" t="s">
        <v>2727</v>
      </c>
      <c r="B1069" t="s">
        <v>1251</v>
      </c>
      <c r="C1069">
        <v>48.77</v>
      </c>
      <c r="D1069" s="1">
        <v>45092.742442129631</v>
      </c>
      <c r="E1069" t="s">
        <v>57</v>
      </c>
      <c r="F1069" t="s">
        <v>131</v>
      </c>
      <c r="G1069" t="s">
        <v>1423</v>
      </c>
      <c r="H1069" t="s">
        <v>2643</v>
      </c>
      <c r="I1069" t="s">
        <v>772</v>
      </c>
      <c r="J1069" t="s">
        <v>45</v>
      </c>
      <c r="K1069">
        <v>42</v>
      </c>
      <c r="L1069" t="s">
        <v>89</v>
      </c>
      <c r="M1069">
        <v>51</v>
      </c>
      <c r="N1069">
        <v>1</v>
      </c>
      <c r="O1069">
        <v>2040.16</v>
      </c>
      <c r="P1069" s="1">
        <v>45600.339131944442</v>
      </c>
      <c r="Q1069">
        <v>17</v>
      </c>
      <c r="R1069" t="s">
        <v>141</v>
      </c>
      <c r="S1069">
        <v>-0.85229313103476301</v>
      </c>
      <c r="T1069" t="b">
        <v>0</v>
      </c>
      <c r="U1069" t="b">
        <v>0</v>
      </c>
      <c r="V1069" t="b">
        <f t="shared" si="32"/>
        <v>1</v>
      </c>
      <c r="W1069">
        <v>0</v>
      </c>
      <c r="Y1069">
        <f t="shared" si="33"/>
        <v>0</v>
      </c>
    </row>
    <row r="1070" spans="1:25" x14ac:dyDescent="0.3">
      <c r="A1070" t="s">
        <v>2728</v>
      </c>
      <c r="B1070" t="s">
        <v>1807</v>
      </c>
      <c r="C1070">
        <v>289.10000000000002</v>
      </c>
      <c r="D1070" s="1">
        <v>45118.672858796293</v>
      </c>
      <c r="E1070" t="s">
        <v>25</v>
      </c>
      <c r="F1070" t="s">
        <v>210</v>
      </c>
      <c r="G1070" t="s">
        <v>1460</v>
      </c>
      <c r="H1070" t="s">
        <v>2359</v>
      </c>
      <c r="I1070" t="s">
        <v>344</v>
      </c>
      <c r="J1070" t="s">
        <v>30</v>
      </c>
      <c r="K1070">
        <v>27</v>
      </c>
      <c r="L1070" t="s">
        <v>46</v>
      </c>
      <c r="M1070">
        <v>206</v>
      </c>
      <c r="N1070">
        <v>1</v>
      </c>
      <c r="O1070">
        <v>267.52999999999997</v>
      </c>
      <c r="P1070" s="1">
        <v>45600.340208333335</v>
      </c>
      <c r="Q1070">
        <v>16</v>
      </c>
      <c r="R1070" t="s">
        <v>32</v>
      </c>
      <c r="S1070">
        <v>-2.9093636444281899E-2</v>
      </c>
      <c r="T1070" t="b">
        <v>0</v>
      </c>
      <c r="U1070" t="b">
        <v>0</v>
      </c>
      <c r="V1070" t="b">
        <f t="shared" si="32"/>
        <v>1</v>
      </c>
      <c r="W1070">
        <v>0</v>
      </c>
      <c r="Y1070">
        <f t="shared" si="33"/>
        <v>0</v>
      </c>
    </row>
    <row r="1071" spans="1:25" x14ac:dyDescent="0.3">
      <c r="A1071" t="s">
        <v>2729</v>
      </c>
      <c r="B1071" t="s">
        <v>2365</v>
      </c>
      <c r="C1071">
        <v>390.09</v>
      </c>
      <c r="D1071" s="1">
        <v>45208.703240740739</v>
      </c>
      <c r="E1071" t="s">
        <v>25</v>
      </c>
      <c r="F1071" t="s">
        <v>519</v>
      </c>
      <c r="G1071" t="s">
        <v>105</v>
      </c>
      <c r="H1071" t="s">
        <v>1810</v>
      </c>
      <c r="I1071" t="s">
        <v>112</v>
      </c>
      <c r="J1071" t="s">
        <v>45</v>
      </c>
      <c r="K1071">
        <v>26</v>
      </c>
      <c r="L1071" t="s">
        <v>89</v>
      </c>
      <c r="M1071">
        <v>49</v>
      </c>
      <c r="N1071">
        <v>1</v>
      </c>
      <c r="O1071">
        <v>2617.23</v>
      </c>
      <c r="P1071" s="1">
        <v>45600.340439814812</v>
      </c>
      <c r="Q1071">
        <v>16</v>
      </c>
      <c r="R1071" t="s">
        <v>47</v>
      </c>
      <c r="S1071">
        <v>0.31682621109324</v>
      </c>
      <c r="T1071" t="b">
        <v>0</v>
      </c>
      <c r="U1071" t="b">
        <v>0</v>
      </c>
      <c r="V1071" t="b">
        <f t="shared" si="32"/>
        <v>1</v>
      </c>
      <c r="W1071">
        <v>0</v>
      </c>
      <c r="Y1071">
        <f t="shared" si="33"/>
        <v>0</v>
      </c>
    </row>
    <row r="1072" spans="1:25" x14ac:dyDescent="0.3">
      <c r="A1072" t="s">
        <v>2730</v>
      </c>
      <c r="B1072" t="s">
        <v>905</v>
      </c>
      <c r="C1072">
        <v>48.29</v>
      </c>
      <c r="D1072" s="1">
        <v>45194.749236111114</v>
      </c>
      <c r="E1072" t="s">
        <v>25</v>
      </c>
      <c r="F1072" t="s">
        <v>26</v>
      </c>
      <c r="G1072" t="s">
        <v>406</v>
      </c>
      <c r="H1072" t="s">
        <v>2731</v>
      </c>
      <c r="I1072" t="s">
        <v>419</v>
      </c>
      <c r="J1072" t="s">
        <v>45</v>
      </c>
      <c r="K1072">
        <v>37</v>
      </c>
      <c r="L1072" t="s">
        <v>89</v>
      </c>
      <c r="M1072">
        <v>242</v>
      </c>
      <c r="N1072">
        <v>1</v>
      </c>
      <c r="O1072">
        <v>8883.4</v>
      </c>
      <c r="P1072" s="1">
        <v>45600.338842592595</v>
      </c>
      <c r="Q1072">
        <v>17</v>
      </c>
      <c r="R1072" t="s">
        <v>47</v>
      </c>
      <c r="S1072">
        <v>-0.853937269333783</v>
      </c>
      <c r="T1072" t="b">
        <v>0</v>
      </c>
      <c r="U1072" t="b">
        <v>0</v>
      </c>
      <c r="V1072" t="b">
        <f t="shared" si="32"/>
        <v>1</v>
      </c>
      <c r="W1072">
        <v>0</v>
      </c>
      <c r="Y1072">
        <f t="shared" si="33"/>
        <v>0</v>
      </c>
    </row>
    <row r="1073" spans="1:25" x14ac:dyDescent="0.3">
      <c r="A1073" t="s">
        <v>2732</v>
      </c>
      <c r="B1073" t="s">
        <v>2069</v>
      </c>
      <c r="C1073">
        <v>333.83</v>
      </c>
      <c r="D1073" s="1">
        <v>45138.740856481483</v>
      </c>
      <c r="E1073" t="s">
        <v>25</v>
      </c>
      <c r="F1073" t="s">
        <v>571</v>
      </c>
      <c r="G1073" t="s">
        <v>2518</v>
      </c>
      <c r="H1073" t="s">
        <v>675</v>
      </c>
      <c r="I1073" t="s">
        <v>361</v>
      </c>
      <c r="J1073" t="s">
        <v>30</v>
      </c>
      <c r="K1073">
        <v>63</v>
      </c>
      <c r="L1073" t="s">
        <v>82</v>
      </c>
      <c r="M1073">
        <v>135</v>
      </c>
      <c r="N1073">
        <v>1</v>
      </c>
      <c r="O1073">
        <v>1660.66</v>
      </c>
      <c r="P1073" s="1">
        <v>45600.341053240743</v>
      </c>
      <c r="Q1073">
        <v>17</v>
      </c>
      <c r="R1073" t="s">
        <v>47</v>
      </c>
      <c r="S1073">
        <v>0.124119501295626</v>
      </c>
      <c r="T1073" t="b">
        <v>0</v>
      </c>
      <c r="U1073" t="b">
        <v>0</v>
      </c>
      <c r="V1073" t="b">
        <f t="shared" si="32"/>
        <v>1</v>
      </c>
      <c r="W1073">
        <v>0</v>
      </c>
      <c r="Y1073">
        <f t="shared" si="33"/>
        <v>0</v>
      </c>
    </row>
    <row r="1074" spans="1:25" x14ac:dyDescent="0.3">
      <c r="A1074" t="s">
        <v>2733</v>
      </c>
      <c r="B1074" t="s">
        <v>1798</v>
      </c>
      <c r="C1074">
        <v>1074.29</v>
      </c>
      <c r="D1074" s="1">
        <v>44931.696689814817</v>
      </c>
      <c r="E1074" t="s">
        <v>25</v>
      </c>
      <c r="F1074" t="s">
        <v>608</v>
      </c>
      <c r="G1074" t="s">
        <v>2734</v>
      </c>
      <c r="H1074" t="s">
        <v>1085</v>
      </c>
      <c r="I1074" t="s">
        <v>440</v>
      </c>
      <c r="J1074" t="s">
        <v>81</v>
      </c>
      <c r="K1074">
        <v>67</v>
      </c>
      <c r="L1074" t="s">
        <v>82</v>
      </c>
      <c r="M1074">
        <v>79</v>
      </c>
      <c r="N1074">
        <v>1</v>
      </c>
      <c r="O1074">
        <v>2011.6</v>
      </c>
      <c r="P1074" s="1">
        <v>45600.341122685182</v>
      </c>
      <c r="Q1074">
        <v>16</v>
      </c>
      <c r="R1074" t="s">
        <v>141</v>
      </c>
      <c r="S1074">
        <v>2.66040834482106</v>
      </c>
      <c r="T1074" t="b">
        <v>1</v>
      </c>
      <c r="U1074" t="b">
        <v>0</v>
      </c>
      <c r="V1074" t="b">
        <f t="shared" si="32"/>
        <v>1</v>
      </c>
      <c r="W1074">
        <v>1</v>
      </c>
      <c r="Y1074">
        <f t="shared" si="33"/>
        <v>1</v>
      </c>
    </row>
    <row r="1075" spans="1:25" x14ac:dyDescent="0.3">
      <c r="A1075" t="s">
        <v>2735</v>
      </c>
      <c r="B1075" t="s">
        <v>711</v>
      </c>
      <c r="C1075">
        <v>100.27</v>
      </c>
      <c r="D1075" s="1">
        <v>45117.726168981484</v>
      </c>
      <c r="E1075" t="s">
        <v>25</v>
      </c>
      <c r="F1075" t="s">
        <v>185</v>
      </c>
      <c r="G1075" t="s">
        <v>2736</v>
      </c>
      <c r="H1075" t="s">
        <v>1792</v>
      </c>
      <c r="I1075" t="s">
        <v>427</v>
      </c>
      <c r="J1075" t="s">
        <v>45</v>
      </c>
      <c r="K1075">
        <v>79</v>
      </c>
      <c r="L1075" t="s">
        <v>82</v>
      </c>
      <c r="M1075">
        <v>51</v>
      </c>
      <c r="N1075">
        <v>1</v>
      </c>
      <c r="O1075">
        <v>4309.8999999999996</v>
      </c>
      <c r="P1075" s="1">
        <v>45600.340717592589</v>
      </c>
      <c r="Q1075">
        <v>17</v>
      </c>
      <c r="R1075" t="s">
        <v>47</v>
      </c>
      <c r="S1075">
        <v>-0.67589079270242902</v>
      </c>
      <c r="T1075" t="b">
        <v>0</v>
      </c>
      <c r="U1075" t="b">
        <v>0</v>
      </c>
      <c r="V1075" t="b">
        <f t="shared" si="32"/>
        <v>1</v>
      </c>
      <c r="W1075">
        <v>0</v>
      </c>
      <c r="Y1075">
        <f t="shared" si="33"/>
        <v>0</v>
      </c>
    </row>
    <row r="1076" spans="1:25" x14ac:dyDescent="0.3">
      <c r="A1076" t="s">
        <v>2737</v>
      </c>
      <c r="B1076" t="s">
        <v>1251</v>
      </c>
      <c r="C1076">
        <v>44.54</v>
      </c>
      <c r="D1076" s="1">
        <v>45215.683310185188</v>
      </c>
      <c r="E1076" t="s">
        <v>25</v>
      </c>
      <c r="F1076" t="s">
        <v>250</v>
      </c>
      <c r="G1076" t="s">
        <v>186</v>
      </c>
      <c r="H1076" t="s">
        <v>2738</v>
      </c>
      <c r="I1076" t="s">
        <v>134</v>
      </c>
      <c r="J1076" t="s">
        <v>30</v>
      </c>
      <c r="K1076">
        <v>31</v>
      </c>
      <c r="L1076" t="s">
        <v>89</v>
      </c>
      <c r="M1076">
        <v>164</v>
      </c>
      <c r="N1076">
        <v>1</v>
      </c>
      <c r="O1076">
        <v>362.4</v>
      </c>
      <c r="P1076" s="1">
        <v>45600.338877314818</v>
      </c>
      <c r="Q1076">
        <v>16</v>
      </c>
      <c r="R1076" t="s">
        <v>47</v>
      </c>
      <c r="S1076">
        <v>-0.86678209979487497</v>
      </c>
      <c r="T1076" t="b">
        <v>0</v>
      </c>
      <c r="U1076" t="b">
        <v>0</v>
      </c>
      <c r="V1076" t="b">
        <f t="shared" si="32"/>
        <v>1</v>
      </c>
      <c r="W1076">
        <v>0</v>
      </c>
      <c r="Y1076">
        <f t="shared" si="33"/>
        <v>0</v>
      </c>
    </row>
    <row r="1077" spans="1:25" x14ac:dyDescent="0.3">
      <c r="A1077" t="s">
        <v>2739</v>
      </c>
      <c r="B1077" t="s">
        <v>1940</v>
      </c>
      <c r="C1077">
        <v>1156.18</v>
      </c>
      <c r="D1077" s="1">
        <v>45190.674849537034</v>
      </c>
      <c r="E1077" t="s">
        <v>57</v>
      </c>
      <c r="F1077" t="s">
        <v>438</v>
      </c>
      <c r="G1077" t="s">
        <v>869</v>
      </c>
      <c r="H1077" t="s">
        <v>2740</v>
      </c>
      <c r="I1077" t="s">
        <v>67</v>
      </c>
      <c r="J1077" t="s">
        <v>45</v>
      </c>
      <c r="K1077">
        <v>52</v>
      </c>
      <c r="L1077" t="s">
        <v>31</v>
      </c>
      <c r="M1077">
        <v>40</v>
      </c>
      <c r="N1077">
        <v>1</v>
      </c>
      <c r="O1077">
        <v>836.69</v>
      </c>
      <c r="P1077" s="1">
        <v>45600.341400462959</v>
      </c>
      <c r="Q1077">
        <v>16</v>
      </c>
      <c r="R1077" t="s">
        <v>141</v>
      </c>
      <c r="S1077">
        <v>2.9409051892100799</v>
      </c>
      <c r="T1077" t="b">
        <v>1</v>
      </c>
      <c r="U1077" t="b">
        <v>0</v>
      </c>
      <c r="V1077" t="b">
        <f t="shared" si="32"/>
        <v>1</v>
      </c>
      <c r="W1077">
        <v>1</v>
      </c>
      <c r="Y1077">
        <f t="shared" si="33"/>
        <v>1</v>
      </c>
    </row>
    <row r="1078" spans="1:25" x14ac:dyDescent="0.3">
      <c r="A1078" t="s">
        <v>2741</v>
      </c>
      <c r="B1078" t="s">
        <v>981</v>
      </c>
      <c r="C1078">
        <v>82.17</v>
      </c>
      <c r="D1078" s="1">
        <v>45278.767418981479</v>
      </c>
      <c r="E1078" t="s">
        <v>25</v>
      </c>
      <c r="F1078" t="s">
        <v>170</v>
      </c>
      <c r="G1078" t="s">
        <v>1965</v>
      </c>
      <c r="H1078" t="s">
        <v>2742</v>
      </c>
      <c r="I1078" t="s">
        <v>1300</v>
      </c>
      <c r="J1078" t="s">
        <v>81</v>
      </c>
      <c r="K1078">
        <v>28</v>
      </c>
      <c r="L1078" t="s">
        <v>46</v>
      </c>
      <c r="M1078">
        <v>21</v>
      </c>
      <c r="N1078">
        <v>1</v>
      </c>
      <c r="O1078">
        <v>1913.06</v>
      </c>
      <c r="P1078" s="1">
        <v>45600.340011574073</v>
      </c>
      <c r="Q1078">
        <v>18</v>
      </c>
      <c r="R1078" t="s">
        <v>47</v>
      </c>
      <c r="S1078">
        <v>-0.73788850772796799</v>
      </c>
      <c r="T1078" t="b">
        <v>0</v>
      </c>
      <c r="U1078" t="b">
        <v>0</v>
      </c>
      <c r="V1078" t="b">
        <f t="shared" si="32"/>
        <v>1</v>
      </c>
      <c r="W1078">
        <v>0</v>
      </c>
      <c r="Y1078">
        <f t="shared" si="33"/>
        <v>0</v>
      </c>
    </row>
    <row r="1079" spans="1:25" x14ac:dyDescent="0.3">
      <c r="A1079" t="s">
        <v>2743</v>
      </c>
      <c r="B1079" t="s">
        <v>769</v>
      </c>
      <c r="C1079">
        <v>1045.45</v>
      </c>
      <c r="D1079" s="1">
        <v>45229.698460648149</v>
      </c>
      <c r="E1079" t="s">
        <v>25</v>
      </c>
      <c r="F1079" t="s">
        <v>210</v>
      </c>
      <c r="G1079" t="s">
        <v>2136</v>
      </c>
      <c r="H1079" t="s">
        <v>1480</v>
      </c>
      <c r="I1079" t="s">
        <v>321</v>
      </c>
      <c r="J1079" t="s">
        <v>45</v>
      </c>
      <c r="K1079">
        <v>19</v>
      </c>
      <c r="L1079" t="s">
        <v>46</v>
      </c>
      <c r="M1079">
        <v>150</v>
      </c>
      <c r="N1079">
        <v>1</v>
      </c>
      <c r="O1079">
        <v>563.46</v>
      </c>
      <c r="P1079" s="1">
        <v>45600.34165509259</v>
      </c>
      <c r="Q1079">
        <v>16</v>
      </c>
      <c r="R1079" t="s">
        <v>47</v>
      </c>
      <c r="S1079">
        <v>2.5616230353549501</v>
      </c>
      <c r="T1079" t="b">
        <v>1</v>
      </c>
      <c r="U1079" t="b">
        <v>0</v>
      </c>
      <c r="V1079" t="b">
        <f t="shared" si="32"/>
        <v>1</v>
      </c>
      <c r="W1079">
        <v>1</v>
      </c>
      <c r="Y1079">
        <f t="shared" si="33"/>
        <v>1</v>
      </c>
    </row>
    <row r="1080" spans="1:25" x14ac:dyDescent="0.3">
      <c r="A1080" t="s">
        <v>2744</v>
      </c>
      <c r="B1080" t="s">
        <v>762</v>
      </c>
      <c r="C1080">
        <v>447.42</v>
      </c>
      <c r="D1080" s="1">
        <v>45278.68953703704</v>
      </c>
      <c r="E1080" t="s">
        <v>25</v>
      </c>
      <c r="F1080" t="s">
        <v>262</v>
      </c>
      <c r="G1080" t="s">
        <v>2711</v>
      </c>
      <c r="H1080" t="s">
        <v>100</v>
      </c>
      <c r="I1080" t="s">
        <v>695</v>
      </c>
      <c r="J1080" t="s">
        <v>45</v>
      </c>
      <c r="K1080">
        <v>32</v>
      </c>
      <c r="L1080" t="s">
        <v>89</v>
      </c>
      <c r="M1080">
        <v>65</v>
      </c>
      <c r="N1080">
        <v>1</v>
      </c>
      <c r="O1080">
        <v>6133.22</v>
      </c>
      <c r="P1080" s="1">
        <v>45600.339062500003</v>
      </c>
      <c r="Q1080">
        <v>16</v>
      </c>
      <c r="R1080" t="s">
        <v>47</v>
      </c>
      <c r="S1080">
        <v>0.51319797918241805</v>
      </c>
      <c r="T1080" t="b">
        <v>0</v>
      </c>
      <c r="U1080" t="b">
        <v>0</v>
      </c>
      <c r="V1080" t="b">
        <f t="shared" si="32"/>
        <v>1</v>
      </c>
      <c r="W1080">
        <v>0</v>
      </c>
      <c r="Y1080">
        <f t="shared" si="33"/>
        <v>0</v>
      </c>
    </row>
    <row r="1081" spans="1:25" x14ac:dyDescent="0.3">
      <c r="A1081" t="s">
        <v>2745</v>
      </c>
      <c r="B1081" t="s">
        <v>1070</v>
      </c>
      <c r="C1081">
        <v>590.26</v>
      </c>
      <c r="D1081" s="1">
        <v>45096.681018518517</v>
      </c>
      <c r="E1081" t="s">
        <v>57</v>
      </c>
      <c r="F1081" t="s">
        <v>131</v>
      </c>
      <c r="G1081" t="s">
        <v>988</v>
      </c>
      <c r="H1081" t="s">
        <v>1055</v>
      </c>
      <c r="I1081" t="s">
        <v>561</v>
      </c>
      <c r="J1081" t="s">
        <v>81</v>
      </c>
      <c r="K1081">
        <v>25</v>
      </c>
      <c r="L1081" t="s">
        <v>46</v>
      </c>
      <c r="M1081">
        <v>48</v>
      </c>
      <c r="N1081">
        <v>1</v>
      </c>
      <c r="O1081">
        <v>1068.28</v>
      </c>
      <c r="P1081" s="1">
        <v>45600.339375000003</v>
      </c>
      <c r="Q1081">
        <v>16</v>
      </c>
      <c r="R1081" t="s">
        <v>47</v>
      </c>
      <c r="S1081">
        <v>1.00246613466573</v>
      </c>
      <c r="T1081" t="b">
        <v>0</v>
      </c>
      <c r="U1081" t="b">
        <v>0</v>
      </c>
      <c r="V1081" t="b">
        <f t="shared" si="32"/>
        <v>1</v>
      </c>
      <c r="W1081">
        <v>0</v>
      </c>
      <c r="Y1081">
        <f t="shared" si="33"/>
        <v>0</v>
      </c>
    </row>
    <row r="1082" spans="1:25" x14ac:dyDescent="0.3">
      <c r="A1082" t="s">
        <v>2746</v>
      </c>
      <c r="B1082" t="s">
        <v>2162</v>
      </c>
      <c r="C1082">
        <v>192.73</v>
      </c>
      <c r="D1082" s="1">
        <v>45215.702372685184</v>
      </c>
      <c r="E1082" t="s">
        <v>25</v>
      </c>
      <c r="F1082" t="s">
        <v>191</v>
      </c>
      <c r="G1082" t="s">
        <v>1336</v>
      </c>
      <c r="H1082" t="s">
        <v>2078</v>
      </c>
      <c r="I1082" t="s">
        <v>1575</v>
      </c>
      <c r="J1082" t="s">
        <v>81</v>
      </c>
      <c r="K1082">
        <v>71</v>
      </c>
      <c r="L1082" t="s">
        <v>82</v>
      </c>
      <c r="M1082">
        <v>157</v>
      </c>
      <c r="N1082">
        <v>1</v>
      </c>
      <c r="O1082">
        <v>2037.75</v>
      </c>
      <c r="P1082" s="1">
        <v>45600.341423611113</v>
      </c>
      <c r="Q1082">
        <v>16</v>
      </c>
      <c r="R1082" t="s">
        <v>47</v>
      </c>
      <c r="S1082">
        <v>-0.35918865285373802</v>
      </c>
      <c r="T1082" t="b">
        <v>0</v>
      </c>
      <c r="U1082" t="b">
        <v>0</v>
      </c>
      <c r="V1082" t="b">
        <f t="shared" si="32"/>
        <v>1</v>
      </c>
      <c r="W1082">
        <v>0</v>
      </c>
      <c r="Y1082">
        <f t="shared" si="33"/>
        <v>0</v>
      </c>
    </row>
    <row r="1083" spans="1:25" x14ac:dyDescent="0.3">
      <c r="A1083" t="s">
        <v>2747</v>
      </c>
      <c r="B1083" t="s">
        <v>1234</v>
      </c>
      <c r="C1083">
        <v>146.01</v>
      </c>
      <c r="D1083" s="1">
        <v>45041.686516203707</v>
      </c>
      <c r="E1083" t="s">
        <v>25</v>
      </c>
      <c r="F1083" t="s">
        <v>225</v>
      </c>
      <c r="G1083" t="s">
        <v>1142</v>
      </c>
      <c r="H1083" t="s">
        <v>1379</v>
      </c>
      <c r="I1083" t="s">
        <v>123</v>
      </c>
      <c r="J1083" t="s">
        <v>45</v>
      </c>
      <c r="K1083">
        <v>26</v>
      </c>
      <c r="L1083" t="s">
        <v>46</v>
      </c>
      <c r="M1083">
        <v>269</v>
      </c>
      <c r="N1083">
        <v>1</v>
      </c>
      <c r="O1083">
        <v>221.79</v>
      </c>
      <c r="P1083" s="1">
        <v>45600.340196759258</v>
      </c>
      <c r="Q1083">
        <v>16</v>
      </c>
      <c r="R1083" t="s">
        <v>32</v>
      </c>
      <c r="S1083">
        <v>-0.51921811395833295</v>
      </c>
      <c r="T1083" t="b">
        <v>0</v>
      </c>
      <c r="U1083" t="b">
        <v>0</v>
      </c>
      <c r="V1083" t="b">
        <f t="shared" si="32"/>
        <v>1</v>
      </c>
      <c r="W1083">
        <v>0</v>
      </c>
      <c r="Y1083">
        <f t="shared" si="33"/>
        <v>0</v>
      </c>
    </row>
    <row r="1084" spans="1:25" x14ac:dyDescent="0.3">
      <c r="A1084" t="s">
        <v>2748</v>
      </c>
      <c r="B1084" t="s">
        <v>1234</v>
      </c>
      <c r="C1084">
        <v>136.05000000000001</v>
      </c>
      <c r="D1084" s="1">
        <v>44949.680150462962</v>
      </c>
      <c r="E1084" t="s">
        <v>25</v>
      </c>
      <c r="F1084" t="s">
        <v>58</v>
      </c>
      <c r="G1084" t="s">
        <v>1904</v>
      </c>
      <c r="H1084" t="s">
        <v>2318</v>
      </c>
      <c r="I1084" t="s">
        <v>1537</v>
      </c>
      <c r="J1084" t="s">
        <v>45</v>
      </c>
      <c r="K1084">
        <v>24</v>
      </c>
      <c r="L1084" t="s">
        <v>46</v>
      </c>
      <c r="M1084">
        <v>63</v>
      </c>
      <c r="N1084">
        <v>3</v>
      </c>
      <c r="O1084">
        <v>1127.54</v>
      </c>
      <c r="P1084" s="1">
        <v>45600.341666666667</v>
      </c>
      <c r="Q1084">
        <v>16</v>
      </c>
      <c r="R1084" t="s">
        <v>47</v>
      </c>
      <c r="S1084">
        <v>-0.55333398366299402</v>
      </c>
      <c r="T1084" t="b">
        <v>0</v>
      </c>
      <c r="U1084" t="b">
        <v>1</v>
      </c>
      <c r="V1084" t="b">
        <f t="shared" si="32"/>
        <v>1</v>
      </c>
      <c r="W1084">
        <v>1</v>
      </c>
      <c r="Y1084">
        <f t="shared" si="33"/>
        <v>0</v>
      </c>
    </row>
    <row r="1085" spans="1:25" x14ac:dyDescent="0.3">
      <c r="A1085" t="s">
        <v>2749</v>
      </c>
      <c r="B1085" t="s">
        <v>1815</v>
      </c>
      <c r="C1085">
        <v>11.57</v>
      </c>
      <c r="D1085" s="1">
        <v>45280.678657407407</v>
      </c>
      <c r="E1085" t="s">
        <v>57</v>
      </c>
      <c r="F1085" t="s">
        <v>216</v>
      </c>
      <c r="G1085" t="s">
        <v>2750</v>
      </c>
      <c r="H1085" t="s">
        <v>2751</v>
      </c>
      <c r="I1085" t="s">
        <v>993</v>
      </c>
      <c r="J1085" t="s">
        <v>81</v>
      </c>
      <c r="K1085">
        <v>56</v>
      </c>
      <c r="L1085" t="s">
        <v>82</v>
      </c>
      <c r="M1085">
        <v>64</v>
      </c>
      <c r="N1085">
        <v>1</v>
      </c>
      <c r="O1085">
        <v>2061.61</v>
      </c>
      <c r="P1085" s="1">
        <v>45600.340925925928</v>
      </c>
      <c r="Q1085">
        <v>16</v>
      </c>
      <c r="R1085" t="s">
        <v>74</v>
      </c>
      <c r="S1085">
        <v>-0.979713849208798</v>
      </c>
      <c r="T1085" t="b">
        <v>0</v>
      </c>
      <c r="U1085" t="b">
        <v>0</v>
      </c>
      <c r="V1085" t="b">
        <f t="shared" si="32"/>
        <v>1</v>
      </c>
      <c r="W1085">
        <v>0</v>
      </c>
      <c r="Y1085">
        <f t="shared" si="33"/>
        <v>0</v>
      </c>
    </row>
    <row r="1086" spans="1:25" x14ac:dyDescent="0.3">
      <c r="A1086" t="s">
        <v>2752</v>
      </c>
      <c r="B1086" t="s">
        <v>2011</v>
      </c>
      <c r="C1086">
        <v>102.34</v>
      </c>
      <c r="D1086" s="1">
        <v>45064.680300925924</v>
      </c>
      <c r="E1086" t="s">
        <v>25</v>
      </c>
      <c r="F1086" t="s">
        <v>250</v>
      </c>
      <c r="G1086" t="s">
        <v>2617</v>
      </c>
      <c r="H1086" t="s">
        <v>2540</v>
      </c>
      <c r="I1086" t="s">
        <v>605</v>
      </c>
      <c r="J1086" t="s">
        <v>45</v>
      </c>
      <c r="K1086">
        <v>51</v>
      </c>
      <c r="L1086" t="s">
        <v>31</v>
      </c>
      <c r="M1086">
        <v>78</v>
      </c>
      <c r="N1086">
        <v>1</v>
      </c>
      <c r="O1086">
        <v>9326.2800000000007</v>
      </c>
      <c r="P1086" s="1">
        <v>45600.34</v>
      </c>
      <c r="Q1086">
        <v>16</v>
      </c>
      <c r="R1086" t="s">
        <v>141</v>
      </c>
      <c r="S1086">
        <v>-0.66880044628790603</v>
      </c>
      <c r="T1086" t="b">
        <v>0</v>
      </c>
      <c r="U1086" t="b">
        <v>0</v>
      </c>
      <c r="V1086" t="b">
        <f t="shared" si="32"/>
        <v>1</v>
      </c>
      <c r="W1086">
        <v>0</v>
      </c>
      <c r="Y1086">
        <f t="shared" si="33"/>
        <v>0</v>
      </c>
    </row>
    <row r="1087" spans="1:25" x14ac:dyDescent="0.3">
      <c r="A1087" t="s">
        <v>2753</v>
      </c>
      <c r="B1087" t="s">
        <v>550</v>
      </c>
      <c r="C1087">
        <v>7.82</v>
      </c>
      <c r="D1087" s="1">
        <v>44935.747569444444</v>
      </c>
      <c r="E1087" t="s">
        <v>25</v>
      </c>
      <c r="F1087" t="s">
        <v>401</v>
      </c>
      <c r="G1087" t="s">
        <v>2518</v>
      </c>
      <c r="H1087" t="s">
        <v>2740</v>
      </c>
      <c r="I1087" t="s">
        <v>290</v>
      </c>
      <c r="J1087" t="s">
        <v>30</v>
      </c>
      <c r="K1087">
        <v>36</v>
      </c>
      <c r="L1087" t="s">
        <v>89</v>
      </c>
      <c r="M1087">
        <v>273</v>
      </c>
      <c r="N1087">
        <v>1</v>
      </c>
      <c r="O1087">
        <v>2240.4899999999998</v>
      </c>
      <c r="P1087" s="1">
        <v>45600.339988425927</v>
      </c>
      <c r="Q1087">
        <v>17</v>
      </c>
      <c r="R1087" t="s">
        <v>47</v>
      </c>
      <c r="S1087">
        <v>-0.99255867966989098</v>
      </c>
      <c r="T1087" t="b">
        <v>0</v>
      </c>
      <c r="U1087" t="b">
        <v>0</v>
      </c>
      <c r="V1087" t="b">
        <f t="shared" si="32"/>
        <v>1</v>
      </c>
      <c r="W1087">
        <v>0</v>
      </c>
      <c r="Y1087">
        <f t="shared" si="33"/>
        <v>0</v>
      </c>
    </row>
    <row r="1088" spans="1:25" x14ac:dyDescent="0.3">
      <c r="A1088" t="s">
        <v>2754</v>
      </c>
      <c r="B1088" t="s">
        <v>670</v>
      </c>
      <c r="C1088">
        <v>79.430000000000007</v>
      </c>
      <c r="D1088" s="1">
        <v>45131.729444444441</v>
      </c>
      <c r="E1088" t="s">
        <v>25</v>
      </c>
      <c r="F1088" t="s">
        <v>336</v>
      </c>
      <c r="G1088" t="s">
        <v>1922</v>
      </c>
      <c r="H1088" t="s">
        <v>565</v>
      </c>
      <c r="I1088" t="s">
        <v>44</v>
      </c>
      <c r="J1088" t="s">
        <v>30</v>
      </c>
      <c r="K1088">
        <v>74</v>
      </c>
      <c r="L1088" t="s">
        <v>82</v>
      </c>
      <c r="M1088">
        <v>72</v>
      </c>
      <c r="N1088">
        <v>1</v>
      </c>
      <c r="O1088">
        <v>6579.37</v>
      </c>
      <c r="P1088" s="1">
        <v>45600.338622685187</v>
      </c>
      <c r="Q1088">
        <v>17</v>
      </c>
      <c r="R1088" t="s">
        <v>47</v>
      </c>
      <c r="S1088">
        <v>-0.74727379718487297</v>
      </c>
      <c r="T1088" t="b">
        <v>0</v>
      </c>
      <c r="U1088" t="b">
        <v>0</v>
      </c>
      <c r="V1088" t="b">
        <f t="shared" si="32"/>
        <v>1</v>
      </c>
      <c r="W1088">
        <v>0</v>
      </c>
      <c r="Y1088">
        <f t="shared" si="33"/>
        <v>0</v>
      </c>
    </row>
    <row r="1089" spans="1:25" x14ac:dyDescent="0.3">
      <c r="A1089" t="s">
        <v>2755</v>
      </c>
      <c r="B1089" t="s">
        <v>2096</v>
      </c>
      <c r="C1089">
        <v>386.97</v>
      </c>
      <c r="D1089" s="1">
        <v>44957.702719907407</v>
      </c>
      <c r="E1089" t="s">
        <v>25</v>
      </c>
      <c r="F1089" t="s">
        <v>50</v>
      </c>
      <c r="G1089" t="s">
        <v>2756</v>
      </c>
      <c r="H1089" t="s">
        <v>992</v>
      </c>
      <c r="I1089" t="s">
        <v>647</v>
      </c>
      <c r="J1089" t="s">
        <v>81</v>
      </c>
      <c r="K1089">
        <v>58</v>
      </c>
      <c r="L1089" t="s">
        <v>82</v>
      </c>
      <c r="M1089">
        <v>137</v>
      </c>
      <c r="N1089">
        <v>1</v>
      </c>
      <c r="O1089">
        <v>1876.35</v>
      </c>
      <c r="P1089" s="1">
        <v>45600.337777777779</v>
      </c>
      <c r="Q1089">
        <v>16</v>
      </c>
      <c r="R1089" t="s">
        <v>32</v>
      </c>
      <c r="S1089">
        <v>0.30613931214961099</v>
      </c>
      <c r="T1089" t="b">
        <v>0</v>
      </c>
      <c r="U1089" t="b">
        <v>0</v>
      </c>
      <c r="V1089" t="b">
        <f t="shared" si="32"/>
        <v>1</v>
      </c>
      <c r="W1089">
        <v>0</v>
      </c>
      <c r="Y1089">
        <f t="shared" si="33"/>
        <v>0</v>
      </c>
    </row>
    <row r="1090" spans="1:25" x14ac:dyDescent="0.3">
      <c r="A1090" t="s">
        <v>2757</v>
      </c>
      <c r="B1090" t="s">
        <v>1127</v>
      </c>
      <c r="C1090">
        <v>51.22</v>
      </c>
      <c r="D1090" s="1">
        <v>45106.674398148149</v>
      </c>
      <c r="E1090" t="s">
        <v>25</v>
      </c>
      <c r="F1090" t="s">
        <v>571</v>
      </c>
      <c r="G1090" t="s">
        <v>1482</v>
      </c>
      <c r="H1090" t="s">
        <v>243</v>
      </c>
      <c r="I1090" t="s">
        <v>156</v>
      </c>
      <c r="J1090" t="s">
        <v>81</v>
      </c>
      <c r="K1090">
        <v>23</v>
      </c>
      <c r="L1090" t="s">
        <v>46</v>
      </c>
      <c r="M1090">
        <v>82</v>
      </c>
      <c r="N1090">
        <v>1</v>
      </c>
      <c r="O1090">
        <v>1664.59</v>
      </c>
      <c r="P1090" s="1">
        <v>45600.340358796297</v>
      </c>
      <c r="Q1090">
        <v>16</v>
      </c>
      <c r="R1090" t="s">
        <v>141</v>
      </c>
      <c r="S1090">
        <v>-0.84390117513351603</v>
      </c>
      <c r="T1090" t="b">
        <v>0</v>
      </c>
      <c r="U1090" t="b">
        <v>0</v>
      </c>
      <c r="V1090" t="b">
        <f t="shared" si="32"/>
        <v>1</v>
      </c>
      <c r="W1090">
        <v>0</v>
      </c>
      <c r="Y1090">
        <f t="shared" si="33"/>
        <v>0</v>
      </c>
    </row>
    <row r="1091" spans="1:25" x14ac:dyDescent="0.3">
      <c r="A1091" t="s">
        <v>2758</v>
      </c>
      <c r="B1091" t="s">
        <v>546</v>
      </c>
      <c r="C1091">
        <v>256.05</v>
      </c>
      <c r="D1091" s="1">
        <v>45084.685324074075</v>
      </c>
      <c r="E1091" t="s">
        <v>25</v>
      </c>
      <c r="F1091" t="s">
        <v>92</v>
      </c>
      <c r="G1091" t="s">
        <v>299</v>
      </c>
      <c r="H1091" t="s">
        <v>1354</v>
      </c>
      <c r="I1091" t="s">
        <v>44</v>
      </c>
      <c r="J1091" t="s">
        <v>30</v>
      </c>
      <c r="K1091">
        <v>54</v>
      </c>
      <c r="L1091" t="s">
        <v>82</v>
      </c>
      <c r="M1091">
        <v>35</v>
      </c>
      <c r="N1091">
        <v>1</v>
      </c>
      <c r="O1091">
        <v>6910.18</v>
      </c>
      <c r="P1091" s="1">
        <v>45600.341504629629</v>
      </c>
      <c r="Q1091">
        <v>16</v>
      </c>
      <c r="R1091" t="s">
        <v>74</v>
      </c>
      <c r="S1091">
        <v>-0.14229940890804099</v>
      </c>
      <c r="T1091" t="b">
        <v>0</v>
      </c>
      <c r="U1091" t="b">
        <v>0</v>
      </c>
      <c r="V1091" t="b">
        <f t="shared" ref="V1091:V1154" si="34">ISLOGICAL(T1091)</f>
        <v>1</v>
      </c>
      <c r="W1091">
        <v>0</v>
      </c>
      <c r="Y1091">
        <f t="shared" ref="Y1091:Y1154" si="35">--T1091</f>
        <v>0</v>
      </c>
    </row>
    <row r="1092" spans="1:25" x14ac:dyDescent="0.3">
      <c r="A1092" t="s">
        <v>2759</v>
      </c>
      <c r="B1092" t="s">
        <v>1253</v>
      </c>
      <c r="C1092">
        <v>7.79</v>
      </c>
      <c r="D1092" s="1">
        <v>45093.731423611112</v>
      </c>
      <c r="E1092" t="s">
        <v>25</v>
      </c>
      <c r="F1092" t="s">
        <v>153</v>
      </c>
      <c r="G1092" t="s">
        <v>952</v>
      </c>
      <c r="H1092" t="s">
        <v>2731</v>
      </c>
      <c r="I1092" t="s">
        <v>361</v>
      </c>
      <c r="J1092" t="s">
        <v>81</v>
      </c>
      <c r="K1092">
        <v>34</v>
      </c>
      <c r="L1092" t="s">
        <v>31</v>
      </c>
      <c r="M1092">
        <v>298</v>
      </c>
      <c r="N1092">
        <v>1</v>
      </c>
      <c r="O1092">
        <v>1319.85</v>
      </c>
      <c r="P1092" s="1">
        <v>45600.339756944442</v>
      </c>
      <c r="Q1092">
        <v>17</v>
      </c>
      <c r="R1092" t="s">
        <v>54</v>
      </c>
      <c r="S1092">
        <v>-0.992661438313579</v>
      </c>
      <c r="T1092" t="b">
        <v>0</v>
      </c>
      <c r="U1092" t="b">
        <v>0</v>
      </c>
      <c r="V1092" t="b">
        <f t="shared" si="34"/>
        <v>1</v>
      </c>
      <c r="W1092">
        <v>0</v>
      </c>
      <c r="Y1092">
        <f t="shared" si="35"/>
        <v>0</v>
      </c>
    </row>
    <row r="1093" spans="1:25" x14ac:dyDescent="0.3">
      <c r="A1093" t="s">
        <v>2760</v>
      </c>
      <c r="B1093" t="s">
        <v>762</v>
      </c>
      <c r="C1093">
        <v>233.71</v>
      </c>
      <c r="D1093" s="1">
        <v>45202.713148148148</v>
      </c>
      <c r="E1093" t="s">
        <v>25</v>
      </c>
      <c r="F1093" t="s">
        <v>120</v>
      </c>
      <c r="G1093" t="s">
        <v>1110</v>
      </c>
      <c r="H1093" t="s">
        <v>207</v>
      </c>
      <c r="I1093" t="s">
        <v>101</v>
      </c>
      <c r="J1093" t="s">
        <v>81</v>
      </c>
      <c r="K1093">
        <v>63</v>
      </c>
      <c r="L1093" t="s">
        <v>31</v>
      </c>
      <c r="M1093">
        <v>11</v>
      </c>
      <c r="N1093">
        <v>1</v>
      </c>
      <c r="O1093">
        <v>6095.5</v>
      </c>
      <c r="P1093" s="1">
        <v>45600.339444444442</v>
      </c>
      <c r="Q1093">
        <v>17</v>
      </c>
      <c r="R1093" t="s">
        <v>32</v>
      </c>
      <c r="S1093">
        <v>-0.218820345574922</v>
      </c>
      <c r="T1093" t="b">
        <v>0</v>
      </c>
      <c r="U1093" t="b">
        <v>0</v>
      </c>
      <c r="V1093" t="b">
        <f t="shared" si="34"/>
        <v>1</v>
      </c>
      <c r="W1093">
        <v>0</v>
      </c>
      <c r="Y1093">
        <f t="shared" si="35"/>
        <v>0</v>
      </c>
    </row>
    <row r="1094" spans="1:25" x14ac:dyDescent="0.3">
      <c r="A1094" t="s">
        <v>2761</v>
      </c>
      <c r="B1094" t="s">
        <v>1549</v>
      </c>
      <c r="C1094">
        <v>176.37</v>
      </c>
      <c r="D1094" s="1">
        <v>44942.693715277775</v>
      </c>
      <c r="E1094" t="s">
        <v>25</v>
      </c>
      <c r="F1094" t="s">
        <v>401</v>
      </c>
      <c r="G1094" t="s">
        <v>1597</v>
      </c>
      <c r="H1094" t="s">
        <v>961</v>
      </c>
      <c r="I1094" t="s">
        <v>112</v>
      </c>
      <c r="J1094" t="s">
        <v>81</v>
      </c>
      <c r="K1094">
        <v>55</v>
      </c>
      <c r="L1094" t="s">
        <v>82</v>
      </c>
      <c r="M1094">
        <v>126</v>
      </c>
      <c r="N1094">
        <v>1</v>
      </c>
      <c r="O1094">
        <v>2420.86</v>
      </c>
      <c r="P1094" s="1">
        <v>45600.33829861111</v>
      </c>
      <c r="Q1094">
        <v>16</v>
      </c>
      <c r="R1094" t="s">
        <v>47</v>
      </c>
      <c r="S1094">
        <v>-0.41522636654533002</v>
      </c>
      <c r="T1094" t="b">
        <v>0</v>
      </c>
      <c r="U1094" t="b">
        <v>0</v>
      </c>
      <c r="V1094" t="b">
        <f t="shared" si="34"/>
        <v>1</v>
      </c>
      <c r="W1094">
        <v>0</v>
      </c>
      <c r="Y1094">
        <f t="shared" si="35"/>
        <v>0</v>
      </c>
    </row>
    <row r="1095" spans="1:25" x14ac:dyDescent="0.3">
      <c r="A1095" t="s">
        <v>2762</v>
      </c>
      <c r="B1095" t="s">
        <v>97</v>
      </c>
      <c r="C1095">
        <v>122.63</v>
      </c>
      <c r="D1095" s="1">
        <v>45036.777199074073</v>
      </c>
      <c r="E1095" t="s">
        <v>25</v>
      </c>
      <c r="F1095" t="s">
        <v>191</v>
      </c>
      <c r="G1095" t="s">
        <v>618</v>
      </c>
      <c r="H1095" t="s">
        <v>771</v>
      </c>
      <c r="I1095" t="s">
        <v>188</v>
      </c>
      <c r="J1095" t="s">
        <v>81</v>
      </c>
      <c r="K1095">
        <v>21</v>
      </c>
      <c r="L1095" t="s">
        <v>46</v>
      </c>
      <c r="M1095">
        <v>153</v>
      </c>
      <c r="N1095">
        <v>1</v>
      </c>
      <c r="O1095">
        <v>359.06</v>
      </c>
      <c r="P1095" s="1">
        <v>45600.34039351852</v>
      </c>
      <c r="Q1095">
        <v>18</v>
      </c>
      <c r="R1095" t="s">
        <v>141</v>
      </c>
      <c r="S1095">
        <v>-0.59930135027308995</v>
      </c>
      <c r="T1095" t="b">
        <v>0</v>
      </c>
      <c r="U1095" t="b">
        <v>0</v>
      </c>
      <c r="V1095" t="b">
        <f t="shared" si="34"/>
        <v>1</v>
      </c>
      <c r="W1095">
        <v>0</v>
      </c>
      <c r="Y1095">
        <f t="shared" si="35"/>
        <v>0</v>
      </c>
    </row>
    <row r="1096" spans="1:25" x14ac:dyDescent="0.3">
      <c r="A1096" t="s">
        <v>2763</v>
      </c>
      <c r="B1096" t="s">
        <v>184</v>
      </c>
      <c r="C1096">
        <v>86.41</v>
      </c>
      <c r="D1096" s="1">
        <v>45012.746180555558</v>
      </c>
      <c r="E1096" t="s">
        <v>25</v>
      </c>
      <c r="F1096" t="s">
        <v>571</v>
      </c>
      <c r="G1096" t="s">
        <v>788</v>
      </c>
      <c r="H1096" t="s">
        <v>2764</v>
      </c>
      <c r="I1096" t="s">
        <v>527</v>
      </c>
      <c r="J1096" t="s">
        <v>30</v>
      </c>
      <c r="K1096">
        <v>75</v>
      </c>
      <c r="L1096" t="s">
        <v>82</v>
      </c>
      <c r="M1096">
        <v>125</v>
      </c>
      <c r="N1096">
        <v>1</v>
      </c>
      <c r="O1096">
        <v>3128.71</v>
      </c>
      <c r="P1096" s="1">
        <v>45600.341261574074</v>
      </c>
      <c r="Q1096">
        <v>17</v>
      </c>
      <c r="R1096" t="s">
        <v>47</v>
      </c>
      <c r="S1096">
        <v>-0.72336528608662598</v>
      </c>
      <c r="T1096" t="b">
        <v>0</v>
      </c>
      <c r="U1096" t="b">
        <v>0</v>
      </c>
      <c r="V1096" t="b">
        <f t="shared" si="34"/>
        <v>1</v>
      </c>
      <c r="W1096">
        <v>0</v>
      </c>
      <c r="Y1096">
        <f t="shared" si="35"/>
        <v>0</v>
      </c>
    </row>
    <row r="1097" spans="1:25" x14ac:dyDescent="0.3">
      <c r="A1097" t="s">
        <v>2765</v>
      </c>
      <c r="B1097" t="s">
        <v>1525</v>
      </c>
      <c r="C1097">
        <v>21.57</v>
      </c>
      <c r="D1097" s="1">
        <v>45225.674456018518</v>
      </c>
      <c r="E1097" t="s">
        <v>25</v>
      </c>
      <c r="F1097" t="s">
        <v>225</v>
      </c>
      <c r="G1097" t="s">
        <v>572</v>
      </c>
      <c r="H1097" t="s">
        <v>1714</v>
      </c>
      <c r="I1097" t="s">
        <v>371</v>
      </c>
      <c r="J1097" t="s">
        <v>30</v>
      </c>
      <c r="K1097">
        <v>54</v>
      </c>
      <c r="L1097" t="s">
        <v>82</v>
      </c>
      <c r="M1097">
        <v>71</v>
      </c>
      <c r="N1097">
        <v>1</v>
      </c>
      <c r="O1097">
        <v>7587.48</v>
      </c>
      <c r="P1097" s="1">
        <v>45600.339918981481</v>
      </c>
      <c r="Q1097">
        <v>16</v>
      </c>
      <c r="R1097" t="s">
        <v>141</v>
      </c>
      <c r="S1097">
        <v>-0.94546096797921897</v>
      </c>
      <c r="T1097" t="b">
        <v>0</v>
      </c>
      <c r="U1097" t="b">
        <v>0</v>
      </c>
      <c r="V1097" t="b">
        <f t="shared" si="34"/>
        <v>1</v>
      </c>
      <c r="W1097">
        <v>0</v>
      </c>
      <c r="Y1097">
        <f t="shared" si="35"/>
        <v>0</v>
      </c>
    </row>
    <row r="1098" spans="1:25" x14ac:dyDescent="0.3">
      <c r="A1098" t="s">
        <v>2766</v>
      </c>
      <c r="B1098" t="s">
        <v>1242</v>
      </c>
      <c r="C1098">
        <v>82.67</v>
      </c>
      <c r="D1098" s="1">
        <v>45163.694641203707</v>
      </c>
      <c r="E1098" t="s">
        <v>25</v>
      </c>
      <c r="F1098" t="s">
        <v>191</v>
      </c>
      <c r="G1098" t="s">
        <v>127</v>
      </c>
      <c r="H1098" t="s">
        <v>1621</v>
      </c>
      <c r="I1098" t="s">
        <v>253</v>
      </c>
      <c r="J1098" t="s">
        <v>81</v>
      </c>
      <c r="K1098">
        <v>26</v>
      </c>
      <c r="L1098" t="s">
        <v>46</v>
      </c>
      <c r="M1098">
        <v>46</v>
      </c>
      <c r="N1098">
        <v>1</v>
      </c>
      <c r="O1098">
        <v>290.58999999999997</v>
      </c>
      <c r="P1098" s="1">
        <v>45600.338321759256</v>
      </c>
      <c r="Q1098">
        <v>16</v>
      </c>
      <c r="R1098" t="s">
        <v>54</v>
      </c>
      <c r="S1098">
        <v>-0.73617586366648902</v>
      </c>
      <c r="T1098" t="b">
        <v>0</v>
      </c>
      <c r="U1098" t="b">
        <v>0</v>
      </c>
      <c r="V1098" t="b">
        <f t="shared" si="34"/>
        <v>1</v>
      </c>
      <c r="W1098">
        <v>0</v>
      </c>
      <c r="Y1098">
        <f t="shared" si="35"/>
        <v>0</v>
      </c>
    </row>
    <row r="1099" spans="1:25" x14ac:dyDescent="0.3">
      <c r="A1099" t="s">
        <v>2767</v>
      </c>
      <c r="B1099" t="s">
        <v>594</v>
      </c>
      <c r="C1099">
        <v>451.35</v>
      </c>
      <c r="D1099" s="1">
        <v>45174.7812962963</v>
      </c>
      <c r="E1099" t="s">
        <v>57</v>
      </c>
      <c r="F1099" t="s">
        <v>210</v>
      </c>
      <c r="G1099" t="s">
        <v>964</v>
      </c>
      <c r="H1099" t="s">
        <v>850</v>
      </c>
      <c r="I1099" t="s">
        <v>178</v>
      </c>
      <c r="J1099" t="s">
        <v>81</v>
      </c>
      <c r="K1099">
        <v>47</v>
      </c>
      <c r="L1099" t="s">
        <v>89</v>
      </c>
      <c r="M1099">
        <v>223</v>
      </c>
      <c r="N1099">
        <v>1</v>
      </c>
      <c r="O1099">
        <v>7707.96</v>
      </c>
      <c r="P1099" s="1">
        <v>45600.338275462964</v>
      </c>
      <c r="Q1099">
        <v>18</v>
      </c>
      <c r="R1099" t="s">
        <v>32</v>
      </c>
      <c r="S1099">
        <v>0.52665936150564296</v>
      </c>
      <c r="T1099" t="b">
        <v>0</v>
      </c>
      <c r="U1099" t="b">
        <v>0</v>
      </c>
      <c r="V1099" t="b">
        <f t="shared" si="34"/>
        <v>1</v>
      </c>
      <c r="W1099">
        <v>0</v>
      </c>
      <c r="Y1099">
        <f t="shared" si="35"/>
        <v>0</v>
      </c>
    </row>
    <row r="1100" spans="1:25" x14ac:dyDescent="0.3">
      <c r="A1100" t="s">
        <v>2768</v>
      </c>
      <c r="B1100" t="s">
        <v>2525</v>
      </c>
      <c r="C1100">
        <v>299.42</v>
      </c>
      <c r="D1100" s="1">
        <v>45264.725902777776</v>
      </c>
      <c r="E1100" t="s">
        <v>57</v>
      </c>
      <c r="F1100" t="s">
        <v>236</v>
      </c>
      <c r="G1100" t="s">
        <v>359</v>
      </c>
      <c r="H1100" t="s">
        <v>166</v>
      </c>
      <c r="I1100" t="s">
        <v>275</v>
      </c>
      <c r="J1100" t="s">
        <v>81</v>
      </c>
      <c r="K1100">
        <v>63</v>
      </c>
      <c r="L1100" t="s">
        <v>82</v>
      </c>
      <c r="M1100">
        <v>53</v>
      </c>
      <c r="N1100">
        <v>1</v>
      </c>
      <c r="O1100">
        <v>4735.41</v>
      </c>
      <c r="P1100" s="1">
        <v>45600.34002314815</v>
      </c>
      <c r="Q1100">
        <v>17</v>
      </c>
      <c r="R1100" t="s">
        <v>47</v>
      </c>
      <c r="S1100">
        <v>6.2553369846439603E-3</v>
      </c>
      <c r="T1100" t="b">
        <v>0</v>
      </c>
      <c r="U1100" t="b">
        <v>0</v>
      </c>
      <c r="V1100" t="b">
        <f t="shared" si="34"/>
        <v>1</v>
      </c>
      <c r="W1100">
        <v>0</v>
      </c>
      <c r="Y1100">
        <f t="shared" si="35"/>
        <v>0</v>
      </c>
    </row>
    <row r="1101" spans="1:25" x14ac:dyDescent="0.3">
      <c r="A1101" t="s">
        <v>2769</v>
      </c>
      <c r="B1101" t="s">
        <v>335</v>
      </c>
      <c r="C1101">
        <v>543.47</v>
      </c>
      <c r="D1101" s="1">
        <v>45152.720914351848</v>
      </c>
      <c r="E1101" t="s">
        <v>25</v>
      </c>
      <c r="F1101" t="s">
        <v>153</v>
      </c>
      <c r="G1101" t="s">
        <v>1074</v>
      </c>
      <c r="H1101" t="s">
        <v>2107</v>
      </c>
      <c r="I1101" t="s">
        <v>199</v>
      </c>
      <c r="J1101" t="s">
        <v>30</v>
      </c>
      <c r="K1101">
        <v>18</v>
      </c>
      <c r="L1101" t="s">
        <v>46</v>
      </c>
      <c r="M1101">
        <v>122</v>
      </c>
      <c r="N1101">
        <v>1</v>
      </c>
      <c r="O1101">
        <v>6165.03</v>
      </c>
      <c r="P1101" s="1">
        <v>45600.341458333336</v>
      </c>
      <c r="Q1101">
        <v>17</v>
      </c>
      <c r="R1101" t="s">
        <v>47</v>
      </c>
      <c r="S1101">
        <v>0.84219690339252895</v>
      </c>
      <c r="T1101" t="b">
        <v>0</v>
      </c>
      <c r="U1101" t="b">
        <v>0</v>
      </c>
      <c r="V1101" t="b">
        <f t="shared" si="34"/>
        <v>1</v>
      </c>
      <c r="W1101">
        <v>0</v>
      </c>
      <c r="Y1101">
        <f t="shared" si="35"/>
        <v>0</v>
      </c>
    </row>
    <row r="1102" spans="1:25" x14ac:dyDescent="0.3">
      <c r="A1102" t="s">
        <v>2770</v>
      </c>
      <c r="B1102" t="s">
        <v>331</v>
      </c>
      <c r="C1102">
        <v>346.76</v>
      </c>
      <c r="D1102" s="1">
        <v>45289.689317129632</v>
      </c>
      <c r="E1102" t="s">
        <v>57</v>
      </c>
      <c r="F1102" t="s">
        <v>236</v>
      </c>
      <c r="G1102" t="s">
        <v>2771</v>
      </c>
      <c r="H1102" t="s">
        <v>2380</v>
      </c>
      <c r="I1102" t="s">
        <v>301</v>
      </c>
      <c r="J1102" t="s">
        <v>81</v>
      </c>
      <c r="K1102">
        <v>21</v>
      </c>
      <c r="L1102" t="s">
        <v>46</v>
      </c>
      <c r="M1102">
        <v>116</v>
      </c>
      <c r="N1102">
        <v>1</v>
      </c>
      <c r="O1102">
        <v>1637.75</v>
      </c>
      <c r="P1102" s="1">
        <v>45600.340219907404</v>
      </c>
      <c r="Q1102">
        <v>16</v>
      </c>
      <c r="R1102" t="s">
        <v>54</v>
      </c>
      <c r="S1102">
        <v>0.16840847672547199</v>
      </c>
      <c r="T1102" t="b">
        <v>0</v>
      </c>
      <c r="U1102" t="b">
        <v>0</v>
      </c>
      <c r="V1102" t="b">
        <f t="shared" si="34"/>
        <v>1</v>
      </c>
      <c r="W1102">
        <v>0</v>
      </c>
      <c r="Y1102">
        <f t="shared" si="35"/>
        <v>0</v>
      </c>
    </row>
    <row r="1103" spans="1:25" x14ac:dyDescent="0.3">
      <c r="A1103" t="s">
        <v>2772</v>
      </c>
      <c r="B1103" t="s">
        <v>2141</v>
      </c>
      <c r="C1103">
        <v>47.48</v>
      </c>
      <c r="D1103" s="1">
        <v>44977.699571759258</v>
      </c>
      <c r="E1103" t="s">
        <v>25</v>
      </c>
      <c r="F1103" t="s">
        <v>519</v>
      </c>
      <c r="G1103" t="s">
        <v>263</v>
      </c>
      <c r="H1103" t="s">
        <v>1497</v>
      </c>
      <c r="I1103" t="s">
        <v>1575</v>
      </c>
      <c r="J1103" t="s">
        <v>81</v>
      </c>
      <c r="K1103">
        <v>24</v>
      </c>
      <c r="L1103" t="s">
        <v>46</v>
      </c>
      <c r="M1103">
        <v>66</v>
      </c>
      <c r="N1103">
        <v>1</v>
      </c>
      <c r="O1103">
        <v>585.52</v>
      </c>
      <c r="P1103" s="1">
        <v>45600.339467592596</v>
      </c>
      <c r="Q1103">
        <v>16</v>
      </c>
      <c r="R1103" t="s">
        <v>47</v>
      </c>
      <c r="S1103">
        <v>-0.85671175271337896</v>
      </c>
      <c r="T1103" t="b">
        <v>0</v>
      </c>
      <c r="U1103" t="b">
        <v>0</v>
      </c>
      <c r="V1103" t="b">
        <f t="shared" si="34"/>
        <v>1</v>
      </c>
      <c r="W1103">
        <v>0</v>
      </c>
      <c r="Y1103">
        <f t="shared" si="35"/>
        <v>0</v>
      </c>
    </row>
    <row r="1104" spans="1:25" x14ac:dyDescent="0.3">
      <c r="A1104" t="s">
        <v>2773</v>
      </c>
      <c r="B1104" t="s">
        <v>480</v>
      </c>
      <c r="C1104">
        <v>64.92</v>
      </c>
      <c r="D1104" s="1">
        <v>45065.782766203702</v>
      </c>
      <c r="E1104" t="s">
        <v>25</v>
      </c>
      <c r="F1104" t="s">
        <v>58</v>
      </c>
      <c r="G1104" t="s">
        <v>1474</v>
      </c>
      <c r="H1104" t="s">
        <v>2774</v>
      </c>
      <c r="I1104" t="s">
        <v>997</v>
      </c>
      <c r="J1104" t="s">
        <v>81</v>
      </c>
      <c r="K1104">
        <v>58</v>
      </c>
      <c r="L1104" t="s">
        <v>89</v>
      </c>
      <c r="M1104">
        <v>236</v>
      </c>
      <c r="N1104">
        <v>1</v>
      </c>
      <c r="O1104">
        <v>5481.76</v>
      </c>
      <c r="P1104" s="1">
        <v>45600.341087962966</v>
      </c>
      <c r="Q1104">
        <v>18</v>
      </c>
      <c r="R1104" t="s">
        <v>54</v>
      </c>
      <c r="S1104">
        <v>-0.79697472784899204</v>
      </c>
      <c r="T1104" t="b">
        <v>0</v>
      </c>
      <c r="U1104" t="b">
        <v>0</v>
      </c>
      <c r="V1104" t="b">
        <f t="shared" si="34"/>
        <v>1</v>
      </c>
      <c r="W1104">
        <v>0</v>
      </c>
      <c r="Y1104">
        <f t="shared" si="35"/>
        <v>0</v>
      </c>
    </row>
    <row r="1105" spans="1:25" x14ac:dyDescent="0.3">
      <c r="A1105" t="s">
        <v>2775</v>
      </c>
      <c r="B1105" t="s">
        <v>1157</v>
      </c>
      <c r="C1105">
        <v>350.72</v>
      </c>
      <c r="D1105" s="1">
        <v>45140.692812499998</v>
      </c>
      <c r="E1105" t="s">
        <v>57</v>
      </c>
      <c r="F1105" t="s">
        <v>571</v>
      </c>
      <c r="G1105" t="s">
        <v>2776</v>
      </c>
      <c r="H1105" t="s">
        <v>387</v>
      </c>
      <c r="I1105" t="s">
        <v>88</v>
      </c>
      <c r="J1105" t="s">
        <v>30</v>
      </c>
      <c r="K1105">
        <v>28</v>
      </c>
      <c r="L1105" t="s">
        <v>46</v>
      </c>
      <c r="M1105">
        <v>48</v>
      </c>
      <c r="N1105">
        <v>1</v>
      </c>
      <c r="O1105">
        <v>1982.9</v>
      </c>
      <c r="P1105" s="1">
        <v>45600.338379629633</v>
      </c>
      <c r="Q1105">
        <v>16</v>
      </c>
      <c r="R1105" t="s">
        <v>74</v>
      </c>
      <c r="S1105">
        <v>0.18197261769238601</v>
      </c>
      <c r="T1105" t="b">
        <v>0</v>
      </c>
      <c r="U1105" t="b">
        <v>0</v>
      </c>
      <c r="V1105" t="b">
        <f t="shared" si="34"/>
        <v>1</v>
      </c>
      <c r="W1105">
        <v>0</v>
      </c>
      <c r="Y1105">
        <f t="shared" si="35"/>
        <v>0</v>
      </c>
    </row>
    <row r="1106" spans="1:25" x14ac:dyDescent="0.3">
      <c r="A1106" t="s">
        <v>2777</v>
      </c>
      <c r="B1106" t="s">
        <v>2086</v>
      </c>
      <c r="C1106">
        <v>3.8</v>
      </c>
      <c r="D1106" s="1">
        <v>45139.675983796296</v>
      </c>
      <c r="E1106" t="s">
        <v>25</v>
      </c>
      <c r="F1106" t="s">
        <v>262</v>
      </c>
      <c r="G1106" t="s">
        <v>1583</v>
      </c>
      <c r="H1106" t="s">
        <v>895</v>
      </c>
      <c r="I1106" t="s">
        <v>112</v>
      </c>
      <c r="J1106" t="s">
        <v>45</v>
      </c>
      <c r="K1106">
        <v>65</v>
      </c>
      <c r="L1106" t="s">
        <v>31</v>
      </c>
      <c r="M1106">
        <v>174</v>
      </c>
      <c r="N1106">
        <v>1</v>
      </c>
      <c r="O1106">
        <v>5766.96</v>
      </c>
      <c r="P1106" s="1">
        <v>45600.341874999998</v>
      </c>
      <c r="Q1106">
        <v>16</v>
      </c>
      <c r="R1106" t="s">
        <v>32</v>
      </c>
      <c r="S1106">
        <v>-1.0063283379241801</v>
      </c>
      <c r="T1106" t="b">
        <v>0</v>
      </c>
      <c r="U1106" t="b">
        <v>0</v>
      </c>
      <c r="V1106" t="b">
        <f t="shared" si="34"/>
        <v>1</v>
      </c>
      <c r="W1106">
        <v>0</v>
      </c>
      <c r="Y1106">
        <f t="shared" si="35"/>
        <v>0</v>
      </c>
    </row>
    <row r="1107" spans="1:25" x14ac:dyDescent="0.3">
      <c r="A1107" t="s">
        <v>2778</v>
      </c>
      <c r="B1107" t="s">
        <v>190</v>
      </c>
      <c r="C1107">
        <v>22.54</v>
      </c>
      <c r="D1107" s="1">
        <v>45167.680023148147</v>
      </c>
      <c r="E1107" t="s">
        <v>25</v>
      </c>
      <c r="F1107" t="s">
        <v>519</v>
      </c>
      <c r="G1107" t="s">
        <v>1944</v>
      </c>
      <c r="H1107" t="s">
        <v>924</v>
      </c>
      <c r="I1107" t="s">
        <v>265</v>
      </c>
      <c r="J1107" t="s">
        <v>45</v>
      </c>
      <c r="K1107">
        <v>26</v>
      </c>
      <c r="L1107" t="s">
        <v>89</v>
      </c>
      <c r="M1107">
        <v>42</v>
      </c>
      <c r="N1107">
        <v>1</v>
      </c>
      <c r="O1107">
        <v>7139.11</v>
      </c>
      <c r="P1107" s="1">
        <v>45600.340671296297</v>
      </c>
      <c r="Q1107">
        <v>16</v>
      </c>
      <c r="R1107" t="s">
        <v>32</v>
      </c>
      <c r="S1107">
        <v>-0.94213843849995005</v>
      </c>
      <c r="T1107" t="b">
        <v>0</v>
      </c>
      <c r="U1107" t="b">
        <v>0</v>
      </c>
      <c r="V1107" t="b">
        <f t="shared" si="34"/>
        <v>1</v>
      </c>
      <c r="W1107">
        <v>0</v>
      </c>
      <c r="Y1107">
        <f t="shared" si="35"/>
        <v>0</v>
      </c>
    </row>
    <row r="1108" spans="1:25" x14ac:dyDescent="0.3">
      <c r="A1108" t="s">
        <v>2779</v>
      </c>
      <c r="B1108" t="s">
        <v>1749</v>
      </c>
      <c r="C1108">
        <v>767.14</v>
      </c>
      <c r="D1108" s="1">
        <v>45167.683599537035</v>
      </c>
      <c r="E1108" t="s">
        <v>57</v>
      </c>
      <c r="F1108" t="s">
        <v>41</v>
      </c>
      <c r="G1108" t="s">
        <v>1828</v>
      </c>
      <c r="H1108" t="s">
        <v>2038</v>
      </c>
      <c r="I1108" t="s">
        <v>150</v>
      </c>
      <c r="J1108" t="s">
        <v>81</v>
      </c>
      <c r="K1108">
        <v>62</v>
      </c>
      <c r="L1108" t="s">
        <v>82</v>
      </c>
      <c r="M1108">
        <v>38</v>
      </c>
      <c r="N1108">
        <v>1</v>
      </c>
      <c r="O1108">
        <v>4732.57</v>
      </c>
      <c r="P1108" s="1">
        <v>45600.339375000003</v>
      </c>
      <c r="Q1108">
        <v>16</v>
      </c>
      <c r="R1108" t="s">
        <v>32</v>
      </c>
      <c r="S1108">
        <v>1.60833109785453</v>
      </c>
      <c r="T1108" t="b">
        <v>0</v>
      </c>
      <c r="U1108" t="b">
        <v>0</v>
      </c>
      <c r="V1108" t="b">
        <f t="shared" si="34"/>
        <v>1</v>
      </c>
      <c r="W1108">
        <v>0</v>
      </c>
      <c r="Y1108">
        <f t="shared" si="35"/>
        <v>0</v>
      </c>
    </row>
    <row r="1109" spans="1:25" x14ac:dyDescent="0.3">
      <c r="A1109" t="s">
        <v>2780</v>
      </c>
      <c r="B1109" t="s">
        <v>2650</v>
      </c>
      <c r="C1109">
        <v>167.47</v>
      </c>
      <c r="D1109" s="1">
        <v>45261.739803240744</v>
      </c>
      <c r="E1109" t="s">
        <v>25</v>
      </c>
      <c r="F1109" t="s">
        <v>298</v>
      </c>
      <c r="G1109" t="s">
        <v>1740</v>
      </c>
      <c r="H1109" t="s">
        <v>1390</v>
      </c>
      <c r="I1109" t="s">
        <v>1222</v>
      </c>
      <c r="J1109" t="s">
        <v>30</v>
      </c>
      <c r="K1109">
        <v>35</v>
      </c>
      <c r="L1109" t="s">
        <v>89</v>
      </c>
      <c r="M1109">
        <v>103</v>
      </c>
      <c r="N1109">
        <v>1</v>
      </c>
      <c r="O1109">
        <v>2293.13</v>
      </c>
      <c r="P1109" s="1">
        <v>45600.34171296296</v>
      </c>
      <c r="Q1109">
        <v>17</v>
      </c>
      <c r="R1109" t="s">
        <v>54</v>
      </c>
      <c r="S1109">
        <v>-0.44571143083965598</v>
      </c>
      <c r="T1109" t="b">
        <v>0</v>
      </c>
      <c r="U1109" t="b">
        <v>0</v>
      </c>
      <c r="V1109" t="b">
        <f t="shared" si="34"/>
        <v>1</v>
      </c>
      <c r="W1109">
        <v>0</v>
      </c>
      <c r="Y1109">
        <f t="shared" si="35"/>
        <v>0</v>
      </c>
    </row>
    <row r="1110" spans="1:25" x14ac:dyDescent="0.3">
      <c r="A1110" t="s">
        <v>2781</v>
      </c>
      <c r="B1110" t="s">
        <v>196</v>
      </c>
      <c r="C1110">
        <v>43.65</v>
      </c>
      <c r="D1110" s="1">
        <v>45229.683032407411</v>
      </c>
      <c r="E1110" t="s">
        <v>57</v>
      </c>
      <c r="F1110" t="s">
        <v>262</v>
      </c>
      <c r="G1110" t="s">
        <v>646</v>
      </c>
      <c r="H1110" t="s">
        <v>2281</v>
      </c>
      <c r="I1110" t="s">
        <v>399</v>
      </c>
      <c r="J1110" t="s">
        <v>81</v>
      </c>
      <c r="K1110">
        <v>30</v>
      </c>
      <c r="L1110" t="s">
        <v>89</v>
      </c>
      <c r="M1110">
        <v>212</v>
      </c>
      <c r="N1110">
        <v>1</v>
      </c>
      <c r="O1110">
        <v>2870.67</v>
      </c>
      <c r="P1110" s="1">
        <v>45600.341608796298</v>
      </c>
      <c r="Q1110">
        <v>16</v>
      </c>
      <c r="R1110" t="s">
        <v>47</v>
      </c>
      <c r="S1110">
        <v>-0.86983060622430797</v>
      </c>
      <c r="T1110" t="b">
        <v>0</v>
      </c>
      <c r="U1110" t="b">
        <v>0</v>
      </c>
      <c r="V1110" t="b">
        <f t="shared" si="34"/>
        <v>1</v>
      </c>
      <c r="W1110">
        <v>0</v>
      </c>
      <c r="Y1110">
        <f t="shared" si="35"/>
        <v>0</v>
      </c>
    </row>
    <row r="1111" spans="1:25" x14ac:dyDescent="0.3">
      <c r="A1111" t="s">
        <v>2782</v>
      </c>
      <c r="B1111" t="s">
        <v>2251</v>
      </c>
      <c r="C1111">
        <v>391.08</v>
      </c>
      <c r="D1111" s="1">
        <v>45044.716736111113</v>
      </c>
      <c r="E1111" t="s">
        <v>25</v>
      </c>
      <c r="F1111" t="s">
        <v>571</v>
      </c>
      <c r="G1111" t="s">
        <v>2783</v>
      </c>
      <c r="H1111" t="s">
        <v>873</v>
      </c>
      <c r="I1111" t="s">
        <v>188</v>
      </c>
      <c r="J1111" t="s">
        <v>45</v>
      </c>
      <c r="K1111">
        <v>56</v>
      </c>
      <c r="L1111" t="s">
        <v>82</v>
      </c>
      <c r="M1111">
        <v>105</v>
      </c>
      <c r="N1111">
        <v>1</v>
      </c>
      <c r="O1111">
        <v>6885.16</v>
      </c>
      <c r="P1111" s="1">
        <v>45600.340879629628</v>
      </c>
      <c r="Q1111">
        <v>17</v>
      </c>
      <c r="R1111" t="s">
        <v>54</v>
      </c>
      <c r="S1111">
        <v>0.32021724633496801</v>
      </c>
      <c r="T1111" t="b">
        <v>0</v>
      </c>
      <c r="U1111" t="b">
        <v>0</v>
      </c>
      <c r="V1111" t="b">
        <f t="shared" si="34"/>
        <v>1</v>
      </c>
      <c r="W1111">
        <v>0</v>
      </c>
      <c r="Y1111">
        <f t="shared" si="35"/>
        <v>0</v>
      </c>
    </row>
    <row r="1112" spans="1:25" x14ac:dyDescent="0.3">
      <c r="A1112" t="s">
        <v>2784</v>
      </c>
      <c r="B1112" t="s">
        <v>981</v>
      </c>
      <c r="C1112">
        <v>390.77</v>
      </c>
      <c r="D1112" s="1">
        <v>45229.668425925927</v>
      </c>
      <c r="E1112" t="s">
        <v>25</v>
      </c>
      <c r="F1112" t="s">
        <v>608</v>
      </c>
      <c r="G1112" t="s">
        <v>364</v>
      </c>
      <c r="H1112" t="s">
        <v>1443</v>
      </c>
      <c r="I1112" t="s">
        <v>427</v>
      </c>
      <c r="J1112" t="s">
        <v>45</v>
      </c>
      <c r="K1112">
        <v>44</v>
      </c>
      <c r="L1112" t="s">
        <v>31</v>
      </c>
      <c r="M1112">
        <v>34</v>
      </c>
      <c r="N1112">
        <v>1</v>
      </c>
      <c r="O1112">
        <v>5500.56</v>
      </c>
      <c r="P1112" s="1">
        <v>45600.33965277778</v>
      </c>
      <c r="Q1112">
        <v>16</v>
      </c>
      <c r="R1112" t="s">
        <v>47</v>
      </c>
      <c r="S1112">
        <v>0.31915540701685102</v>
      </c>
      <c r="T1112" t="b">
        <v>0</v>
      </c>
      <c r="U1112" t="b">
        <v>0</v>
      </c>
      <c r="V1112" t="b">
        <f t="shared" si="34"/>
        <v>1</v>
      </c>
      <c r="W1112">
        <v>0</v>
      </c>
      <c r="Y1112">
        <f t="shared" si="35"/>
        <v>0</v>
      </c>
    </row>
    <row r="1113" spans="1:25" x14ac:dyDescent="0.3">
      <c r="A1113" t="s">
        <v>2785</v>
      </c>
      <c r="B1113" t="s">
        <v>2513</v>
      </c>
      <c r="C1113">
        <v>508.16</v>
      </c>
      <c r="D1113" s="1">
        <v>45013.763310185182</v>
      </c>
      <c r="E1113" t="s">
        <v>25</v>
      </c>
      <c r="F1113" t="s">
        <v>41</v>
      </c>
      <c r="G1113" t="s">
        <v>2786</v>
      </c>
      <c r="H1113" t="s">
        <v>2203</v>
      </c>
      <c r="I1113" t="s">
        <v>871</v>
      </c>
      <c r="J1113" t="s">
        <v>30</v>
      </c>
      <c r="K1113">
        <v>39</v>
      </c>
      <c r="L1113" t="s">
        <v>89</v>
      </c>
      <c r="M1113">
        <v>131</v>
      </c>
      <c r="N1113">
        <v>1</v>
      </c>
      <c r="O1113">
        <v>5609.44</v>
      </c>
      <c r="P1113" s="1">
        <v>45600.340208333335</v>
      </c>
      <c r="Q1113">
        <v>18</v>
      </c>
      <c r="R1113" t="s">
        <v>32</v>
      </c>
      <c r="S1113">
        <v>0.72124997977088401</v>
      </c>
      <c r="T1113" t="b">
        <v>0</v>
      </c>
      <c r="U1113" t="b">
        <v>0</v>
      </c>
      <c r="V1113" t="b">
        <f t="shared" si="34"/>
        <v>1</v>
      </c>
      <c r="W1113">
        <v>0</v>
      </c>
      <c r="Y1113">
        <f t="shared" si="35"/>
        <v>0</v>
      </c>
    </row>
    <row r="1114" spans="1:25" x14ac:dyDescent="0.3">
      <c r="A1114" t="s">
        <v>2787</v>
      </c>
      <c r="B1114" t="s">
        <v>331</v>
      </c>
      <c r="C1114">
        <v>36.76</v>
      </c>
      <c r="D1114" s="1">
        <v>45026.702581018515</v>
      </c>
      <c r="E1114" t="s">
        <v>57</v>
      </c>
      <c r="F1114" t="s">
        <v>256</v>
      </c>
      <c r="G1114" t="s">
        <v>27</v>
      </c>
      <c r="H1114" t="s">
        <v>2788</v>
      </c>
      <c r="I1114" t="s">
        <v>213</v>
      </c>
      <c r="J1114" t="s">
        <v>45</v>
      </c>
      <c r="K1114">
        <v>65</v>
      </c>
      <c r="L1114" t="s">
        <v>82</v>
      </c>
      <c r="M1114">
        <v>108</v>
      </c>
      <c r="N1114">
        <v>1</v>
      </c>
      <c r="O1114">
        <v>1228.93</v>
      </c>
      <c r="P1114" s="1">
        <v>45600.34175925926</v>
      </c>
      <c r="Q1114">
        <v>16</v>
      </c>
      <c r="R1114" t="s">
        <v>47</v>
      </c>
      <c r="S1114">
        <v>-0.89343084139148798</v>
      </c>
      <c r="T1114" t="b">
        <v>0</v>
      </c>
      <c r="U1114" t="b">
        <v>0</v>
      </c>
      <c r="V1114" t="b">
        <f t="shared" si="34"/>
        <v>1</v>
      </c>
      <c r="W1114">
        <v>0</v>
      </c>
      <c r="Y1114">
        <f t="shared" si="35"/>
        <v>0</v>
      </c>
    </row>
    <row r="1115" spans="1:25" x14ac:dyDescent="0.3">
      <c r="A1115" t="s">
        <v>2789</v>
      </c>
      <c r="B1115" t="s">
        <v>1136</v>
      </c>
      <c r="C1115">
        <v>332.33</v>
      </c>
      <c r="D1115" s="1">
        <v>45097.712245370371</v>
      </c>
      <c r="E1115" t="s">
        <v>25</v>
      </c>
      <c r="F1115" t="s">
        <v>304</v>
      </c>
      <c r="G1115" t="s">
        <v>386</v>
      </c>
      <c r="H1115" t="s">
        <v>1059</v>
      </c>
      <c r="I1115" t="s">
        <v>150</v>
      </c>
      <c r="J1115" t="s">
        <v>30</v>
      </c>
      <c r="K1115">
        <v>27</v>
      </c>
      <c r="L1115" t="s">
        <v>46</v>
      </c>
      <c r="M1115">
        <v>101</v>
      </c>
      <c r="N1115">
        <v>1</v>
      </c>
      <c r="O1115">
        <v>192.63</v>
      </c>
      <c r="P1115" s="1">
        <v>45600.341284722221</v>
      </c>
      <c r="Q1115">
        <v>17</v>
      </c>
      <c r="R1115" t="s">
        <v>32</v>
      </c>
      <c r="S1115">
        <v>0.118981569111189</v>
      </c>
      <c r="T1115" t="b">
        <v>0</v>
      </c>
      <c r="U1115" t="b">
        <v>0</v>
      </c>
      <c r="V1115" t="b">
        <f t="shared" si="34"/>
        <v>1</v>
      </c>
      <c r="W1115">
        <v>0</v>
      </c>
      <c r="Y1115">
        <f t="shared" si="35"/>
        <v>0</v>
      </c>
    </row>
    <row r="1116" spans="1:25" x14ac:dyDescent="0.3">
      <c r="A1116" t="s">
        <v>2790</v>
      </c>
      <c r="B1116" t="s">
        <v>2251</v>
      </c>
      <c r="C1116">
        <v>362.09</v>
      </c>
      <c r="D1116" s="1">
        <v>44984.707719907405</v>
      </c>
      <c r="E1116" t="s">
        <v>25</v>
      </c>
      <c r="F1116" t="s">
        <v>216</v>
      </c>
      <c r="G1116" t="s">
        <v>1916</v>
      </c>
      <c r="H1116" t="s">
        <v>1670</v>
      </c>
      <c r="I1116" t="s">
        <v>495</v>
      </c>
      <c r="J1116" t="s">
        <v>81</v>
      </c>
      <c r="K1116">
        <v>32</v>
      </c>
      <c r="L1116" t="s">
        <v>89</v>
      </c>
      <c r="M1116">
        <v>31</v>
      </c>
      <c r="N1116">
        <v>1</v>
      </c>
      <c r="O1116">
        <v>6590.28</v>
      </c>
      <c r="P1116" s="1">
        <v>45600.338634259257</v>
      </c>
      <c r="Q1116">
        <v>16</v>
      </c>
      <c r="R1116" t="s">
        <v>47</v>
      </c>
      <c r="S1116">
        <v>0.22091814365041701</v>
      </c>
      <c r="T1116" t="b">
        <v>0</v>
      </c>
      <c r="U1116" t="b">
        <v>0</v>
      </c>
      <c r="V1116" t="b">
        <f t="shared" si="34"/>
        <v>1</v>
      </c>
      <c r="W1116">
        <v>0</v>
      </c>
      <c r="Y1116">
        <f t="shared" si="35"/>
        <v>0</v>
      </c>
    </row>
    <row r="1117" spans="1:25" x14ac:dyDescent="0.3">
      <c r="A1117" t="s">
        <v>2791</v>
      </c>
      <c r="B1117" t="s">
        <v>2792</v>
      </c>
      <c r="C1117">
        <v>42.58</v>
      </c>
      <c r="D1117" s="1">
        <v>44963.689502314817</v>
      </c>
      <c r="E1117" t="s">
        <v>25</v>
      </c>
      <c r="F1117" t="s">
        <v>236</v>
      </c>
      <c r="G1117" t="s">
        <v>1074</v>
      </c>
      <c r="H1117" t="s">
        <v>1357</v>
      </c>
      <c r="I1117" t="s">
        <v>112</v>
      </c>
      <c r="J1117" t="s">
        <v>45</v>
      </c>
      <c r="K1117">
        <v>30</v>
      </c>
      <c r="L1117" t="s">
        <v>31</v>
      </c>
      <c r="M1117">
        <v>80</v>
      </c>
      <c r="N1117">
        <v>1</v>
      </c>
      <c r="O1117">
        <v>13485</v>
      </c>
      <c r="P1117" s="1">
        <v>45600.340543981481</v>
      </c>
      <c r="Q1117">
        <v>16</v>
      </c>
      <c r="R1117" t="s">
        <v>47</v>
      </c>
      <c r="S1117">
        <v>-0.87349566451587302</v>
      </c>
      <c r="T1117" t="b">
        <v>0</v>
      </c>
      <c r="U1117" t="b">
        <v>0</v>
      </c>
      <c r="V1117" t="b">
        <f t="shared" si="34"/>
        <v>1</v>
      </c>
      <c r="W1117">
        <v>0</v>
      </c>
      <c r="Y1117">
        <f t="shared" si="35"/>
        <v>0</v>
      </c>
    </row>
    <row r="1118" spans="1:25" x14ac:dyDescent="0.3">
      <c r="A1118" t="s">
        <v>2793</v>
      </c>
      <c r="B1118" t="s">
        <v>2794</v>
      </c>
      <c r="C1118">
        <v>122.35</v>
      </c>
      <c r="D1118" s="1">
        <v>45028.74322916667</v>
      </c>
      <c r="E1118" t="s">
        <v>57</v>
      </c>
      <c r="F1118" t="s">
        <v>58</v>
      </c>
      <c r="G1118" t="s">
        <v>1726</v>
      </c>
      <c r="H1118" t="s">
        <v>2648</v>
      </c>
      <c r="I1118" t="s">
        <v>194</v>
      </c>
      <c r="J1118" t="s">
        <v>81</v>
      </c>
      <c r="K1118">
        <v>53</v>
      </c>
      <c r="L1118" t="s">
        <v>82</v>
      </c>
      <c r="M1118">
        <v>188</v>
      </c>
      <c r="N1118">
        <v>1</v>
      </c>
      <c r="O1118">
        <v>6472.5</v>
      </c>
      <c r="P1118" s="1">
        <v>45600.339675925927</v>
      </c>
      <c r="Q1118">
        <v>17</v>
      </c>
      <c r="R1118" t="s">
        <v>74</v>
      </c>
      <c r="S1118">
        <v>-0.60026043094751802</v>
      </c>
      <c r="T1118" t="b">
        <v>0</v>
      </c>
      <c r="U1118" t="b">
        <v>0</v>
      </c>
      <c r="V1118" t="b">
        <f t="shared" si="34"/>
        <v>1</v>
      </c>
      <c r="W1118">
        <v>0</v>
      </c>
      <c r="Y1118">
        <f t="shared" si="35"/>
        <v>0</v>
      </c>
    </row>
    <row r="1119" spans="1:25" x14ac:dyDescent="0.3">
      <c r="A1119" t="s">
        <v>2795</v>
      </c>
      <c r="B1119" t="s">
        <v>1574</v>
      </c>
      <c r="C1119">
        <v>248.66</v>
      </c>
      <c r="D1119" s="1">
        <v>44960.740902777776</v>
      </c>
      <c r="E1119" t="s">
        <v>25</v>
      </c>
      <c r="F1119" t="s">
        <v>278</v>
      </c>
      <c r="G1119" t="s">
        <v>878</v>
      </c>
      <c r="H1119" t="s">
        <v>1390</v>
      </c>
      <c r="I1119" t="s">
        <v>720</v>
      </c>
      <c r="J1119" t="s">
        <v>45</v>
      </c>
      <c r="K1119">
        <v>28</v>
      </c>
      <c r="L1119" t="s">
        <v>89</v>
      </c>
      <c r="M1119">
        <v>113</v>
      </c>
      <c r="N1119">
        <v>1</v>
      </c>
      <c r="O1119">
        <v>2571.39</v>
      </c>
      <c r="P1119" s="1">
        <v>45600.341319444444</v>
      </c>
      <c r="Q1119">
        <v>17</v>
      </c>
      <c r="R1119" t="s">
        <v>54</v>
      </c>
      <c r="S1119">
        <v>-0.16761228813670101</v>
      </c>
      <c r="T1119" t="b">
        <v>0</v>
      </c>
      <c r="U1119" t="b">
        <v>0</v>
      </c>
      <c r="V1119" t="b">
        <f t="shared" si="34"/>
        <v>1</v>
      </c>
      <c r="W1119">
        <v>0</v>
      </c>
      <c r="Y1119">
        <f t="shared" si="35"/>
        <v>0</v>
      </c>
    </row>
    <row r="1120" spans="1:25" x14ac:dyDescent="0.3">
      <c r="A1120" t="s">
        <v>2796</v>
      </c>
      <c r="B1120" t="s">
        <v>235</v>
      </c>
      <c r="C1120">
        <v>461.25</v>
      </c>
      <c r="D1120" s="1">
        <v>45166.731099537035</v>
      </c>
      <c r="E1120" t="s">
        <v>57</v>
      </c>
      <c r="F1120" t="s">
        <v>298</v>
      </c>
      <c r="G1120" t="s">
        <v>2797</v>
      </c>
      <c r="H1120" t="s">
        <v>2429</v>
      </c>
      <c r="I1120" t="s">
        <v>265</v>
      </c>
      <c r="J1120" t="s">
        <v>45</v>
      </c>
      <c r="K1120">
        <v>54</v>
      </c>
      <c r="L1120" t="s">
        <v>31</v>
      </c>
      <c r="M1120">
        <v>171</v>
      </c>
      <c r="N1120">
        <v>1</v>
      </c>
      <c r="O1120">
        <v>676.1</v>
      </c>
      <c r="P1120" s="1">
        <v>45600.33971064815</v>
      </c>
      <c r="Q1120">
        <v>17</v>
      </c>
      <c r="R1120" t="s">
        <v>47</v>
      </c>
      <c r="S1120">
        <v>0.56056971392292698</v>
      </c>
      <c r="T1120" t="b">
        <v>0</v>
      </c>
      <c r="U1120" t="b">
        <v>0</v>
      </c>
      <c r="V1120" t="b">
        <f t="shared" si="34"/>
        <v>1</v>
      </c>
      <c r="W1120">
        <v>0</v>
      </c>
      <c r="Y1120">
        <f t="shared" si="35"/>
        <v>0</v>
      </c>
    </row>
    <row r="1121" spans="1:25" x14ac:dyDescent="0.3">
      <c r="A1121" t="s">
        <v>2798</v>
      </c>
      <c r="B1121" t="s">
        <v>546</v>
      </c>
      <c r="C1121">
        <v>61.77</v>
      </c>
      <c r="D1121" s="1">
        <v>45197.712870370371</v>
      </c>
      <c r="E1121" t="s">
        <v>25</v>
      </c>
      <c r="F1121" t="s">
        <v>262</v>
      </c>
      <c r="G1121" t="s">
        <v>785</v>
      </c>
      <c r="H1121" t="s">
        <v>187</v>
      </c>
      <c r="I1121" t="s">
        <v>997</v>
      </c>
      <c r="J1121" t="s">
        <v>81</v>
      </c>
      <c r="K1121">
        <v>56</v>
      </c>
      <c r="L1121" t="s">
        <v>31</v>
      </c>
      <c r="M1121">
        <v>49</v>
      </c>
      <c r="N1121">
        <v>1</v>
      </c>
      <c r="O1121">
        <v>12352.2</v>
      </c>
      <c r="P1121" s="1">
        <v>45600.341377314813</v>
      </c>
      <c r="Q1121">
        <v>17</v>
      </c>
      <c r="R1121" t="s">
        <v>141</v>
      </c>
      <c r="S1121">
        <v>-0.80776438543631002</v>
      </c>
      <c r="T1121" t="b">
        <v>0</v>
      </c>
      <c r="U1121" t="b">
        <v>0</v>
      </c>
      <c r="V1121" t="b">
        <f t="shared" si="34"/>
        <v>1</v>
      </c>
      <c r="W1121">
        <v>0</v>
      </c>
      <c r="Y1121">
        <f t="shared" si="35"/>
        <v>0</v>
      </c>
    </row>
    <row r="1122" spans="1:25" x14ac:dyDescent="0.3">
      <c r="A1122" t="s">
        <v>2799</v>
      </c>
      <c r="B1122" t="s">
        <v>1127</v>
      </c>
      <c r="C1122">
        <v>268.92</v>
      </c>
      <c r="D1122" s="1">
        <v>45152.689212962963</v>
      </c>
      <c r="E1122" t="s">
        <v>25</v>
      </c>
      <c r="F1122" t="s">
        <v>278</v>
      </c>
      <c r="G1122" t="s">
        <v>2050</v>
      </c>
      <c r="H1122" t="s">
        <v>1998</v>
      </c>
      <c r="I1122" t="s">
        <v>167</v>
      </c>
      <c r="J1122" t="s">
        <v>81</v>
      </c>
      <c r="K1122">
        <v>29</v>
      </c>
      <c r="L1122" t="s">
        <v>89</v>
      </c>
      <c r="M1122">
        <v>148</v>
      </c>
      <c r="N1122">
        <v>1</v>
      </c>
      <c r="O1122">
        <v>8765.3799999999992</v>
      </c>
      <c r="P1122" s="1">
        <v>45600.337916666664</v>
      </c>
      <c r="Q1122">
        <v>16</v>
      </c>
      <c r="R1122" t="s">
        <v>47</v>
      </c>
      <c r="S1122">
        <v>-9.8215950765573101E-2</v>
      </c>
      <c r="T1122" t="b">
        <v>0</v>
      </c>
      <c r="U1122" t="b">
        <v>0</v>
      </c>
      <c r="V1122" t="b">
        <f t="shared" si="34"/>
        <v>1</v>
      </c>
      <c r="W1122">
        <v>0</v>
      </c>
      <c r="Y1122">
        <f t="shared" si="35"/>
        <v>0</v>
      </c>
    </row>
    <row r="1123" spans="1:25" x14ac:dyDescent="0.3">
      <c r="A1123" t="s">
        <v>2800</v>
      </c>
      <c r="B1123" t="s">
        <v>861</v>
      </c>
      <c r="C1123">
        <v>303.97000000000003</v>
      </c>
      <c r="D1123" s="1">
        <v>44959.705150462964</v>
      </c>
      <c r="E1123" t="s">
        <v>25</v>
      </c>
      <c r="F1123" t="s">
        <v>170</v>
      </c>
      <c r="G1123" t="s">
        <v>859</v>
      </c>
      <c r="H1123" t="s">
        <v>355</v>
      </c>
      <c r="I1123" t="s">
        <v>695</v>
      </c>
      <c r="J1123" t="s">
        <v>45</v>
      </c>
      <c r="K1123">
        <v>24</v>
      </c>
      <c r="L1123" t="s">
        <v>46</v>
      </c>
      <c r="M1123">
        <v>77</v>
      </c>
      <c r="N1123">
        <v>5</v>
      </c>
      <c r="O1123">
        <v>1590.88</v>
      </c>
      <c r="P1123" s="1">
        <v>45600.338738425926</v>
      </c>
      <c r="Q1123">
        <v>16</v>
      </c>
      <c r="R1123" t="s">
        <v>141</v>
      </c>
      <c r="S1123">
        <v>2.1840397944102599E-2</v>
      </c>
      <c r="T1123" t="b">
        <v>0</v>
      </c>
      <c r="U1123" t="b">
        <v>1</v>
      </c>
      <c r="V1123" t="b">
        <f t="shared" si="34"/>
        <v>1</v>
      </c>
      <c r="W1123">
        <v>1</v>
      </c>
      <c r="Y1123">
        <f t="shared" si="35"/>
        <v>0</v>
      </c>
    </row>
    <row r="1124" spans="1:25" x14ac:dyDescent="0.3">
      <c r="A1124" t="s">
        <v>2801</v>
      </c>
      <c r="B1124" t="s">
        <v>2663</v>
      </c>
      <c r="C1124">
        <v>219.02</v>
      </c>
      <c r="D1124" s="1">
        <v>45292.688171296293</v>
      </c>
      <c r="E1124" t="s">
        <v>57</v>
      </c>
      <c r="F1124" t="s">
        <v>26</v>
      </c>
      <c r="G1124" t="s">
        <v>319</v>
      </c>
      <c r="H1124" t="s">
        <v>2196</v>
      </c>
      <c r="I1124" t="s">
        <v>495</v>
      </c>
      <c r="J1124" t="s">
        <v>45</v>
      </c>
      <c r="K1124">
        <v>54</v>
      </c>
      <c r="L1124" t="s">
        <v>89</v>
      </c>
      <c r="M1124">
        <v>68</v>
      </c>
      <c r="N1124">
        <v>1</v>
      </c>
      <c r="O1124">
        <v>7375.73</v>
      </c>
      <c r="P1124" s="1">
        <v>45600.339733796296</v>
      </c>
      <c r="Q1124">
        <v>16</v>
      </c>
      <c r="R1124" t="s">
        <v>47</v>
      </c>
      <c r="S1124">
        <v>-0.26913782810117398</v>
      </c>
      <c r="T1124" t="b">
        <v>0</v>
      </c>
      <c r="U1124" t="b">
        <v>0</v>
      </c>
      <c r="V1124" t="b">
        <f t="shared" si="34"/>
        <v>1</v>
      </c>
      <c r="W1124">
        <v>0</v>
      </c>
      <c r="Y1124">
        <f t="shared" si="35"/>
        <v>0</v>
      </c>
    </row>
    <row r="1125" spans="1:25" x14ac:dyDescent="0.3">
      <c r="A1125" t="s">
        <v>2802</v>
      </c>
      <c r="B1125" t="s">
        <v>1766</v>
      </c>
      <c r="C1125">
        <v>125.14</v>
      </c>
      <c r="D1125" s="1">
        <v>45166.721736111111</v>
      </c>
      <c r="E1125" t="s">
        <v>25</v>
      </c>
      <c r="F1125" t="s">
        <v>210</v>
      </c>
      <c r="G1125" t="s">
        <v>2331</v>
      </c>
      <c r="H1125" t="s">
        <v>1810</v>
      </c>
      <c r="I1125" t="s">
        <v>1027</v>
      </c>
      <c r="J1125" t="s">
        <v>81</v>
      </c>
      <c r="K1125">
        <v>20</v>
      </c>
      <c r="L1125" t="s">
        <v>46</v>
      </c>
      <c r="M1125">
        <v>31</v>
      </c>
      <c r="N1125">
        <v>1</v>
      </c>
      <c r="O1125">
        <v>1845.18</v>
      </c>
      <c r="P1125" s="1">
        <v>45600.340763888889</v>
      </c>
      <c r="Q1125">
        <v>17</v>
      </c>
      <c r="R1125" t="s">
        <v>47</v>
      </c>
      <c r="S1125">
        <v>-0.59070387708446503</v>
      </c>
      <c r="T1125" t="b">
        <v>0</v>
      </c>
      <c r="U1125" t="b">
        <v>0</v>
      </c>
      <c r="V1125" t="b">
        <f t="shared" si="34"/>
        <v>1</v>
      </c>
      <c r="W1125">
        <v>0</v>
      </c>
      <c r="Y1125">
        <f t="shared" si="35"/>
        <v>0</v>
      </c>
    </row>
    <row r="1126" spans="1:25" x14ac:dyDescent="0.3">
      <c r="A1126" t="s">
        <v>2803</v>
      </c>
      <c r="B1126" t="s">
        <v>224</v>
      </c>
      <c r="C1126">
        <v>47.6</v>
      </c>
      <c r="D1126" s="1">
        <v>44980.779756944445</v>
      </c>
      <c r="E1126" t="s">
        <v>25</v>
      </c>
      <c r="F1126" t="s">
        <v>131</v>
      </c>
      <c r="G1126" t="s">
        <v>2652</v>
      </c>
      <c r="H1126" t="s">
        <v>1610</v>
      </c>
      <c r="I1126" t="s">
        <v>620</v>
      </c>
      <c r="J1126" t="s">
        <v>45</v>
      </c>
      <c r="K1126">
        <v>53</v>
      </c>
      <c r="L1126" t="s">
        <v>89</v>
      </c>
      <c r="M1126">
        <v>115</v>
      </c>
      <c r="N1126">
        <v>1</v>
      </c>
      <c r="O1126">
        <v>1382.51</v>
      </c>
      <c r="P1126" s="1">
        <v>45600.339120370372</v>
      </c>
      <c r="Q1126">
        <v>18</v>
      </c>
      <c r="R1126" t="s">
        <v>141</v>
      </c>
      <c r="S1126">
        <v>-0.85630071813862396</v>
      </c>
      <c r="T1126" t="b">
        <v>0</v>
      </c>
      <c r="U1126" t="b">
        <v>0</v>
      </c>
      <c r="V1126" t="b">
        <f t="shared" si="34"/>
        <v>1</v>
      </c>
      <c r="W1126">
        <v>0</v>
      </c>
      <c r="Y1126">
        <f t="shared" si="35"/>
        <v>0</v>
      </c>
    </row>
    <row r="1127" spans="1:25" x14ac:dyDescent="0.3">
      <c r="A1127" t="s">
        <v>2804</v>
      </c>
      <c r="B1127" t="s">
        <v>1356</v>
      </c>
      <c r="C1127">
        <v>592.82000000000005</v>
      </c>
      <c r="D1127" s="1">
        <v>45183.726261574076</v>
      </c>
      <c r="E1127" t="s">
        <v>25</v>
      </c>
      <c r="F1127" t="s">
        <v>104</v>
      </c>
      <c r="G1127" t="s">
        <v>1007</v>
      </c>
      <c r="H1127" t="s">
        <v>499</v>
      </c>
      <c r="I1127" t="s">
        <v>605</v>
      </c>
      <c r="J1127" t="s">
        <v>45</v>
      </c>
      <c r="K1127">
        <v>74</v>
      </c>
      <c r="L1127" t="s">
        <v>82</v>
      </c>
      <c r="M1127">
        <v>248</v>
      </c>
      <c r="N1127">
        <v>1</v>
      </c>
      <c r="O1127">
        <v>7508.98</v>
      </c>
      <c r="P1127" s="1">
        <v>45600.341828703706</v>
      </c>
      <c r="Q1127">
        <v>17</v>
      </c>
      <c r="R1127" t="s">
        <v>141</v>
      </c>
      <c r="S1127">
        <v>1.0112348722605</v>
      </c>
      <c r="T1127" t="b">
        <v>0</v>
      </c>
      <c r="U1127" t="b">
        <v>0</v>
      </c>
      <c r="V1127" t="b">
        <f t="shared" si="34"/>
        <v>1</v>
      </c>
      <c r="W1127">
        <v>0</v>
      </c>
      <c r="Y1127">
        <f t="shared" si="35"/>
        <v>0</v>
      </c>
    </row>
    <row r="1128" spans="1:25" x14ac:dyDescent="0.3">
      <c r="A1128" t="s">
        <v>2805</v>
      </c>
      <c r="B1128" t="s">
        <v>34</v>
      </c>
      <c r="C1128">
        <v>372.5</v>
      </c>
      <c r="D1128" s="1">
        <v>45215.760972222219</v>
      </c>
      <c r="E1128" t="s">
        <v>25</v>
      </c>
      <c r="F1128" t="s">
        <v>92</v>
      </c>
      <c r="G1128" t="s">
        <v>1896</v>
      </c>
      <c r="H1128" t="s">
        <v>976</v>
      </c>
      <c r="I1128" t="s">
        <v>101</v>
      </c>
      <c r="J1128" t="s">
        <v>30</v>
      </c>
      <c r="K1128">
        <v>22</v>
      </c>
      <c r="L1128" t="s">
        <v>46</v>
      </c>
      <c r="M1128">
        <v>211</v>
      </c>
      <c r="N1128">
        <v>1</v>
      </c>
      <c r="O1128">
        <v>3901.82</v>
      </c>
      <c r="P1128" s="1">
        <v>45600.340578703705</v>
      </c>
      <c r="Q1128">
        <v>18</v>
      </c>
      <c r="R1128" t="s">
        <v>47</v>
      </c>
      <c r="S1128">
        <v>0.25657539301040999</v>
      </c>
      <c r="T1128" t="b">
        <v>0</v>
      </c>
      <c r="U1128" t="b">
        <v>0</v>
      </c>
      <c r="V1128" t="b">
        <f t="shared" si="34"/>
        <v>1</v>
      </c>
      <c r="W1128">
        <v>0</v>
      </c>
      <c r="Y1128">
        <f t="shared" si="35"/>
        <v>0</v>
      </c>
    </row>
    <row r="1129" spans="1:25" x14ac:dyDescent="0.3">
      <c r="A1129" t="s">
        <v>2806</v>
      </c>
      <c r="B1129" t="s">
        <v>1025</v>
      </c>
      <c r="C1129">
        <v>4.72</v>
      </c>
      <c r="D1129" s="1">
        <v>45033.669351851851</v>
      </c>
      <c r="E1129" t="s">
        <v>25</v>
      </c>
      <c r="F1129" t="s">
        <v>170</v>
      </c>
      <c r="G1129" t="s">
        <v>2807</v>
      </c>
      <c r="H1129" t="s">
        <v>596</v>
      </c>
      <c r="I1129" t="s">
        <v>280</v>
      </c>
      <c r="J1129" t="s">
        <v>81</v>
      </c>
      <c r="K1129">
        <v>32</v>
      </c>
      <c r="L1129" t="s">
        <v>89</v>
      </c>
      <c r="M1129">
        <v>20</v>
      </c>
      <c r="N1129">
        <v>1</v>
      </c>
      <c r="O1129">
        <v>4792.01</v>
      </c>
      <c r="P1129" s="1">
        <v>45600.339907407404</v>
      </c>
      <c r="Q1129">
        <v>16</v>
      </c>
      <c r="R1129" t="s">
        <v>47</v>
      </c>
      <c r="S1129">
        <v>-1.0031770728510601</v>
      </c>
      <c r="T1129" t="b">
        <v>0</v>
      </c>
      <c r="U1129" t="b">
        <v>0</v>
      </c>
      <c r="V1129" t="b">
        <f t="shared" si="34"/>
        <v>1</v>
      </c>
      <c r="W1129">
        <v>0</v>
      </c>
      <c r="Y1129">
        <f t="shared" si="35"/>
        <v>0</v>
      </c>
    </row>
    <row r="1130" spans="1:25" x14ac:dyDescent="0.3">
      <c r="A1130" t="s">
        <v>2808</v>
      </c>
      <c r="B1130" t="s">
        <v>700</v>
      </c>
      <c r="C1130">
        <v>144.93</v>
      </c>
      <c r="D1130" s="1">
        <v>45062.688888888886</v>
      </c>
      <c r="E1130" t="s">
        <v>25</v>
      </c>
      <c r="F1130" t="s">
        <v>571</v>
      </c>
      <c r="G1130" t="s">
        <v>1063</v>
      </c>
      <c r="H1130" t="s">
        <v>760</v>
      </c>
      <c r="I1130" t="s">
        <v>495</v>
      </c>
      <c r="J1130" t="s">
        <v>81</v>
      </c>
      <c r="K1130">
        <v>42</v>
      </c>
      <c r="L1130" t="s">
        <v>89</v>
      </c>
      <c r="M1130">
        <v>74</v>
      </c>
      <c r="N1130">
        <v>1</v>
      </c>
      <c r="O1130">
        <v>6887.52</v>
      </c>
      <c r="P1130" s="1">
        <v>45600.339791666665</v>
      </c>
      <c r="Q1130">
        <v>16</v>
      </c>
      <c r="R1130" t="s">
        <v>32</v>
      </c>
      <c r="S1130">
        <v>-0.52291742513112804</v>
      </c>
      <c r="T1130" t="b">
        <v>0</v>
      </c>
      <c r="U1130" t="b">
        <v>0</v>
      </c>
      <c r="V1130" t="b">
        <f t="shared" si="34"/>
        <v>1</v>
      </c>
      <c r="W1130">
        <v>0</v>
      </c>
      <c r="Y1130">
        <f t="shared" si="35"/>
        <v>0</v>
      </c>
    </row>
    <row r="1131" spans="1:25" x14ac:dyDescent="0.3">
      <c r="A1131" t="s">
        <v>2809</v>
      </c>
      <c r="B1131" t="s">
        <v>1514</v>
      </c>
      <c r="C1131">
        <v>316.56</v>
      </c>
      <c r="D1131" s="1">
        <v>45167.770995370367</v>
      </c>
      <c r="E1131" t="s">
        <v>25</v>
      </c>
      <c r="F1131" t="s">
        <v>126</v>
      </c>
      <c r="G1131" t="s">
        <v>1649</v>
      </c>
      <c r="H1131" t="s">
        <v>2064</v>
      </c>
      <c r="I1131" t="s">
        <v>38</v>
      </c>
      <c r="J1131" t="s">
        <v>45</v>
      </c>
      <c r="K1131">
        <v>28</v>
      </c>
      <c r="L1131" t="s">
        <v>89</v>
      </c>
      <c r="M1131">
        <v>261</v>
      </c>
      <c r="N1131">
        <v>1</v>
      </c>
      <c r="O1131">
        <v>8643.51</v>
      </c>
      <c r="P1131" s="1">
        <v>45600.340243055558</v>
      </c>
      <c r="Q1131">
        <v>18</v>
      </c>
      <c r="R1131" t="s">
        <v>32</v>
      </c>
      <c r="S1131">
        <v>6.4964775412143003E-2</v>
      </c>
      <c r="T1131" t="b">
        <v>0</v>
      </c>
      <c r="U1131" t="b">
        <v>0</v>
      </c>
      <c r="V1131" t="b">
        <f t="shared" si="34"/>
        <v>1</v>
      </c>
      <c r="W1131">
        <v>0</v>
      </c>
      <c r="Y1131">
        <f t="shared" si="35"/>
        <v>0</v>
      </c>
    </row>
    <row r="1132" spans="1:25" x14ac:dyDescent="0.3">
      <c r="A1132" t="s">
        <v>2810</v>
      </c>
      <c r="B1132" t="s">
        <v>1192</v>
      </c>
      <c r="C1132">
        <v>9.18</v>
      </c>
      <c r="D1132" s="1">
        <v>45113.757627314815</v>
      </c>
      <c r="E1132" t="s">
        <v>25</v>
      </c>
      <c r="F1132" t="s">
        <v>225</v>
      </c>
      <c r="G1132" t="s">
        <v>1837</v>
      </c>
      <c r="H1132" t="s">
        <v>715</v>
      </c>
      <c r="I1132" t="s">
        <v>1300</v>
      </c>
      <c r="J1132" t="s">
        <v>45</v>
      </c>
      <c r="K1132">
        <v>22</v>
      </c>
      <c r="L1132" t="s">
        <v>46</v>
      </c>
      <c r="M1132">
        <v>140</v>
      </c>
      <c r="N1132">
        <v>1</v>
      </c>
      <c r="O1132">
        <v>887.32</v>
      </c>
      <c r="P1132" s="1">
        <v>45600.340138888889</v>
      </c>
      <c r="Q1132">
        <v>18</v>
      </c>
      <c r="R1132" t="s">
        <v>141</v>
      </c>
      <c r="S1132">
        <v>-0.98790028782266803</v>
      </c>
      <c r="T1132" t="b">
        <v>0</v>
      </c>
      <c r="U1132" t="b">
        <v>0</v>
      </c>
      <c r="V1132" t="b">
        <f t="shared" si="34"/>
        <v>1</v>
      </c>
      <c r="W1132">
        <v>0</v>
      </c>
      <c r="Y1132">
        <f t="shared" si="35"/>
        <v>0</v>
      </c>
    </row>
    <row r="1133" spans="1:25" x14ac:dyDescent="0.3">
      <c r="A1133" t="s">
        <v>2811</v>
      </c>
      <c r="B1133" t="s">
        <v>1230</v>
      </c>
      <c r="C1133">
        <v>421.25</v>
      </c>
      <c r="D1133" s="1">
        <v>44931.676377314812</v>
      </c>
      <c r="E1133" t="s">
        <v>25</v>
      </c>
      <c r="F1133" t="s">
        <v>170</v>
      </c>
      <c r="G1133" t="s">
        <v>1635</v>
      </c>
      <c r="H1133" t="s">
        <v>2601</v>
      </c>
      <c r="I1133" t="s">
        <v>95</v>
      </c>
      <c r="J1133" t="s">
        <v>45</v>
      </c>
      <c r="K1133">
        <v>25</v>
      </c>
      <c r="L1133" t="s">
        <v>46</v>
      </c>
      <c r="M1133">
        <v>66</v>
      </c>
      <c r="N1133">
        <v>1</v>
      </c>
      <c r="O1133">
        <v>7174.69</v>
      </c>
      <c r="P1133" s="1">
        <v>45600.338726851849</v>
      </c>
      <c r="Q1133">
        <v>16</v>
      </c>
      <c r="R1133" t="s">
        <v>141</v>
      </c>
      <c r="S1133">
        <v>0.42355818900460901</v>
      </c>
      <c r="T1133" t="b">
        <v>0</v>
      </c>
      <c r="U1133" t="b">
        <v>0</v>
      </c>
      <c r="V1133" t="b">
        <f t="shared" si="34"/>
        <v>1</v>
      </c>
      <c r="W1133">
        <v>0</v>
      </c>
      <c r="Y1133">
        <f t="shared" si="35"/>
        <v>0</v>
      </c>
    </row>
    <row r="1134" spans="1:25" x14ac:dyDescent="0.3">
      <c r="A1134" t="s">
        <v>2812</v>
      </c>
      <c r="B1134" t="s">
        <v>442</v>
      </c>
      <c r="C1134">
        <v>185.71</v>
      </c>
      <c r="D1134" s="1">
        <v>45145.677268518521</v>
      </c>
      <c r="E1134" t="s">
        <v>25</v>
      </c>
      <c r="F1134" t="s">
        <v>314</v>
      </c>
      <c r="G1134" t="s">
        <v>650</v>
      </c>
      <c r="H1134" t="s">
        <v>1531</v>
      </c>
      <c r="I1134" t="s">
        <v>833</v>
      </c>
      <c r="J1134" t="s">
        <v>81</v>
      </c>
      <c r="K1134">
        <v>48</v>
      </c>
      <c r="L1134" t="s">
        <v>89</v>
      </c>
      <c r="M1134">
        <v>194</v>
      </c>
      <c r="N1134">
        <v>1</v>
      </c>
      <c r="O1134">
        <v>2679.91</v>
      </c>
      <c r="P1134" s="1">
        <v>45600.340057870373</v>
      </c>
      <c r="Q1134">
        <v>16</v>
      </c>
      <c r="R1134" t="s">
        <v>47</v>
      </c>
      <c r="S1134">
        <v>-0.38323417547690303</v>
      </c>
      <c r="T1134" t="b">
        <v>0</v>
      </c>
      <c r="U1134" t="b">
        <v>0</v>
      </c>
      <c r="V1134" t="b">
        <f t="shared" si="34"/>
        <v>1</v>
      </c>
      <c r="W1134">
        <v>0</v>
      </c>
      <c r="Y1134">
        <f t="shared" si="35"/>
        <v>0</v>
      </c>
    </row>
    <row r="1135" spans="1:25" x14ac:dyDescent="0.3">
      <c r="A1135" t="s">
        <v>2813</v>
      </c>
      <c r="B1135" t="s">
        <v>164</v>
      </c>
      <c r="C1135">
        <v>1432.02</v>
      </c>
      <c r="D1135" s="1">
        <v>45177.743159722224</v>
      </c>
      <c r="E1135" t="s">
        <v>25</v>
      </c>
      <c r="F1135" t="s">
        <v>120</v>
      </c>
      <c r="G1135" t="s">
        <v>1154</v>
      </c>
      <c r="H1135" t="s">
        <v>2359</v>
      </c>
      <c r="I1135" t="s">
        <v>440</v>
      </c>
      <c r="J1135" t="s">
        <v>81</v>
      </c>
      <c r="K1135">
        <v>60</v>
      </c>
      <c r="L1135" t="s">
        <v>82</v>
      </c>
      <c r="M1135">
        <v>138</v>
      </c>
      <c r="N1135">
        <v>1</v>
      </c>
      <c r="O1135">
        <v>4315.07</v>
      </c>
      <c r="P1135" s="1">
        <v>45600.34</v>
      </c>
      <c r="Q1135">
        <v>17</v>
      </c>
      <c r="R1135" t="s">
        <v>54</v>
      </c>
      <c r="S1135">
        <v>3.8857366650467999</v>
      </c>
      <c r="T1135" t="b">
        <v>1</v>
      </c>
      <c r="U1135" t="b">
        <v>0</v>
      </c>
      <c r="V1135" t="b">
        <f t="shared" si="34"/>
        <v>1</v>
      </c>
      <c r="W1135">
        <v>1</v>
      </c>
      <c r="Y1135">
        <f t="shared" si="35"/>
        <v>1</v>
      </c>
    </row>
    <row r="1136" spans="1:25" x14ac:dyDescent="0.3">
      <c r="A1136" t="s">
        <v>2814</v>
      </c>
      <c r="B1136" t="s">
        <v>2815</v>
      </c>
      <c r="C1136">
        <v>26.27</v>
      </c>
      <c r="D1136" s="1">
        <v>45002.682546296295</v>
      </c>
      <c r="E1136" t="s">
        <v>57</v>
      </c>
      <c r="F1136" t="s">
        <v>608</v>
      </c>
      <c r="G1136" t="s">
        <v>1148</v>
      </c>
      <c r="H1136" t="s">
        <v>953</v>
      </c>
      <c r="I1136" t="s">
        <v>1575</v>
      </c>
      <c r="J1136" t="s">
        <v>45</v>
      </c>
      <c r="K1136">
        <v>45</v>
      </c>
      <c r="L1136" t="s">
        <v>89</v>
      </c>
      <c r="M1136">
        <v>177</v>
      </c>
      <c r="N1136">
        <v>1</v>
      </c>
      <c r="O1136">
        <v>8853.93</v>
      </c>
      <c r="P1136" s="1">
        <v>45600.340520833335</v>
      </c>
      <c r="Q1136">
        <v>16</v>
      </c>
      <c r="R1136" t="s">
        <v>54</v>
      </c>
      <c r="S1136">
        <v>-0.92936211380131695</v>
      </c>
      <c r="T1136" t="b">
        <v>0</v>
      </c>
      <c r="U1136" t="b">
        <v>0</v>
      </c>
      <c r="V1136" t="b">
        <f t="shared" si="34"/>
        <v>1</v>
      </c>
      <c r="W1136">
        <v>0</v>
      </c>
      <c r="Y1136">
        <f t="shared" si="35"/>
        <v>0</v>
      </c>
    </row>
    <row r="1137" spans="1:25" x14ac:dyDescent="0.3">
      <c r="A1137" t="s">
        <v>2816</v>
      </c>
      <c r="B1137" t="s">
        <v>1213</v>
      </c>
      <c r="C1137">
        <v>297.02999999999997</v>
      </c>
      <c r="D1137" s="1">
        <v>45177.714236111111</v>
      </c>
      <c r="E1137" t="s">
        <v>25</v>
      </c>
      <c r="F1137" t="s">
        <v>131</v>
      </c>
      <c r="G1137" t="s">
        <v>1963</v>
      </c>
      <c r="H1137" t="s">
        <v>752</v>
      </c>
      <c r="I1137" t="s">
        <v>589</v>
      </c>
      <c r="J1137" t="s">
        <v>45</v>
      </c>
      <c r="K1137">
        <v>61</v>
      </c>
      <c r="L1137" t="s">
        <v>82</v>
      </c>
      <c r="M1137">
        <v>151</v>
      </c>
      <c r="N1137">
        <v>1</v>
      </c>
      <c r="O1137">
        <v>1088.6199999999999</v>
      </c>
      <c r="P1137" s="1">
        <v>45600.34039351852</v>
      </c>
      <c r="Q1137">
        <v>17</v>
      </c>
      <c r="R1137" t="s">
        <v>54</v>
      </c>
      <c r="S1137">
        <v>-1.9311016292256501E-3</v>
      </c>
      <c r="T1137" t="b">
        <v>0</v>
      </c>
      <c r="U1137" t="b">
        <v>0</v>
      </c>
      <c r="V1137" t="b">
        <f t="shared" si="34"/>
        <v>1</v>
      </c>
      <c r="W1137">
        <v>0</v>
      </c>
      <c r="Y1137">
        <f t="shared" si="35"/>
        <v>0</v>
      </c>
    </row>
    <row r="1138" spans="1:25" x14ac:dyDescent="0.3">
      <c r="A1138" t="s">
        <v>2817</v>
      </c>
      <c r="B1138" t="s">
        <v>2005</v>
      </c>
      <c r="C1138">
        <v>341.67</v>
      </c>
      <c r="D1138" s="1">
        <v>44991.698194444441</v>
      </c>
      <c r="E1138" t="s">
        <v>25</v>
      </c>
      <c r="F1138" t="s">
        <v>309</v>
      </c>
      <c r="G1138" t="s">
        <v>1556</v>
      </c>
      <c r="H1138" t="s">
        <v>1981</v>
      </c>
      <c r="I1138" t="s">
        <v>993</v>
      </c>
      <c r="J1138" t="s">
        <v>81</v>
      </c>
      <c r="K1138">
        <v>53</v>
      </c>
      <c r="L1138" t="s">
        <v>82</v>
      </c>
      <c r="M1138">
        <v>96</v>
      </c>
      <c r="N1138">
        <v>5</v>
      </c>
      <c r="O1138">
        <v>1442.29</v>
      </c>
      <c r="P1138" s="1">
        <v>45600.339618055557</v>
      </c>
      <c r="Q1138">
        <v>16</v>
      </c>
      <c r="R1138" t="s">
        <v>47</v>
      </c>
      <c r="S1138">
        <v>0.150973760179616</v>
      </c>
      <c r="T1138" t="b">
        <v>0</v>
      </c>
      <c r="U1138" t="b">
        <v>1</v>
      </c>
      <c r="V1138" t="b">
        <f t="shared" si="34"/>
        <v>1</v>
      </c>
      <c r="W1138">
        <v>1</v>
      </c>
      <c r="Y1138">
        <f t="shared" si="35"/>
        <v>0</v>
      </c>
    </row>
    <row r="1139" spans="1:25" x14ac:dyDescent="0.3">
      <c r="A1139" t="s">
        <v>2818</v>
      </c>
      <c r="B1139" t="s">
        <v>1773</v>
      </c>
      <c r="C1139">
        <v>99.52</v>
      </c>
      <c r="D1139" s="1">
        <v>45026.742407407408</v>
      </c>
      <c r="E1139" t="s">
        <v>25</v>
      </c>
      <c r="F1139" t="s">
        <v>26</v>
      </c>
      <c r="G1139" t="s">
        <v>2819</v>
      </c>
      <c r="H1139" t="s">
        <v>1183</v>
      </c>
      <c r="I1139" t="s">
        <v>173</v>
      </c>
      <c r="J1139" t="s">
        <v>30</v>
      </c>
      <c r="K1139">
        <v>52</v>
      </c>
      <c r="L1139" t="s">
        <v>89</v>
      </c>
      <c r="M1139">
        <v>127</v>
      </c>
      <c r="N1139">
        <v>1</v>
      </c>
      <c r="O1139">
        <v>3798.09</v>
      </c>
      <c r="P1139" s="1">
        <v>45600.341435185182</v>
      </c>
      <c r="Q1139">
        <v>17</v>
      </c>
      <c r="R1139" t="s">
        <v>47</v>
      </c>
      <c r="S1139">
        <v>-0.67845975879464804</v>
      </c>
      <c r="T1139" t="b">
        <v>0</v>
      </c>
      <c r="U1139" t="b">
        <v>0</v>
      </c>
      <c r="V1139" t="b">
        <f t="shared" si="34"/>
        <v>1</v>
      </c>
      <c r="W1139">
        <v>0</v>
      </c>
      <c r="Y1139">
        <f t="shared" si="35"/>
        <v>0</v>
      </c>
    </row>
    <row r="1140" spans="1:25" x14ac:dyDescent="0.3">
      <c r="A1140" t="s">
        <v>2820</v>
      </c>
      <c r="B1140" t="s">
        <v>889</v>
      </c>
      <c r="C1140">
        <v>881.1</v>
      </c>
      <c r="D1140" s="1">
        <v>45243.698680555557</v>
      </c>
      <c r="E1140" t="s">
        <v>25</v>
      </c>
      <c r="F1140" t="s">
        <v>438</v>
      </c>
      <c r="G1140" t="s">
        <v>121</v>
      </c>
      <c r="H1140" t="s">
        <v>1764</v>
      </c>
      <c r="I1140" t="s">
        <v>495</v>
      </c>
      <c r="J1140" t="s">
        <v>81</v>
      </c>
      <c r="K1140">
        <v>28</v>
      </c>
      <c r="L1140" t="s">
        <v>46</v>
      </c>
      <c r="M1140">
        <v>16</v>
      </c>
      <c r="N1140">
        <v>1</v>
      </c>
      <c r="O1140">
        <v>9951.68</v>
      </c>
      <c r="P1140" s="1">
        <v>45600.339004629626</v>
      </c>
      <c r="Q1140">
        <v>16</v>
      </c>
      <c r="R1140" t="s">
        <v>47</v>
      </c>
      <c r="S1140">
        <v>1.9986769323468101</v>
      </c>
      <c r="T1140" t="b">
        <v>0</v>
      </c>
      <c r="U1140" t="b">
        <v>0</v>
      </c>
      <c r="V1140" t="b">
        <f t="shared" si="34"/>
        <v>1</v>
      </c>
      <c r="W1140">
        <v>0</v>
      </c>
      <c r="Y1140">
        <f t="shared" si="35"/>
        <v>0</v>
      </c>
    </row>
    <row r="1141" spans="1:25" x14ac:dyDescent="0.3">
      <c r="A1141" t="s">
        <v>2821</v>
      </c>
      <c r="B1141" t="s">
        <v>1749</v>
      </c>
      <c r="C1141">
        <v>139.69</v>
      </c>
      <c r="D1141" s="1">
        <v>45092.724097222221</v>
      </c>
      <c r="E1141" t="s">
        <v>25</v>
      </c>
      <c r="F1141" t="s">
        <v>77</v>
      </c>
      <c r="G1141" t="s">
        <v>2822</v>
      </c>
      <c r="H1141" t="s">
        <v>841</v>
      </c>
      <c r="I1141" t="s">
        <v>117</v>
      </c>
      <c r="J1141" t="s">
        <v>45</v>
      </c>
      <c r="K1141">
        <v>52</v>
      </c>
      <c r="L1141" t="s">
        <v>89</v>
      </c>
      <c r="M1141">
        <v>180</v>
      </c>
      <c r="N1141">
        <v>1</v>
      </c>
      <c r="O1141">
        <v>9567.94</v>
      </c>
      <c r="P1141" s="1">
        <v>45600.338842592595</v>
      </c>
      <c r="Q1141">
        <v>17</v>
      </c>
      <c r="R1141" t="s">
        <v>141</v>
      </c>
      <c r="S1141">
        <v>-0.540865934895427</v>
      </c>
      <c r="T1141" t="b">
        <v>0</v>
      </c>
      <c r="U1141" t="b">
        <v>0</v>
      </c>
      <c r="V1141" t="b">
        <f t="shared" si="34"/>
        <v>1</v>
      </c>
      <c r="W1141">
        <v>0</v>
      </c>
      <c r="Y1141">
        <f t="shared" si="35"/>
        <v>0</v>
      </c>
    </row>
    <row r="1142" spans="1:25" x14ac:dyDescent="0.3">
      <c r="A1142" t="s">
        <v>2823</v>
      </c>
      <c r="B1142" t="s">
        <v>1253</v>
      </c>
      <c r="C1142">
        <v>42.72</v>
      </c>
      <c r="D1142" s="1">
        <v>45155.704976851855</v>
      </c>
      <c r="E1142" t="s">
        <v>25</v>
      </c>
      <c r="F1142" t="s">
        <v>92</v>
      </c>
      <c r="G1142" t="s">
        <v>2824</v>
      </c>
      <c r="H1142" t="s">
        <v>289</v>
      </c>
      <c r="I1142" t="s">
        <v>366</v>
      </c>
      <c r="J1142" t="s">
        <v>30</v>
      </c>
      <c r="K1142">
        <v>37</v>
      </c>
      <c r="L1142" t="s">
        <v>89</v>
      </c>
      <c r="M1142">
        <v>143</v>
      </c>
      <c r="N1142">
        <v>1</v>
      </c>
      <c r="O1142">
        <v>2669.66</v>
      </c>
      <c r="P1142" s="1">
        <v>45600.338182870371</v>
      </c>
      <c r="Q1142">
        <v>16</v>
      </c>
      <c r="R1142" t="s">
        <v>141</v>
      </c>
      <c r="S1142">
        <v>-0.87301612417865904</v>
      </c>
      <c r="T1142" t="b">
        <v>0</v>
      </c>
      <c r="U1142" t="b">
        <v>0</v>
      </c>
      <c r="V1142" t="b">
        <f t="shared" si="34"/>
        <v>1</v>
      </c>
      <c r="W1142">
        <v>0</v>
      </c>
      <c r="Y1142">
        <f t="shared" si="35"/>
        <v>0</v>
      </c>
    </row>
    <row r="1143" spans="1:25" x14ac:dyDescent="0.3">
      <c r="A1143" t="s">
        <v>2825</v>
      </c>
      <c r="B1143" t="s">
        <v>175</v>
      </c>
      <c r="C1143">
        <v>112.72</v>
      </c>
      <c r="D1143" s="1">
        <v>45012.690486111111</v>
      </c>
      <c r="E1143" t="s">
        <v>25</v>
      </c>
      <c r="F1143" t="s">
        <v>466</v>
      </c>
      <c r="G1143" t="s">
        <v>1375</v>
      </c>
      <c r="H1143" t="s">
        <v>1858</v>
      </c>
      <c r="I1143" t="s">
        <v>178</v>
      </c>
      <c r="J1143" t="s">
        <v>81</v>
      </c>
      <c r="K1143">
        <v>31</v>
      </c>
      <c r="L1143" t="s">
        <v>31</v>
      </c>
      <c r="M1143">
        <v>17</v>
      </c>
      <c r="N1143">
        <v>1</v>
      </c>
      <c r="O1143">
        <v>9630</v>
      </c>
      <c r="P1143" s="1">
        <v>45600.341886574075</v>
      </c>
      <c r="Q1143">
        <v>16</v>
      </c>
      <c r="R1143" t="s">
        <v>47</v>
      </c>
      <c r="S1143">
        <v>-0.63324595557160301</v>
      </c>
      <c r="T1143" t="b">
        <v>0</v>
      </c>
      <c r="U1143" t="b">
        <v>0</v>
      </c>
      <c r="V1143" t="b">
        <f t="shared" si="34"/>
        <v>1</v>
      </c>
      <c r="W1143">
        <v>0</v>
      </c>
      <c r="Y1143">
        <f t="shared" si="35"/>
        <v>0</v>
      </c>
    </row>
    <row r="1144" spans="1:25" x14ac:dyDescent="0.3">
      <c r="A1144" t="s">
        <v>2826</v>
      </c>
      <c r="B1144" t="s">
        <v>769</v>
      </c>
      <c r="C1144">
        <v>568.88</v>
      </c>
      <c r="D1144" s="1">
        <v>44967.686655092592</v>
      </c>
      <c r="E1144" t="s">
        <v>25</v>
      </c>
      <c r="F1144" t="s">
        <v>92</v>
      </c>
      <c r="G1144" t="s">
        <v>515</v>
      </c>
      <c r="H1144" t="s">
        <v>100</v>
      </c>
      <c r="I1144" t="s">
        <v>605</v>
      </c>
      <c r="J1144" t="s">
        <v>81</v>
      </c>
      <c r="K1144">
        <v>19</v>
      </c>
      <c r="L1144" t="s">
        <v>46</v>
      </c>
      <c r="M1144">
        <v>105</v>
      </c>
      <c r="N1144">
        <v>1</v>
      </c>
      <c r="O1144">
        <v>1307.8599999999999</v>
      </c>
      <c r="P1144" s="1">
        <v>45600.339282407411</v>
      </c>
      <c r="Q1144">
        <v>16</v>
      </c>
      <c r="R1144" t="s">
        <v>54</v>
      </c>
      <c r="S1144">
        <v>0.92923347459688999</v>
      </c>
      <c r="T1144" t="b">
        <v>0</v>
      </c>
      <c r="U1144" t="b">
        <v>0</v>
      </c>
      <c r="V1144" t="b">
        <f t="shared" si="34"/>
        <v>1</v>
      </c>
      <c r="W1144">
        <v>0</v>
      </c>
      <c r="Y1144">
        <f t="shared" si="35"/>
        <v>0</v>
      </c>
    </row>
    <row r="1145" spans="1:25" x14ac:dyDescent="0.3">
      <c r="A1145" t="s">
        <v>2827</v>
      </c>
      <c r="B1145" t="s">
        <v>830</v>
      </c>
      <c r="C1145">
        <v>189.03</v>
      </c>
      <c r="D1145" s="1">
        <v>45036.745949074073</v>
      </c>
      <c r="E1145" t="s">
        <v>25</v>
      </c>
      <c r="F1145" t="s">
        <v>64</v>
      </c>
      <c r="G1145" t="s">
        <v>2441</v>
      </c>
      <c r="H1145" t="s">
        <v>2281</v>
      </c>
      <c r="I1145" t="s">
        <v>259</v>
      </c>
      <c r="J1145" t="s">
        <v>30</v>
      </c>
      <c r="K1145">
        <v>28</v>
      </c>
      <c r="L1145" t="s">
        <v>46</v>
      </c>
      <c r="M1145">
        <v>50</v>
      </c>
      <c r="N1145">
        <v>1</v>
      </c>
      <c r="O1145">
        <v>1916.46</v>
      </c>
      <c r="P1145" s="1">
        <v>45600.33966435185</v>
      </c>
      <c r="Q1145">
        <v>17</v>
      </c>
      <c r="R1145" t="s">
        <v>141</v>
      </c>
      <c r="S1145">
        <v>-0.37186221890868298</v>
      </c>
      <c r="T1145" t="b">
        <v>0</v>
      </c>
      <c r="U1145" t="b">
        <v>0</v>
      </c>
      <c r="V1145" t="b">
        <f t="shared" si="34"/>
        <v>1</v>
      </c>
      <c r="W1145">
        <v>0</v>
      </c>
      <c r="Y1145">
        <f t="shared" si="35"/>
        <v>0</v>
      </c>
    </row>
    <row r="1146" spans="1:25" x14ac:dyDescent="0.3">
      <c r="A1146" t="s">
        <v>2828</v>
      </c>
      <c r="B1146" t="s">
        <v>1326</v>
      </c>
      <c r="C1146">
        <v>199.8</v>
      </c>
      <c r="D1146" s="1">
        <v>45131.679745370369</v>
      </c>
      <c r="E1146" t="s">
        <v>25</v>
      </c>
      <c r="F1146" t="s">
        <v>85</v>
      </c>
      <c r="G1146" t="s">
        <v>2414</v>
      </c>
      <c r="H1146" t="s">
        <v>2084</v>
      </c>
      <c r="I1146" t="s">
        <v>871</v>
      </c>
      <c r="J1146" t="s">
        <v>30</v>
      </c>
      <c r="K1146">
        <v>20</v>
      </c>
      <c r="L1146" t="s">
        <v>46</v>
      </c>
      <c r="M1146">
        <v>163</v>
      </c>
      <c r="N1146">
        <v>1</v>
      </c>
      <c r="O1146">
        <v>167.28</v>
      </c>
      <c r="P1146" s="1">
        <v>45600.341365740744</v>
      </c>
      <c r="Q1146">
        <v>16</v>
      </c>
      <c r="R1146" t="s">
        <v>47</v>
      </c>
      <c r="S1146">
        <v>-0.33497186582442501</v>
      </c>
      <c r="T1146" t="b">
        <v>0</v>
      </c>
      <c r="U1146" t="b">
        <v>0</v>
      </c>
      <c r="V1146" t="b">
        <f t="shared" si="34"/>
        <v>1</v>
      </c>
      <c r="W1146">
        <v>0</v>
      </c>
      <c r="Y1146">
        <f t="shared" si="35"/>
        <v>0</v>
      </c>
    </row>
    <row r="1147" spans="1:25" x14ac:dyDescent="0.3">
      <c r="A1147" t="s">
        <v>2829</v>
      </c>
      <c r="B1147" t="s">
        <v>341</v>
      </c>
      <c r="C1147">
        <v>189.08</v>
      </c>
      <c r="D1147" s="1">
        <v>44998.675844907404</v>
      </c>
      <c r="E1147" t="s">
        <v>25</v>
      </c>
      <c r="F1147" t="s">
        <v>185</v>
      </c>
      <c r="G1147" t="s">
        <v>1121</v>
      </c>
      <c r="H1147" t="s">
        <v>1311</v>
      </c>
      <c r="I1147" t="s">
        <v>1362</v>
      </c>
      <c r="J1147" t="s">
        <v>81</v>
      </c>
      <c r="K1147">
        <v>68</v>
      </c>
      <c r="L1147" t="s">
        <v>31</v>
      </c>
      <c r="M1147">
        <v>238</v>
      </c>
      <c r="N1147">
        <v>1</v>
      </c>
      <c r="O1147">
        <v>10790.8</v>
      </c>
      <c r="P1147" s="1">
        <v>45600.339444444442</v>
      </c>
      <c r="Q1147">
        <v>16</v>
      </c>
      <c r="R1147" t="s">
        <v>47</v>
      </c>
      <c r="S1147">
        <v>-0.37169095450253498</v>
      </c>
      <c r="T1147" t="b">
        <v>0</v>
      </c>
      <c r="U1147" t="b">
        <v>0</v>
      </c>
      <c r="V1147" t="b">
        <f t="shared" si="34"/>
        <v>1</v>
      </c>
      <c r="W1147">
        <v>0</v>
      </c>
      <c r="Y1147">
        <f t="shared" si="35"/>
        <v>0</v>
      </c>
    </row>
    <row r="1148" spans="1:25" x14ac:dyDescent="0.3">
      <c r="A1148" t="s">
        <v>2830</v>
      </c>
      <c r="B1148" t="s">
        <v>553</v>
      </c>
      <c r="C1148">
        <v>958.9</v>
      </c>
      <c r="D1148" s="1">
        <v>45111.687673611108</v>
      </c>
      <c r="E1148" t="s">
        <v>25</v>
      </c>
      <c r="F1148" t="s">
        <v>104</v>
      </c>
      <c r="G1148" t="s">
        <v>949</v>
      </c>
      <c r="H1148" t="s">
        <v>2107</v>
      </c>
      <c r="I1148" t="s">
        <v>361</v>
      </c>
      <c r="J1148" t="s">
        <v>81</v>
      </c>
      <c r="K1148">
        <v>31</v>
      </c>
      <c r="L1148" t="s">
        <v>89</v>
      </c>
      <c r="M1148">
        <v>135</v>
      </c>
      <c r="N1148">
        <v>1</v>
      </c>
      <c r="O1148">
        <v>9977.49</v>
      </c>
      <c r="P1148" s="1">
        <v>45600.338148148148</v>
      </c>
      <c r="Q1148">
        <v>16</v>
      </c>
      <c r="R1148" t="s">
        <v>32</v>
      </c>
      <c r="S1148">
        <v>2.2651643483129398</v>
      </c>
      <c r="T1148" t="b">
        <v>1</v>
      </c>
      <c r="U1148" t="b">
        <v>0</v>
      </c>
      <c r="V1148" t="b">
        <f t="shared" si="34"/>
        <v>1</v>
      </c>
      <c r="W1148">
        <v>1</v>
      </c>
      <c r="Y1148">
        <f t="shared" si="35"/>
        <v>1</v>
      </c>
    </row>
    <row r="1149" spans="1:25" x14ac:dyDescent="0.3">
      <c r="A1149" t="s">
        <v>2831</v>
      </c>
      <c r="B1149" t="s">
        <v>1701</v>
      </c>
      <c r="C1149">
        <v>409.59</v>
      </c>
      <c r="D1149" s="1">
        <v>45005.672349537039</v>
      </c>
      <c r="E1149" t="s">
        <v>25</v>
      </c>
      <c r="F1149" t="s">
        <v>98</v>
      </c>
      <c r="G1149" t="s">
        <v>1601</v>
      </c>
      <c r="H1149" t="s">
        <v>2478</v>
      </c>
      <c r="I1149" t="s">
        <v>577</v>
      </c>
      <c r="J1149" t="s">
        <v>45</v>
      </c>
      <c r="K1149">
        <v>35</v>
      </c>
      <c r="L1149" t="s">
        <v>31</v>
      </c>
      <c r="M1149">
        <v>50</v>
      </c>
      <c r="N1149">
        <v>1</v>
      </c>
      <c r="O1149">
        <v>14563.02</v>
      </c>
      <c r="P1149" s="1">
        <v>45600.341261574074</v>
      </c>
      <c r="Q1149">
        <v>16</v>
      </c>
      <c r="R1149" t="s">
        <v>47</v>
      </c>
      <c r="S1149">
        <v>0.38361932949091998</v>
      </c>
      <c r="T1149" t="b">
        <v>0</v>
      </c>
      <c r="U1149" t="b">
        <v>0</v>
      </c>
      <c r="V1149" t="b">
        <f t="shared" si="34"/>
        <v>1</v>
      </c>
      <c r="W1149">
        <v>0</v>
      </c>
      <c r="Y1149">
        <f t="shared" si="35"/>
        <v>0</v>
      </c>
    </row>
    <row r="1150" spans="1:25" x14ac:dyDescent="0.3">
      <c r="A1150" t="s">
        <v>2832</v>
      </c>
      <c r="B1150" t="s">
        <v>2494</v>
      </c>
      <c r="C1150">
        <v>349.34</v>
      </c>
      <c r="D1150" s="1">
        <v>44935.703761574077</v>
      </c>
      <c r="E1150" t="s">
        <v>57</v>
      </c>
      <c r="F1150" t="s">
        <v>77</v>
      </c>
      <c r="G1150" t="s">
        <v>1353</v>
      </c>
      <c r="H1150" t="s">
        <v>2833</v>
      </c>
      <c r="I1150" t="s">
        <v>491</v>
      </c>
      <c r="J1150" t="s">
        <v>30</v>
      </c>
      <c r="K1150">
        <v>28</v>
      </c>
      <c r="L1150" t="s">
        <v>46</v>
      </c>
      <c r="M1150">
        <v>245</v>
      </c>
      <c r="N1150">
        <v>1</v>
      </c>
      <c r="O1150">
        <v>614.14</v>
      </c>
      <c r="P1150" s="1">
        <v>45600.340613425928</v>
      </c>
      <c r="Q1150">
        <v>16</v>
      </c>
      <c r="R1150" t="s">
        <v>47</v>
      </c>
      <c r="S1150">
        <v>0.17724572008270401</v>
      </c>
      <c r="T1150" t="b">
        <v>0</v>
      </c>
      <c r="U1150" t="b">
        <v>0</v>
      </c>
      <c r="V1150" t="b">
        <f t="shared" si="34"/>
        <v>1</v>
      </c>
      <c r="W1150">
        <v>0</v>
      </c>
      <c r="Y1150">
        <f t="shared" si="35"/>
        <v>0</v>
      </c>
    </row>
    <row r="1151" spans="1:25" x14ac:dyDescent="0.3">
      <c r="A1151" t="s">
        <v>2834</v>
      </c>
      <c r="B1151" t="s">
        <v>2513</v>
      </c>
      <c r="C1151">
        <v>283.14999999999998</v>
      </c>
      <c r="D1151" s="1">
        <v>45149.688692129632</v>
      </c>
      <c r="E1151" t="s">
        <v>25</v>
      </c>
      <c r="F1151" t="s">
        <v>210</v>
      </c>
      <c r="G1151" t="s">
        <v>1165</v>
      </c>
      <c r="H1151" t="s">
        <v>2835</v>
      </c>
      <c r="I1151" t="s">
        <v>561</v>
      </c>
      <c r="J1151" t="s">
        <v>45</v>
      </c>
      <c r="K1151">
        <v>24</v>
      </c>
      <c r="L1151" t="s">
        <v>46</v>
      </c>
      <c r="M1151">
        <v>180</v>
      </c>
      <c r="N1151">
        <v>1</v>
      </c>
      <c r="O1151">
        <v>603.79</v>
      </c>
      <c r="P1151" s="1">
        <v>45600.341157407405</v>
      </c>
      <c r="Q1151">
        <v>16</v>
      </c>
      <c r="R1151" t="s">
        <v>54</v>
      </c>
      <c r="S1151">
        <v>-4.9474100775881803E-2</v>
      </c>
      <c r="T1151" t="b">
        <v>0</v>
      </c>
      <c r="U1151" t="b">
        <v>0</v>
      </c>
      <c r="V1151" t="b">
        <f t="shared" si="34"/>
        <v>1</v>
      </c>
      <c r="W1151">
        <v>0</v>
      </c>
      <c r="Y1151">
        <f t="shared" si="35"/>
        <v>0</v>
      </c>
    </row>
    <row r="1152" spans="1:25" x14ac:dyDescent="0.3">
      <c r="A1152" t="s">
        <v>2836</v>
      </c>
      <c r="B1152" t="s">
        <v>2694</v>
      </c>
      <c r="C1152">
        <v>151.82</v>
      </c>
      <c r="D1152" s="1">
        <v>45124.689409722225</v>
      </c>
      <c r="E1152" t="s">
        <v>25</v>
      </c>
      <c r="F1152" t="s">
        <v>278</v>
      </c>
      <c r="G1152" t="s">
        <v>2837</v>
      </c>
      <c r="H1152" t="s">
        <v>457</v>
      </c>
      <c r="I1152" t="s">
        <v>772</v>
      </c>
      <c r="J1152" t="s">
        <v>30</v>
      </c>
      <c r="K1152">
        <v>51</v>
      </c>
      <c r="L1152" t="s">
        <v>82</v>
      </c>
      <c r="M1152">
        <v>105</v>
      </c>
      <c r="N1152">
        <v>1</v>
      </c>
      <c r="O1152">
        <v>2197.12</v>
      </c>
      <c r="P1152" s="1">
        <v>45600.341597222221</v>
      </c>
      <c r="Q1152">
        <v>16</v>
      </c>
      <c r="R1152" t="s">
        <v>47</v>
      </c>
      <c r="S1152">
        <v>-0.49931718996394697</v>
      </c>
      <c r="T1152" t="b">
        <v>0</v>
      </c>
      <c r="U1152" t="b">
        <v>0</v>
      </c>
      <c r="V1152" t="b">
        <f t="shared" si="34"/>
        <v>1</v>
      </c>
      <c r="W1152">
        <v>0</v>
      </c>
      <c r="Y1152">
        <f t="shared" si="35"/>
        <v>0</v>
      </c>
    </row>
    <row r="1153" spans="1:25" x14ac:dyDescent="0.3">
      <c r="A1153" t="s">
        <v>2838</v>
      </c>
      <c r="B1153" t="s">
        <v>2385</v>
      </c>
      <c r="C1153">
        <v>438.59</v>
      </c>
      <c r="D1153" s="1">
        <v>45229.741770833331</v>
      </c>
      <c r="E1153" t="s">
        <v>25</v>
      </c>
      <c r="F1153" t="s">
        <v>236</v>
      </c>
      <c r="G1153" t="s">
        <v>2837</v>
      </c>
      <c r="H1153" t="s">
        <v>883</v>
      </c>
      <c r="I1153" t="s">
        <v>88</v>
      </c>
      <c r="J1153" t="s">
        <v>45</v>
      </c>
      <c r="K1153">
        <v>37</v>
      </c>
      <c r="L1153" t="s">
        <v>89</v>
      </c>
      <c r="M1153">
        <v>103</v>
      </c>
      <c r="N1153">
        <v>1</v>
      </c>
      <c r="O1153">
        <v>8994.39</v>
      </c>
      <c r="P1153" s="1">
        <v>45600.339953703704</v>
      </c>
      <c r="Q1153">
        <v>17</v>
      </c>
      <c r="R1153" t="s">
        <v>47</v>
      </c>
      <c r="S1153">
        <v>0.48295268505670003</v>
      </c>
      <c r="T1153" t="b">
        <v>0</v>
      </c>
      <c r="U1153" t="b">
        <v>0</v>
      </c>
      <c r="V1153" t="b">
        <f t="shared" si="34"/>
        <v>1</v>
      </c>
      <c r="W1153">
        <v>0</v>
      </c>
      <c r="Y1153">
        <f t="shared" si="35"/>
        <v>0</v>
      </c>
    </row>
    <row r="1154" spans="1:25" x14ac:dyDescent="0.3">
      <c r="A1154" t="s">
        <v>2839</v>
      </c>
      <c r="B1154" t="s">
        <v>1723</v>
      </c>
      <c r="C1154">
        <v>590.57000000000005</v>
      </c>
      <c r="D1154" s="1">
        <v>45105.671956018516</v>
      </c>
      <c r="E1154" t="s">
        <v>25</v>
      </c>
      <c r="F1154" t="s">
        <v>191</v>
      </c>
      <c r="G1154" t="s">
        <v>1171</v>
      </c>
      <c r="H1154" t="s">
        <v>1045</v>
      </c>
      <c r="I1154" t="s">
        <v>1358</v>
      </c>
      <c r="J1154" t="s">
        <v>30</v>
      </c>
      <c r="K1154">
        <v>79</v>
      </c>
      <c r="L1154" t="s">
        <v>82</v>
      </c>
      <c r="M1154">
        <v>93</v>
      </c>
      <c r="N1154">
        <v>1</v>
      </c>
      <c r="O1154">
        <v>3224.6</v>
      </c>
      <c r="P1154" s="1">
        <v>45600.338414351849</v>
      </c>
      <c r="Q1154">
        <v>16</v>
      </c>
      <c r="R1154" t="s">
        <v>74</v>
      </c>
      <c r="S1154">
        <v>1.0035279739838401</v>
      </c>
      <c r="T1154" t="b">
        <v>0</v>
      </c>
      <c r="U1154" t="b">
        <v>0</v>
      </c>
      <c r="V1154" t="b">
        <f t="shared" si="34"/>
        <v>1</v>
      </c>
      <c r="W1154">
        <v>0</v>
      </c>
      <c r="Y1154">
        <f t="shared" si="35"/>
        <v>0</v>
      </c>
    </row>
    <row r="1155" spans="1:25" x14ac:dyDescent="0.3">
      <c r="A1155" t="s">
        <v>2840</v>
      </c>
      <c r="B1155" t="s">
        <v>1709</v>
      </c>
      <c r="C1155">
        <v>63.74</v>
      </c>
      <c r="D1155" s="1">
        <v>45181.743356481478</v>
      </c>
      <c r="E1155" t="s">
        <v>25</v>
      </c>
      <c r="F1155" t="s">
        <v>278</v>
      </c>
      <c r="G1155" t="s">
        <v>1145</v>
      </c>
      <c r="H1155" t="s">
        <v>2841</v>
      </c>
      <c r="I1155" t="s">
        <v>199</v>
      </c>
      <c r="J1155" t="s">
        <v>45</v>
      </c>
      <c r="K1155">
        <v>63</v>
      </c>
      <c r="L1155" t="s">
        <v>82</v>
      </c>
      <c r="M1155">
        <v>31</v>
      </c>
      <c r="N1155">
        <v>1</v>
      </c>
      <c r="O1155">
        <v>4336.3999999999996</v>
      </c>
      <c r="P1155" s="1">
        <v>45600.339502314811</v>
      </c>
      <c r="Q1155">
        <v>17</v>
      </c>
      <c r="R1155" t="s">
        <v>32</v>
      </c>
      <c r="S1155">
        <v>-0.80101656783408304</v>
      </c>
      <c r="T1155" t="b">
        <v>0</v>
      </c>
      <c r="U1155" t="b">
        <v>0</v>
      </c>
      <c r="V1155" t="b">
        <f t="shared" ref="V1155:V1218" si="36">ISLOGICAL(T1155)</f>
        <v>1</v>
      </c>
      <c r="W1155">
        <v>0</v>
      </c>
      <c r="Y1155">
        <f t="shared" ref="Y1155:Y1218" si="37">--T1155</f>
        <v>0</v>
      </c>
    </row>
    <row r="1156" spans="1:25" x14ac:dyDescent="0.3">
      <c r="A1156" t="s">
        <v>2842</v>
      </c>
      <c r="B1156" t="s">
        <v>437</v>
      </c>
      <c r="C1156">
        <v>77.02</v>
      </c>
      <c r="D1156" s="1">
        <v>45155.6794212963</v>
      </c>
      <c r="E1156" t="s">
        <v>57</v>
      </c>
      <c r="F1156" t="s">
        <v>185</v>
      </c>
      <c r="G1156" t="s">
        <v>1872</v>
      </c>
      <c r="H1156" t="s">
        <v>1569</v>
      </c>
      <c r="I1156" t="s">
        <v>213</v>
      </c>
      <c r="J1156" t="s">
        <v>45</v>
      </c>
      <c r="K1156">
        <v>59</v>
      </c>
      <c r="L1156" t="s">
        <v>31</v>
      </c>
      <c r="M1156">
        <v>132</v>
      </c>
      <c r="N1156">
        <v>1</v>
      </c>
      <c r="O1156">
        <v>800.83</v>
      </c>
      <c r="P1156" s="1">
        <v>45600.338819444441</v>
      </c>
      <c r="Q1156">
        <v>16</v>
      </c>
      <c r="R1156" t="s">
        <v>141</v>
      </c>
      <c r="S1156">
        <v>-0.75552874156120098</v>
      </c>
      <c r="T1156" t="b">
        <v>0</v>
      </c>
      <c r="U1156" t="b">
        <v>0</v>
      </c>
      <c r="V1156" t="b">
        <f t="shared" si="36"/>
        <v>1</v>
      </c>
      <c r="W1156">
        <v>0</v>
      </c>
      <c r="Y1156">
        <f t="shared" si="37"/>
        <v>0</v>
      </c>
    </row>
    <row r="1157" spans="1:25" x14ac:dyDescent="0.3">
      <c r="A1157" t="s">
        <v>2843</v>
      </c>
      <c r="B1157" t="s">
        <v>2594</v>
      </c>
      <c r="C1157">
        <v>501.15</v>
      </c>
      <c r="D1157" s="1">
        <v>45159.755023148151</v>
      </c>
      <c r="E1157" t="s">
        <v>25</v>
      </c>
      <c r="F1157" t="s">
        <v>438</v>
      </c>
      <c r="G1157" t="s">
        <v>477</v>
      </c>
      <c r="H1157" t="s">
        <v>1443</v>
      </c>
      <c r="I1157" t="s">
        <v>782</v>
      </c>
      <c r="J1157" t="s">
        <v>81</v>
      </c>
      <c r="K1157">
        <v>47</v>
      </c>
      <c r="L1157" t="s">
        <v>89</v>
      </c>
      <c r="M1157">
        <v>208</v>
      </c>
      <c r="N1157">
        <v>1</v>
      </c>
      <c r="O1157">
        <v>8821.84</v>
      </c>
      <c r="P1157" s="1">
        <v>45600.341354166667</v>
      </c>
      <c r="Q1157">
        <v>18</v>
      </c>
      <c r="R1157" t="s">
        <v>47</v>
      </c>
      <c r="S1157">
        <v>0.69723871002894799</v>
      </c>
      <c r="T1157" t="b">
        <v>0</v>
      </c>
      <c r="U1157" t="b">
        <v>0</v>
      </c>
      <c r="V1157" t="b">
        <f t="shared" si="36"/>
        <v>1</v>
      </c>
      <c r="W1157">
        <v>0</v>
      </c>
      <c r="Y1157">
        <f t="shared" si="37"/>
        <v>0</v>
      </c>
    </row>
    <row r="1158" spans="1:25" x14ac:dyDescent="0.3">
      <c r="A1158" t="s">
        <v>2844</v>
      </c>
      <c r="B1158" t="s">
        <v>1913</v>
      </c>
      <c r="C1158">
        <v>917.81</v>
      </c>
      <c r="D1158" s="1">
        <v>45168.777037037034</v>
      </c>
      <c r="E1158" t="s">
        <v>25</v>
      </c>
      <c r="F1158" t="s">
        <v>304</v>
      </c>
      <c r="G1158" t="s">
        <v>1116</v>
      </c>
      <c r="H1158" t="s">
        <v>850</v>
      </c>
      <c r="I1158" t="s">
        <v>491</v>
      </c>
      <c r="J1158" t="s">
        <v>30</v>
      </c>
      <c r="K1158">
        <v>64</v>
      </c>
      <c r="L1158" t="s">
        <v>82</v>
      </c>
      <c r="M1158">
        <v>75</v>
      </c>
      <c r="N1158">
        <v>2</v>
      </c>
      <c r="O1158">
        <v>3173.17</v>
      </c>
      <c r="P1158" s="1">
        <v>45600.340115740742</v>
      </c>
      <c r="Q1158">
        <v>18</v>
      </c>
      <c r="R1158" t="s">
        <v>74</v>
      </c>
      <c r="S1158">
        <v>2.1244192593406002</v>
      </c>
      <c r="T1158" t="b">
        <v>1</v>
      </c>
      <c r="U1158" t="b">
        <v>1</v>
      </c>
      <c r="V1158" t="b">
        <f t="shared" si="36"/>
        <v>1</v>
      </c>
      <c r="W1158">
        <v>2</v>
      </c>
      <c r="Y1158">
        <f t="shared" si="37"/>
        <v>1</v>
      </c>
    </row>
    <row r="1159" spans="1:25" x14ac:dyDescent="0.3">
      <c r="A1159" t="s">
        <v>2845</v>
      </c>
      <c r="B1159" t="s">
        <v>2846</v>
      </c>
      <c r="C1159">
        <v>8.9499999999999993</v>
      </c>
      <c r="D1159" s="1">
        <v>45203.667569444442</v>
      </c>
      <c r="E1159" t="s">
        <v>25</v>
      </c>
      <c r="F1159" t="s">
        <v>64</v>
      </c>
      <c r="G1159" t="s">
        <v>1347</v>
      </c>
      <c r="H1159" t="s">
        <v>1938</v>
      </c>
      <c r="I1159" t="s">
        <v>194</v>
      </c>
      <c r="J1159" t="s">
        <v>45</v>
      </c>
      <c r="K1159">
        <v>76</v>
      </c>
      <c r="L1159" t="s">
        <v>82</v>
      </c>
      <c r="M1159">
        <v>102</v>
      </c>
      <c r="N1159">
        <v>1</v>
      </c>
      <c r="O1159">
        <v>3299.84</v>
      </c>
      <c r="P1159" s="1">
        <v>45600.340104166666</v>
      </c>
      <c r="Q1159">
        <v>16</v>
      </c>
      <c r="R1159" t="s">
        <v>74</v>
      </c>
      <c r="S1159">
        <v>-0.98868810409094798</v>
      </c>
      <c r="T1159" t="b">
        <v>0</v>
      </c>
      <c r="U1159" t="b">
        <v>0</v>
      </c>
      <c r="V1159" t="b">
        <f t="shared" si="36"/>
        <v>1</v>
      </c>
      <c r="W1159">
        <v>0</v>
      </c>
      <c r="Y1159">
        <f t="shared" si="37"/>
        <v>0</v>
      </c>
    </row>
    <row r="1160" spans="1:25" x14ac:dyDescent="0.3">
      <c r="A1160" t="s">
        <v>2847</v>
      </c>
      <c r="B1160" t="s">
        <v>680</v>
      </c>
      <c r="C1160">
        <v>173.6</v>
      </c>
      <c r="D1160" s="1">
        <v>45258.693148148152</v>
      </c>
      <c r="E1160" t="s">
        <v>25</v>
      </c>
      <c r="F1160" t="s">
        <v>131</v>
      </c>
      <c r="G1160" t="s">
        <v>1734</v>
      </c>
      <c r="H1160" t="s">
        <v>1702</v>
      </c>
      <c r="I1160" t="s">
        <v>182</v>
      </c>
      <c r="J1160" t="s">
        <v>45</v>
      </c>
      <c r="K1160">
        <v>21</v>
      </c>
      <c r="L1160" t="s">
        <v>46</v>
      </c>
      <c r="M1160">
        <v>160</v>
      </c>
      <c r="N1160">
        <v>1</v>
      </c>
      <c r="O1160">
        <v>421.44</v>
      </c>
      <c r="P1160" s="1">
        <v>45600.339988425927</v>
      </c>
      <c r="Q1160">
        <v>16</v>
      </c>
      <c r="R1160" t="s">
        <v>32</v>
      </c>
      <c r="S1160">
        <v>-0.42471441464592402</v>
      </c>
      <c r="T1160" t="b">
        <v>0</v>
      </c>
      <c r="U1160" t="b">
        <v>0</v>
      </c>
      <c r="V1160" t="b">
        <f t="shared" si="36"/>
        <v>1</v>
      </c>
      <c r="W1160">
        <v>0</v>
      </c>
      <c r="Y1160">
        <f t="shared" si="37"/>
        <v>0</v>
      </c>
    </row>
    <row r="1161" spans="1:25" x14ac:dyDescent="0.3">
      <c r="A1161" t="s">
        <v>2848</v>
      </c>
      <c r="B1161" t="s">
        <v>2543</v>
      </c>
      <c r="C1161">
        <v>149.4</v>
      </c>
      <c r="D1161" s="1">
        <v>45048.688101851854</v>
      </c>
      <c r="E1161" t="s">
        <v>25</v>
      </c>
      <c r="F1161" t="s">
        <v>278</v>
      </c>
      <c r="G1161" t="s">
        <v>242</v>
      </c>
      <c r="H1161" t="s">
        <v>1711</v>
      </c>
      <c r="I1161" t="s">
        <v>150</v>
      </c>
      <c r="J1161" t="s">
        <v>30</v>
      </c>
      <c r="K1161">
        <v>53</v>
      </c>
      <c r="L1161" t="s">
        <v>82</v>
      </c>
      <c r="M1161">
        <v>123</v>
      </c>
      <c r="N1161">
        <v>1</v>
      </c>
      <c r="O1161">
        <v>1035.22</v>
      </c>
      <c r="P1161" s="1">
        <v>45600.340462962966</v>
      </c>
      <c r="Q1161">
        <v>16</v>
      </c>
      <c r="R1161" t="s">
        <v>32</v>
      </c>
      <c r="S1161">
        <v>-0.50760638722150597</v>
      </c>
      <c r="T1161" t="b">
        <v>0</v>
      </c>
      <c r="U1161" t="b">
        <v>0</v>
      </c>
      <c r="V1161" t="b">
        <f t="shared" si="36"/>
        <v>1</v>
      </c>
      <c r="W1161">
        <v>0</v>
      </c>
      <c r="Y1161">
        <f t="shared" si="37"/>
        <v>0</v>
      </c>
    </row>
    <row r="1162" spans="1:25" x14ac:dyDescent="0.3">
      <c r="A1162" t="s">
        <v>2849</v>
      </c>
      <c r="B1162" t="s">
        <v>2005</v>
      </c>
      <c r="C1162">
        <v>388.21</v>
      </c>
      <c r="D1162" s="1">
        <v>45279.694409722222</v>
      </c>
      <c r="E1162" t="s">
        <v>57</v>
      </c>
      <c r="F1162" t="s">
        <v>137</v>
      </c>
      <c r="G1162" t="s">
        <v>1415</v>
      </c>
      <c r="H1162" t="s">
        <v>374</v>
      </c>
      <c r="I1162" t="s">
        <v>772</v>
      </c>
      <c r="J1162" t="s">
        <v>81</v>
      </c>
      <c r="K1162">
        <v>53</v>
      </c>
      <c r="L1162" t="s">
        <v>31</v>
      </c>
      <c r="M1162">
        <v>237</v>
      </c>
      <c r="N1162">
        <v>1</v>
      </c>
      <c r="O1162">
        <v>9724.49</v>
      </c>
      <c r="P1162" s="1">
        <v>45600.339085648149</v>
      </c>
      <c r="Q1162">
        <v>16</v>
      </c>
      <c r="R1162" t="s">
        <v>32</v>
      </c>
      <c r="S1162">
        <v>0.31038666942207899</v>
      </c>
      <c r="T1162" t="b">
        <v>0</v>
      </c>
      <c r="U1162" t="b">
        <v>0</v>
      </c>
      <c r="V1162" t="b">
        <f t="shared" si="36"/>
        <v>1</v>
      </c>
      <c r="W1162">
        <v>0</v>
      </c>
      <c r="Y1162">
        <f t="shared" si="37"/>
        <v>0</v>
      </c>
    </row>
    <row r="1163" spans="1:25" x14ac:dyDescent="0.3">
      <c r="A1163" t="s">
        <v>2850</v>
      </c>
      <c r="B1163" t="s">
        <v>380</v>
      </c>
      <c r="C1163">
        <v>484.3</v>
      </c>
      <c r="D1163" s="1">
        <v>45216.740879629629</v>
      </c>
      <c r="E1163" t="s">
        <v>57</v>
      </c>
      <c r="F1163" t="s">
        <v>401</v>
      </c>
      <c r="G1163" t="s">
        <v>1158</v>
      </c>
      <c r="H1163" t="s">
        <v>2851</v>
      </c>
      <c r="I1163" t="s">
        <v>620</v>
      </c>
      <c r="J1163" t="s">
        <v>45</v>
      </c>
      <c r="K1163">
        <v>61</v>
      </c>
      <c r="L1163" t="s">
        <v>82</v>
      </c>
      <c r="M1163">
        <v>230</v>
      </c>
      <c r="N1163">
        <v>3</v>
      </c>
      <c r="O1163">
        <v>7910.3</v>
      </c>
      <c r="P1163" s="1">
        <v>45600.341064814813</v>
      </c>
      <c r="Q1163">
        <v>17</v>
      </c>
      <c r="R1163" t="s">
        <v>32</v>
      </c>
      <c r="S1163">
        <v>0.63952260515710702</v>
      </c>
      <c r="T1163" t="b">
        <v>0</v>
      </c>
      <c r="U1163" t="b">
        <v>1</v>
      </c>
      <c r="V1163" t="b">
        <f t="shared" si="36"/>
        <v>1</v>
      </c>
      <c r="W1163">
        <v>1</v>
      </c>
      <c r="Y1163">
        <f t="shared" si="37"/>
        <v>0</v>
      </c>
    </row>
    <row r="1164" spans="1:25" x14ac:dyDescent="0.3">
      <c r="A1164" t="s">
        <v>2852</v>
      </c>
      <c r="B1164" t="s">
        <v>103</v>
      </c>
      <c r="C1164">
        <v>126.04</v>
      </c>
      <c r="D1164" s="1">
        <v>45096.693206018521</v>
      </c>
      <c r="E1164" t="s">
        <v>57</v>
      </c>
      <c r="F1164" t="s">
        <v>262</v>
      </c>
      <c r="G1164" t="s">
        <v>2853</v>
      </c>
      <c r="H1164" t="s">
        <v>128</v>
      </c>
      <c r="I1164" t="s">
        <v>73</v>
      </c>
      <c r="J1164" t="s">
        <v>81</v>
      </c>
      <c r="K1164">
        <v>65</v>
      </c>
      <c r="L1164" t="s">
        <v>82</v>
      </c>
      <c r="M1164">
        <v>167</v>
      </c>
      <c r="N1164">
        <v>1</v>
      </c>
      <c r="O1164">
        <v>6041.69</v>
      </c>
      <c r="P1164" s="1">
        <v>45600.338958333334</v>
      </c>
      <c r="Q1164">
        <v>16</v>
      </c>
      <c r="R1164" t="s">
        <v>47</v>
      </c>
      <c r="S1164">
        <v>-0.58762111777380299</v>
      </c>
      <c r="T1164" t="b">
        <v>0</v>
      </c>
      <c r="U1164" t="b">
        <v>0</v>
      </c>
      <c r="V1164" t="b">
        <f t="shared" si="36"/>
        <v>1</v>
      </c>
      <c r="W1164">
        <v>0</v>
      </c>
      <c r="Y1164">
        <f t="shared" si="37"/>
        <v>0</v>
      </c>
    </row>
    <row r="1165" spans="1:25" x14ac:dyDescent="0.3">
      <c r="A1165" t="s">
        <v>2854</v>
      </c>
      <c r="B1165" t="s">
        <v>2855</v>
      </c>
      <c r="C1165">
        <v>52.04</v>
      </c>
      <c r="D1165" s="1">
        <v>45134.686412037037</v>
      </c>
      <c r="E1165" t="s">
        <v>57</v>
      </c>
      <c r="F1165" t="s">
        <v>534</v>
      </c>
      <c r="G1165" t="s">
        <v>192</v>
      </c>
      <c r="H1165" t="s">
        <v>2359</v>
      </c>
      <c r="I1165" t="s">
        <v>285</v>
      </c>
      <c r="J1165" t="s">
        <v>81</v>
      </c>
      <c r="K1165">
        <v>50</v>
      </c>
      <c r="L1165" t="s">
        <v>31</v>
      </c>
      <c r="M1165">
        <v>31</v>
      </c>
      <c r="N1165">
        <v>1</v>
      </c>
      <c r="O1165">
        <v>8436.1200000000008</v>
      </c>
      <c r="P1165" s="1">
        <v>45600.338634259257</v>
      </c>
      <c r="Q1165">
        <v>16</v>
      </c>
      <c r="R1165" t="s">
        <v>141</v>
      </c>
      <c r="S1165">
        <v>-0.84109243887269103</v>
      </c>
      <c r="T1165" t="b">
        <v>0</v>
      </c>
      <c r="U1165" t="b">
        <v>0</v>
      </c>
      <c r="V1165" t="b">
        <f t="shared" si="36"/>
        <v>1</v>
      </c>
      <c r="W1165">
        <v>0</v>
      </c>
      <c r="Y1165">
        <f t="shared" si="37"/>
        <v>0</v>
      </c>
    </row>
    <row r="1166" spans="1:25" x14ac:dyDescent="0.3">
      <c r="A1166" t="s">
        <v>2856</v>
      </c>
      <c r="B1166" t="s">
        <v>2469</v>
      </c>
      <c r="C1166">
        <v>389.7</v>
      </c>
      <c r="D1166" s="1">
        <v>44995.694444444445</v>
      </c>
      <c r="E1166" t="s">
        <v>57</v>
      </c>
      <c r="F1166" t="s">
        <v>131</v>
      </c>
      <c r="G1166" t="s">
        <v>2857</v>
      </c>
      <c r="H1166" t="s">
        <v>370</v>
      </c>
      <c r="I1166" t="s">
        <v>107</v>
      </c>
      <c r="J1166" t="s">
        <v>81</v>
      </c>
      <c r="K1166">
        <v>62</v>
      </c>
      <c r="L1166" t="s">
        <v>31</v>
      </c>
      <c r="M1166">
        <v>216</v>
      </c>
      <c r="N1166">
        <v>1</v>
      </c>
      <c r="O1166">
        <v>7125.15</v>
      </c>
      <c r="P1166" s="1">
        <v>45600.340763888889</v>
      </c>
      <c r="Q1166">
        <v>16</v>
      </c>
      <c r="R1166" t="s">
        <v>54</v>
      </c>
      <c r="S1166">
        <v>0.31549034872528597</v>
      </c>
      <c r="T1166" t="b">
        <v>0</v>
      </c>
      <c r="U1166" t="b">
        <v>0</v>
      </c>
      <c r="V1166" t="b">
        <f t="shared" si="36"/>
        <v>1</v>
      </c>
      <c r="W1166">
        <v>0</v>
      </c>
      <c r="Y1166">
        <f t="shared" si="37"/>
        <v>0</v>
      </c>
    </row>
    <row r="1167" spans="1:25" x14ac:dyDescent="0.3">
      <c r="A1167" t="s">
        <v>2858</v>
      </c>
      <c r="B1167" t="s">
        <v>63</v>
      </c>
      <c r="C1167">
        <v>161.1</v>
      </c>
      <c r="D1167" s="1">
        <v>45026.728333333333</v>
      </c>
      <c r="E1167" t="s">
        <v>57</v>
      </c>
      <c r="F1167" t="s">
        <v>185</v>
      </c>
      <c r="G1167" t="s">
        <v>759</v>
      </c>
      <c r="H1167" t="s">
        <v>66</v>
      </c>
      <c r="I1167" t="s">
        <v>53</v>
      </c>
      <c r="J1167" t="s">
        <v>30</v>
      </c>
      <c r="K1167">
        <v>19</v>
      </c>
      <c r="L1167" t="s">
        <v>46</v>
      </c>
      <c r="M1167">
        <v>104</v>
      </c>
      <c r="N1167">
        <v>1</v>
      </c>
      <c r="O1167">
        <v>239.12</v>
      </c>
      <c r="P1167" s="1">
        <v>45600.340671296297</v>
      </c>
      <c r="Q1167">
        <v>17</v>
      </c>
      <c r="R1167" t="s">
        <v>47</v>
      </c>
      <c r="S1167">
        <v>-0.46753051618289798</v>
      </c>
      <c r="T1167" t="b">
        <v>0</v>
      </c>
      <c r="U1167" t="b">
        <v>0</v>
      </c>
      <c r="V1167" t="b">
        <f t="shared" si="36"/>
        <v>1</v>
      </c>
      <c r="W1167">
        <v>0</v>
      </c>
      <c r="Y1167">
        <f t="shared" si="37"/>
        <v>0</v>
      </c>
    </row>
    <row r="1168" spans="1:25" x14ac:dyDescent="0.3">
      <c r="A1168" t="s">
        <v>2859</v>
      </c>
      <c r="B1168" t="s">
        <v>987</v>
      </c>
      <c r="C1168">
        <v>309.77</v>
      </c>
      <c r="D1168" s="1">
        <v>45054.688842592594</v>
      </c>
      <c r="E1168" t="s">
        <v>57</v>
      </c>
      <c r="F1168" t="s">
        <v>250</v>
      </c>
      <c r="G1168" t="s">
        <v>2155</v>
      </c>
      <c r="H1168" t="s">
        <v>1745</v>
      </c>
      <c r="I1168" t="s">
        <v>765</v>
      </c>
      <c r="J1168" t="s">
        <v>45</v>
      </c>
      <c r="K1168">
        <v>67</v>
      </c>
      <c r="L1168" t="s">
        <v>82</v>
      </c>
      <c r="M1168">
        <v>137</v>
      </c>
      <c r="N1168">
        <v>1</v>
      </c>
      <c r="O1168">
        <v>4378.1400000000003</v>
      </c>
      <c r="P1168" s="1">
        <v>45600.337777777779</v>
      </c>
      <c r="Q1168">
        <v>16</v>
      </c>
      <c r="R1168" t="s">
        <v>47</v>
      </c>
      <c r="S1168">
        <v>4.1707069057258503E-2</v>
      </c>
      <c r="T1168" t="b">
        <v>0</v>
      </c>
      <c r="U1168" t="b">
        <v>0</v>
      </c>
      <c r="V1168" t="b">
        <f t="shared" si="36"/>
        <v>1</v>
      </c>
      <c r="W1168">
        <v>0</v>
      </c>
      <c r="Y1168">
        <f t="shared" si="37"/>
        <v>0</v>
      </c>
    </row>
    <row r="1169" spans="1:25" x14ac:dyDescent="0.3">
      <c r="A1169" t="s">
        <v>2860</v>
      </c>
      <c r="B1169" t="s">
        <v>497</v>
      </c>
      <c r="C1169">
        <v>838.57</v>
      </c>
      <c r="D1169" s="1">
        <v>45103.672511574077</v>
      </c>
      <c r="E1169" t="s">
        <v>25</v>
      </c>
      <c r="F1169" t="s">
        <v>438</v>
      </c>
      <c r="G1169" t="s">
        <v>1601</v>
      </c>
      <c r="H1169" t="s">
        <v>1973</v>
      </c>
      <c r="I1169" t="s">
        <v>156</v>
      </c>
      <c r="J1169" t="s">
        <v>30</v>
      </c>
      <c r="K1169">
        <v>41</v>
      </c>
      <c r="L1169" t="s">
        <v>31</v>
      </c>
      <c r="M1169">
        <v>273</v>
      </c>
      <c r="N1169">
        <v>1</v>
      </c>
      <c r="O1169">
        <v>14576.47</v>
      </c>
      <c r="P1169" s="1">
        <v>45600.341261574074</v>
      </c>
      <c r="Q1169">
        <v>16</v>
      </c>
      <c r="R1169" t="s">
        <v>47</v>
      </c>
      <c r="S1169">
        <v>1.8529994284774101</v>
      </c>
      <c r="T1169" t="b">
        <v>0</v>
      </c>
      <c r="U1169" t="b">
        <v>0</v>
      </c>
      <c r="V1169" t="b">
        <f t="shared" si="36"/>
        <v>1</v>
      </c>
      <c r="W1169">
        <v>0</v>
      </c>
      <c r="Y1169">
        <f t="shared" si="37"/>
        <v>0</v>
      </c>
    </row>
    <row r="1170" spans="1:25" x14ac:dyDescent="0.3">
      <c r="A1170" t="s">
        <v>2861</v>
      </c>
      <c r="B1170" t="s">
        <v>261</v>
      </c>
      <c r="C1170">
        <v>202.55</v>
      </c>
      <c r="D1170" s="1">
        <v>45244.784629629627</v>
      </c>
      <c r="E1170" t="s">
        <v>25</v>
      </c>
      <c r="F1170" t="s">
        <v>336</v>
      </c>
      <c r="G1170" t="s">
        <v>543</v>
      </c>
      <c r="H1170" t="s">
        <v>2862</v>
      </c>
      <c r="I1170" t="s">
        <v>188</v>
      </c>
      <c r="J1170" t="s">
        <v>30</v>
      </c>
      <c r="K1170">
        <v>21</v>
      </c>
      <c r="L1170" t="s">
        <v>46</v>
      </c>
      <c r="M1170">
        <v>34</v>
      </c>
      <c r="N1170">
        <v>2</v>
      </c>
      <c r="O1170">
        <v>701.73</v>
      </c>
      <c r="P1170" s="1">
        <v>45600.339722222219</v>
      </c>
      <c r="Q1170">
        <v>18</v>
      </c>
      <c r="R1170" t="s">
        <v>32</v>
      </c>
      <c r="S1170">
        <v>-0.32555232348629098</v>
      </c>
      <c r="T1170" t="b">
        <v>0</v>
      </c>
      <c r="U1170" t="b">
        <v>1</v>
      </c>
      <c r="V1170" t="b">
        <f t="shared" si="36"/>
        <v>1</v>
      </c>
      <c r="W1170">
        <v>1</v>
      </c>
      <c r="Y1170">
        <f t="shared" si="37"/>
        <v>0</v>
      </c>
    </row>
    <row r="1171" spans="1:25" x14ac:dyDescent="0.3">
      <c r="A1171" t="s">
        <v>2863</v>
      </c>
      <c r="B1171" t="s">
        <v>2556</v>
      </c>
      <c r="C1171">
        <v>724.18</v>
      </c>
      <c r="D1171" s="1">
        <v>44963.6718287037</v>
      </c>
      <c r="E1171" t="s">
        <v>25</v>
      </c>
      <c r="F1171" t="s">
        <v>170</v>
      </c>
      <c r="G1171" t="s">
        <v>2864</v>
      </c>
      <c r="H1171" t="s">
        <v>1290</v>
      </c>
      <c r="I1171" t="s">
        <v>53</v>
      </c>
      <c r="J1171" t="s">
        <v>81</v>
      </c>
      <c r="K1171">
        <v>41</v>
      </c>
      <c r="L1171" t="s">
        <v>31</v>
      </c>
      <c r="M1171">
        <v>134</v>
      </c>
      <c r="N1171">
        <v>1</v>
      </c>
      <c r="O1171">
        <v>10922.78</v>
      </c>
      <c r="P1171" s="1">
        <v>45600.339131944442</v>
      </c>
      <c r="Q1171">
        <v>16</v>
      </c>
      <c r="R1171" t="s">
        <v>47</v>
      </c>
      <c r="S1171">
        <v>1.46118072009225</v>
      </c>
      <c r="T1171" t="b">
        <v>0</v>
      </c>
      <c r="U1171" t="b">
        <v>0</v>
      </c>
      <c r="V1171" t="b">
        <f t="shared" si="36"/>
        <v>1</v>
      </c>
      <c r="W1171">
        <v>0</v>
      </c>
      <c r="Y1171">
        <f t="shared" si="37"/>
        <v>0</v>
      </c>
    </row>
    <row r="1172" spans="1:25" x14ac:dyDescent="0.3">
      <c r="A1172" t="s">
        <v>2865</v>
      </c>
      <c r="B1172" t="s">
        <v>1398</v>
      </c>
      <c r="C1172">
        <v>124.98</v>
      </c>
      <c r="D1172" s="1">
        <v>44978.702962962961</v>
      </c>
      <c r="E1172" t="s">
        <v>25</v>
      </c>
      <c r="F1172" t="s">
        <v>466</v>
      </c>
      <c r="G1172" t="s">
        <v>799</v>
      </c>
      <c r="H1172" t="s">
        <v>910</v>
      </c>
      <c r="I1172" t="s">
        <v>632</v>
      </c>
      <c r="J1172" t="s">
        <v>30</v>
      </c>
      <c r="K1172">
        <v>24</v>
      </c>
      <c r="L1172" t="s">
        <v>46</v>
      </c>
      <c r="M1172">
        <v>78</v>
      </c>
      <c r="N1172">
        <v>1</v>
      </c>
      <c r="O1172">
        <v>642</v>
      </c>
      <c r="P1172" s="1">
        <v>45600.339201388888</v>
      </c>
      <c r="Q1172">
        <v>16</v>
      </c>
      <c r="R1172" t="s">
        <v>32</v>
      </c>
      <c r="S1172">
        <v>-0.591251923184138</v>
      </c>
      <c r="T1172" t="b">
        <v>0</v>
      </c>
      <c r="U1172" t="b">
        <v>0</v>
      </c>
      <c r="V1172" t="b">
        <f t="shared" si="36"/>
        <v>1</v>
      </c>
      <c r="W1172">
        <v>0</v>
      </c>
      <c r="Y1172">
        <f t="shared" si="37"/>
        <v>0</v>
      </c>
    </row>
    <row r="1173" spans="1:25" x14ac:dyDescent="0.3">
      <c r="A1173" t="s">
        <v>2866</v>
      </c>
      <c r="B1173" t="s">
        <v>2867</v>
      </c>
      <c r="C1173">
        <v>487.32</v>
      </c>
      <c r="D1173" s="1">
        <v>45218.757905092592</v>
      </c>
      <c r="E1173" t="s">
        <v>25</v>
      </c>
      <c r="F1173" t="s">
        <v>304</v>
      </c>
      <c r="G1173" t="s">
        <v>2695</v>
      </c>
      <c r="H1173" t="s">
        <v>1636</v>
      </c>
      <c r="I1173" t="s">
        <v>275</v>
      </c>
      <c r="J1173" t="s">
        <v>81</v>
      </c>
      <c r="K1173">
        <v>52</v>
      </c>
      <c r="L1173" t="s">
        <v>31</v>
      </c>
      <c r="M1173">
        <v>164</v>
      </c>
      <c r="N1173">
        <v>1</v>
      </c>
      <c r="O1173">
        <v>7707.96</v>
      </c>
      <c r="P1173" s="1">
        <v>45600.339849537035</v>
      </c>
      <c r="Q1173">
        <v>18</v>
      </c>
      <c r="R1173" t="s">
        <v>141</v>
      </c>
      <c r="S1173">
        <v>0.64986697528843995</v>
      </c>
      <c r="T1173" t="b">
        <v>0</v>
      </c>
      <c r="U1173" t="b">
        <v>0</v>
      </c>
      <c r="V1173" t="b">
        <f t="shared" si="36"/>
        <v>1</v>
      </c>
      <c r="W1173">
        <v>0</v>
      </c>
      <c r="Y1173">
        <f t="shared" si="37"/>
        <v>0</v>
      </c>
    </row>
    <row r="1174" spans="1:25" x14ac:dyDescent="0.3">
      <c r="A1174" t="s">
        <v>2868</v>
      </c>
      <c r="B1174" t="s">
        <v>1520</v>
      </c>
      <c r="C1174">
        <v>635.91</v>
      </c>
      <c r="D1174" s="1">
        <v>45258.705335648148</v>
      </c>
      <c r="E1174" t="s">
        <v>57</v>
      </c>
      <c r="F1174" t="s">
        <v>405</v>
      </c>
      <c r="G1174" t="s">
        <v>751</v>
      </c>
      <c r="H1174" t="s">
        <v>792</v>
      </c>
      <c r="I1174" t="s">
        <v>239</v>
      </c>
      <c r="J1174" t="s">
        <v>81</v>
      </c>
      <c r="K1174">
        <v>46</v>
      </c>
      <c r="L1174" t="s">
        <v>31</v>
      </c>
      <c r="M1174">
        <v>78</v>
      </c>
      <c r="N1174">
        <v>1</v>
      </c>
      <c r="O1174">
        <v>13267.09</v>
      </c>
      <c r="P1174" s="1">
        <v>45600.340775462966</v>
      </c>
      <c r="Q1174">
        <v>16</v>
      </c>
      <c r="R1174" t="s">
        <v>32</v>
      </c>
      <c r="S1174">
        <v>1.15883053747876</v>
      </c>
      <c r="T1174" t="b">
        <v>0</v>
      </c>
      <c r="U1174" t="b">
        <v>0</v>
      </c>
      <c r="V1174" t="b">
        <f t="shared" si="36"/>
        <v>1</v>
      </c>
      <c r="W1174">
        <v>0</v>
      </c>
      <c r="Y1174">
        <f t="shared" si="37"/>
        <v>0</v>
      </c>
    </row>
    <row r="1175" spans="1:25" x14ac:dyDescent="0.3">
      <c r="A1175" t="s">
        <v>2869</v>
      </c>
      <c r="B1175" t="s">
        <v>2275</v>
      </c>
      <c r="C1175">
        <v>205.65</v>
      </c>
      <c r="D1175" s="1">
        <v>45120.697511574072</v>
      </c>
      <c r="E1175" t="s">
        <v>25</v>
      </c>
      <c r="F1175" t="s">
        <v>35</v>
      </c>
      <c r="G1175" t="s">
        <v>2025</v>
      </c>
      <c r="H1175" t="s">
        <v>1376</v>
      </c>
      <c r="I1175" t="s">
        <v>1027</v>
      </c>
      <c r="J1175" t="s">
        <v>81</v>
      </c>
      <c r="K1175">
        <v>62</v>
      </c>
      <c r="L1175" t="s">
        <v>82</v>
      </c>
      <c r="M1175">
        <v>144</v>
      </c>
      <c r="N1175">
        <v>1</v>
      </c>
      <c r="O1175">
        <v>3582.16</v>
      </c>
      <c r="P1175" s="1">
        <v>45600.339895833335</v>
      </c>
      <c r="Q1175">
        <v>16</v>
      </c>
      <c r="R1175" t="s">
        <v>141</v>
      </c>
      <c r="S1175">
        <v>-0.31493393030512201</v>
      </c>
      <c r="T1175" t="b">
        <v>0</v>
      </c>
      <c r="U1175" t="b">
        <v>0</v>
      </c>
      <c r="V1175" t="b">
        <f t="shared" si="36"/>
        <v>1</v>
      </c>
      <c r="W1175">
        <v>0</v>
      </c>
      <c r="Y1175">
        <f t="shared" si="37"/>
        <v>0</v>
      </c>
    </row>
    <row r="1176" spans="1:25" x14ac:dyDescent="0.3">
      <c r="A1176" t="s">
        <v>2870</v>
      </c>
      <c r="B1176" t="s">
        <v>2141</v>
      </c>
      <c r="C1176">
        <v>39.409999999999997</v>
      </c>
      <c r="D1176" s="1">
        <v>45257.686064814814</v>
      </c>
      <c r="E1176" t="s">
        <v>25</v>
      </c>
      <c r="F1176" t="s">
        <v>120</v>
      </c>
      <c r="G1176" t="s">
        <v>2410</v>
      </c>
      <c r="H1176" t="s">
        <v>2871</v>
      </c>
      <c r="I1176" t="s">
        <v>107</v>
      </c>
      <c r="J1176" t="s">
        <v>81</v>
      </c>
      <c r="K1176">
        <v>25</v>
      </c>
      <c r="L1176" t="s">
        <v>46</v>
      </c>
      <c r="M1176">
        <v>132</v>
      </c>
      <c r="N1176">
        <v>1</v>
      </c>
      <c r="O1176">
        <v>921.91</v>
      </c>
      <c r="P1176" s="1">
        <v>45600.340995370374</v>
      </c>
      <c r="Q1176">
        <v>16</v>
      </c>
      <c r="R1176" t="s">
        <v>47</v>
      </c>
      <c r="S1176">
        <v>-0.88435382786564898</v>
      </c>
      <c r="T1176" t="b">
        <v>0</v>
      </c>
      <c r="U1176" t="b">
        <v>0</v>
      </c>
      <c r="V1176" t="b">
        <f t="shared" si="36"/>
        <v>1</v>
      </c>
      <c r="W1176">
        <v>0</v>
      </c>
      <c r="Y1176">
        <f t="shared" si="37"/>
        <v>0</v>
      </c>
    </row>
    <row r="1177" spans="1:25" x14ac:dyDescent="0.3">
      <c r="A1177" t="s">
        <v>2872</v>
      </c>
      <c r="B1177" t="s">
        <v>228</v>
      </c>
      <c r="C1177">
        <v>254</v>
      </c>
      <c r="D1177" s="1">
        <v>45061.731620370374</v>
      </c>
      <c r="E1177" t="s">
        <v>25</v>
      </c>
      <c r="F1177" t="s">
        <v>92</v>
      </c>
      <c r="G1177" t="s">
        <v>722</v>
      </c>
      <c r="H1177" t="s">
        <v>2219</v>
      </c>
      <c r="I1177" t="s">
        <v>647</v>
      </c>
      <c r="J1177" t="s">
        <v>81</v>
      </c>
      <c r="K1177">
        <v>35</v>
      </c>
      <c r="L1177" t="s">
        <v>31</v>
      </c>
      <c r="M1177">
        <v>63</v>
      </c>
      <c r="N1177">
        <v>1</v>
      </c>
      <c r="O1177">
        <v>5788.53</v>
      </c>
      <c r="P1177" s="1">
        <v>45600.338969907411</v>
      </c>
      <c r="Q1177">
        <v>17</v>
      </c>
      <c r="R1177" t="s">
        <v>47</v>
      </c>
      <c r="S1177">
        <v>-0.14932124956010501</v>
      </c>
      <c r="T1177" t="b">
        <v>0</v>
      </c>
      <c r="U1177" t="b">
        <v>0</v>
      </c>
      <c r="V1177" t="b">
        <f t="shared" si="36"/>
        <v>1</v>
      </c>
      <c r="W1177">
        <v>0</v>
      </c>
      <c r="Y1177">
        <f t="shared" si="37"/>
        <v>0</v>
      </c>
    </row>
    <row r="1178" spans="1:25" x14ac:dyDescent="0.3">
      <c r="A1178" t="s">
        <v>2873</v>
      </c>
      <c r="B1178" t="s">
        <v>794</v>
      </c>
      <c r="C1178">
        <v>436.8</v>
      </c>
      <c r="D1178" s="1">
        <v>45246.687511574077</v>
      </c>
      <c r="E1178" t="s">
        <v>25</v>
      </c>
      <c r="F1178" t="s">
        <v>35</v>
      </c>
      <c r="G1178" t="s">
        <v>2492</v>
      </c>
      <c r="H1178" t="s">
        <v>1449</v>
      </c>
      <c r="I1178" t="s">
        <v>647</v>
      </c>
      <c r="J1178" t="s">
        <v>81</v>
      </c>
      <c r="K1178">
        <v>36</v>
      </c>
      <c r="L1178" t="s">
        <v>89</v>
      </c>
      <c r="M1178">
        <v>213</v>
      </c>
      <c r="N1178">
        <v>1</v>
      </c>
      <c r="O1178">
        <v>4515.43</v>
      </c>
      <c r="P1178" s="1">
        <v>45600.338182870371</v>
      </c>
      <c r="Q1178">
        <v>16</v>
      </c>
      <c r="R1178" t="s">
        <v>141</v>
      </c>
      <c r="S1178">
        <v>0.47682141931660499</v>
      </c>
      <c r="T1178" t="b">
        <v>0</v>
      </c>
      <c r="U1178" t="b">
        <v>0</v>
      </c>
      <c r="V1178" t="b">
        <f t="shared" si="36"/>
        <v>1</v>
      </c>
      <c r="W1178">
        <v>0</v>
      </c>
      <c r="Y1178">
        <f t="shared" si="37"/>
        <v>0</v>
      </c>
    </row>
    <row r="1179" spans="1:25" x14ac:dyDescent="0.3">
      <c r="A1179" t="s">
        <v>2874</v>
      </c>
      <c r="B1179" t="s">
        <v>1913</v>
      </c>
      <c r="C1179">
        <v>224.73</v>
      </c>
      <c r="D1179" s="1">
        <v>44966.686018518521</v>
      </c>
      <c r="E1179" t="s">
        <v>25</v>
      </c>
      <c r="F1179" t="s">
        <v>185</v>
      </c>
      <c r="G1179" t="s">
        <v>2346</v>
      </c>
      <c r="H1179" t="s">
        <v>2875</v>
      </c>
      <c r="I1179" t="s">
        <v>53</v>
      </c>
      <c r="J1179" t="s">
        <v>81</v>
      </c>
      <c r="K1179">
        <v>76</v>
      </c>
      <c r="L1179" t="s">
        <v>82</v>
      </c>
      <c r="M1179">
        <v>63</v>
      </c>
      <c r="N1179">
        <v>1</v>
      </c>
      <c r="O1179">
        <v>7551.89</v>
      </c>
      <c r="P1179" s="1">
        <v>45600.33934027778</v>
      </c>
      <c r="Q1179">
        <v>16</v>
      </c>
      <c r="R1179" t="s">
        <v>141</v>
      </c>
      <c r="S1179">
        <v>-0.24957943291908399</v>
      </c>
      <c r="T1179" t="b">
        <v>0</v>
      </c>
      <c r="U1179" t="b">
        <v>0</v>
      </c>
      <c r="V1179" t="b">
        <f t="shared" si="36"/>
        <v>1</v>
      </c>
      <c r="W1179">
        <v>0</v>
      </c>
      <c r="Y1179">
        <f t="shared" si="37"/>
        <v>0</v>
      </c>
    </row>
    <row r="1180" spans="1:25" x14ac:dyDescent="0.3">
      <c r="A1180" t="s">
        <v>2876</v>
      </c>
      <c r="B1180" t="s">
        <v>2663</v>
      </c>
      <c r="C1180">
        <v>752.69</v>
      </c>
      <c r="D1180" s="1">
        <v>45075.788206018522</v>
      </c>
      <c r="E1180" t="s">
        <v>57</v>
      </c>
      <c r="F1180" t="s">
        <v>336</v>
      </c>
      <c r="G1180" t="s">
        <v>1628</v>
      </c>
      <c r="H1180" t="s">
        <v>2877</v>
      </c>
      <c r="I1180" t="s">
        <v>695</v>
      </c>
      <c r="J1180" t="s">
        <v>30</v>
      </c>
      <c r="K1180">
        <v>65</v>
      </c>
      <c r="L1180" t="s">
        <v>31</v>
      </c>
      <c r="M1180">
        <v>115</v>
      </c>
      <c r="N1180">
        <v>1</v>
      </c>
      <c r="O1180">
        <v>14489.69</v>
      </c>
      <c r="P1180" s="1">
        <v>45600.339745370373</v>
      </c>
      <c r="Q1180">
        <v>18</v>
      </c>
      <c r="R1180" t="s">
        <v>47</v>
      </c>
      <c r="S1180">
        <v>1.55883568447778</v>
      </c>
      <c r="T1180" t="b">
        <v>0</v>
      </c>
      <c r="U1180" t="b">
        <v>0</v>
      </c>
      <c r="V1180" t="b">
        <f t="shared" si="36"/>
        <v>1</v>
      </c>
      <c r="W1180">
        <v>0</v>
      </c>
      <c r="Y1180">
        <f t="shared" si="37"/>
        <v>0</v>
      </c>
    </row>
    <row r="1181" spans="1:25" x14ac:dyDescent="0.3">
      <c r="A1181" t="s">
        <v>2878</v>
      </c>
      <c r="B1181" t="s">
        <v>335</v>
      </c>
      <c r="C1181">
        <v>78.5</v>
      </c>
      <c r="D1181" s="1">
        <v>44971.671249999999</v>
      </c>
      <c r="E1181" t="s">
        <v>57</v>
      </c>
      <c r="F1181" t="s">
        <v>236</v>
      </c>
      <c r="G1181" t="s">
        <v>456</v>
      </c>
      <c r="H1181" t="s">
        <v>1584</v>
      </c>
      <c r="I1181" t="s">
        <v>95</v>
      </c>
      <c r="J1181" t="s">
        <v>81</v>
      </c>
      <c r="K1181">
        <v>31</v>
      </c>
      <c r="L1181" t="s">
        <v>31</v>
      </c>
      <c r="M1181">
        <v>41</v>
      </c>
      <c r="N1181">
        <v>1</v>
      </c>
      <c r="O1181">
        <v>13991.5</v>
      </c>
      <c r="P1181" s="1">
        <v>45600.341597222221</v>
      </c>
      <c r="Q1181">
        <v>16</v>
      </c>
      <c r="R1181" t="s">
        <v>32</v>
      </c>
      <c r="S1181">
        <v>-0.75045931513922404</v>
      </c>
      <c r="T1181" t="b">
        <v>0</v>
      </c>
      <c r="U1181" t="b">
        <v>0</v>
      </c>
      <c r="V1181" t="b">
        <f t="shared" si="36"/>
        <v>1</v>
      </c>
      <c r="W1181">
        <v>0</v>
      </c>
      <c r="Y1181">
        <f t="shared" si="37"/>
        <v>0</v>
      </c>
    </row>
    <row r="1182" spans="1:25" x14ac:dyDescent="0.3">
      <c r="A1182" t="s">
        <v>2879</v>
      </c>
      <c r="B1182" t="s">
        <v>2815</v>
      </c>
      <c r="C1182">
        <v>50</v>
      </c>
      <c r="D1182" s="1">
        <v>44981.753611111111</v>
      </c>
      <c r="E1182" t="s">
        <v>57</v>
      </c>
      <c r="F1182" t="s">
        <v>405</v>
      </c>
      <c r="G1182" t="s">
        <v>121</v>
      </c>
      <c r="H1182" t="s">
        <v>1045</v>
      </c>
      <c r="I1182" t="s">
        <v>775</v>
      </c>
      <c r="J1182" t="s">
        <v>30</v>
      </c>
      <c r="K1182">
        <v>53</v>
      </c>
      <c r="L1182" t="s">
        <v>31</v>
      </c>
      <c r="M1182">
        <v>87</v>
      </c>
      <c r="N1182">
        <v>1</v>
      </c>
      <c r="O1182">
        <v>185.87</v>
      </c>
      <c r="P1182" s="1">
        <v>45600.341226851851</v>
      </c>
      <c r="Q1182">
        <v>18</v>
      </c>
      <c r="R1182" t="s">
        <v>54</v>
      </c>
      <c r="S1182">
        <v>-0.848080026643525</v>
      </c>
      <c r="T1182" t="b">
        <v>0</v>
      </c>
      <c r="U1182" t="b">
        <v>0</v>
      </c>
      <c r="V1182" t="b">
        <f t="shared" si="36"/>
        <v>1</v>
      </c>
      <c r="W1182">
        <v>0</v>
      </c>
      <c r="Y1182">
        <f t="shared" si="37"/>
        <v>0</v>
      </c>
    </row>
    <row r="1183" spans="1:25" x14ac:dyDescent="0.3">
      <c r="A1183" t="s">
        <v>2880</v>
      </c>
      <c r="B1183" t="s">
        <v>1150</v>
      </c>
      <c r="C1183">
        <v>132.41999999999999</v>
      </c>
      <c r="D1183" s="1">
        <v>45131.682384259257</v>
      </c>
      <c r="E1183" t="s">
        <v>25</v>
      </c>
      <c r="F1183" t="s">
        <v>126</v>
      </c>
      <c r="G1183" t="s">
        <v>502</v>
      </c>
      <c r="H1183" t="s">
        <v>2881</v>
      </c>
      <c r="I1183" t="s">
        <v>866</v>
      </c>
      <c r="J1183" t="s">
        <v>30</v>
      </c>
      <c r="K1183">
        <v>18</v>
      </c>
      <c r="L1183" t="s">
        <v>46</v>
      </c>
      <c r="M1183">
        <v>164</v>
      </c>
      <c r="N1183">
        <v>1</v>
      </c>
      <c r="O1183">
        <v>726.39</v>
      </c>
      <c r="P1183" s="1">
        <v>45600.341643518521</v>
      </c>
      <c r="Q1183">
        <v>16</v>
      </c>
      <c r="R1183" t="s">
        <v>47</v>
      </c>
      <c r="S1183">
        <v>-0.56576777954933199</v>
      </c>
      <c r="T1183" t="b">
        <v>0</v>
      </c>
      <c r="U1183" t="b">
        <v>0</v>
      </c>
      <c r="V1183" t="b">
        <f t="shared" si="36"/>
        <v>1</v>
      </c>
      <c r="W1183">
        <v>0</v>
      </c>
      <c r="Y1183">
        <f t="shared" si="37"/>
        <v>0</v>
      </c>
    </row>
    <row r="1184" spans="1:25" x14ac:dyDescent="0.3">
      <c r="A1184" t="s">
        <v>2882</v>
      </c>
      <c r="B1184" t="s">
        <v>277</v>
      </c>
      <c r="C1184">
        <v>11.67</v>
      </c>
      <c r="D1184" s="1">
        <v>45243.687743055554</v>
      </c>
      <c r="E1184" t="s">
        <v>25</v>
      </c>
      <c r="F1184" t="s">
        <v>170</v>
      </c>
      <c r="G1184" t="s">
        <v>2883</v>
      </c>
      <c r="H1184" t="s">
        <v>2194</v>
      </c>
      <c r="I1184" t="s">
        <v>316</v>
      </c>
      <c r="J1184" t="s">
        <v>81</v>
      </c>
      <c r="K1184">
        <v>76</v>
      </c>
      <c r="L1184" t="s">
        <v>82</v>
      </c>
      <c r="M1184">
        <v>105</v>
      </c>
      <c r="N1184">
        <v>1</v>
      </c>
      <c r="O1184">
        <v>7458.63</v>
      </c>
      <c r="P1184" s="1">
        <v>45600.340509259258</v>
      </c>
      <c r="Q1184">
        <v>16</v>
      </c>
      <c r="R1184" t="s">
        <v>47</v>
      </c>
      <c r="S1184">
        <v>-0.97937132039650299</v>
      </c>
      <c r="T1184" t="b">
        <v>0</v>
      </c>
      <c r="U1184" t="b">
        <v>0</v>
      </c>
      <c r="V1184" t="b">
        <f t="shared" si="36"/>
        <v>1</v>
      </c>
      <c r="W1184">
        <v>0</v>
      </c>
      <c r="Y1184">
        <f t="shared" si="37"/>
        <v>0</v>
      </c>
    </row>
    <row r="1185" spans="1:25" x14ac:dyDescent="0.3">
      <c r="A1185" t="s">
        <v>2884</v>
      </c>
      <c r="B1185" t="s">
        <v>1079</v>
      </c>
      <c r="C1185">
        <v>83.16</v>
      </c>
      <c r="D1185" s="1">
        <v>45154.674953703703</v>
      </c>
      <c r="E1185" t="s">
        <v>25</v>
      </c>
      <c r="F1185" t="s">
        <v>153</v>
      </c>
      <c r="G1185" t="s">
        <v>609</v>
      </c>
      <c r="H1185" t="s">
        <v>596</v>
      </c>
      <c r="I1185" t="s">
        <v>61</v>
      </c>
      <c r="J1185" t="s">
        <v>30</v>
      </c>
      <c r="K1185">
        <v>61</v>
      </c>
      <c r="L1185" t="s">
        <v>82</v>
      </c>
      <c r="M1185">
        <v>177</v>
      </c>
      <c r="N1185">
        <v>1</v>
      </c>
      <c r="O1185">
        <v>3065.87</v>
      </c>
      <c r="P1185" s="1">
        <v>45600.339421296296</v>
      </c>
      <c r="Q1185">
        <v>16</v>
      </c>
      <c r="R1185" t="s">
        <v>74</v>
      </c>
      <c r="S1185">
        <v>-0.73449747248623998</v>
      </c>
      <c r="T1185" t="b">
        <v>0</v>
      </c>
      <c r="U1185" t="b">
        <v>0</v>
      </c>
      <c r="V1185" t="b">
        <f t="shared" si="36"/>
        <v>1</v>
      </c>
      <c r="W1185">
        <v>0</v>
      </c>
      <c r="Y1185">
        <f t="shared" si="37"/>
        <v>0</v>
      </c>
    </row>
    <row r="1186" spans="1:25" x14ac:dyDescent="0.3">
      <c r="A1186" t="s">
        <v>2885</v>
      </c>
      <c r="B1186" t="s">
        <v>864</v>
      </c>
      <c r="C1186">
        <v>149.02000000000001</v>
      </c>
      <c r="D1186" s="1">
        <v>45170.691562499997</v>
      </c>
      <c r="E1186" t="s">
        <v>57</v>
      </c>
      <c r="F1186" t="s">
        <v>170</v>
      </c>
      <c r="G1186" t="s">
        <v>2886</v>
      </c>
      <c r="H1186" t="s">
        <v>2833</v>
      </c>
      <c r="I1186" t="s">
        <v>73</v>
      </c>
      <c r="J1186" t="s">
        <v>81</v>
      </c>
      <c r="K1186">
        <v>46</v>
      </c>
      <c r="L1186" t="s">
        <v>89</v>
      </c>
      <c r="M1186">
        <v>176</v>
      </c>
      <c r="N1186">
        <v>1</v>
      </c>
      <c r="O1186">
        <v>9379.7199999999993</v>
      </c>
      <c r="P1186" s="1">
        <v>45600.337962962964</v>
      </c>
      <c r="Q1186">
        <v>16</v>
      </c>
      <c r="R1186" t="s">
        <v>54</v>
      </c>
      <c r="S1186">
        <v>-0.50890799670822995</v>
      </c>
      <c r="T1186" t="b">
        <v>0</v>
      </c>
      <c r="U1186" t="b">
        <v>0</v>
      </c>
      <c r="V1186" t="b">
        <f t="shared" si="36"/>
        <v>1</v>
      </c>
      <c r="W1186">
        <v>0</v>
      </c>
      <c r="Y1186">
        <f t="shared" si="37"/>
        <v>0</v>
      </c>
    </row>
    <row r="1187" spans="1:25" x14ac:dyDescent="0.3">
      <c r="A1187" t="s">
        <v>2887</v>
      </c>
      <c r="B1187" t="s">
        <v>215</v>
      </c>
      <c r="C1187">
        <v>74.27</v>
      </c>
      <c r="D1187" s="1">
        <v>45120.720219907409</v>
      </c>
      <c r="E1187" t="s">
        <v>57</v>
      </c>
      <c r="F1187" t="s">
        <v>104</v>
      </c>
      <c r="G1187" t="s">
        <v>1139</v>
      </c>
      <c r="H1187" t="s">
        <v>1956</v>
      </c>
      <c r="I1187" t="s">
        <v>290</v>
      </c>
      <c r="J1187" t="s">
        <v>45</v>
      </c>
      <c r="K1187">
        <v>59</v>
      </c>
      <c r="L1187" t="s">
        <v>31</v>
      </c>
      <c r="M1187">
        <v>148</v>
      </c>
      <c r="N1187">
        <v>1</v>
      </c>
      <c r="O1187">
        <v>13696.61</v>
      </c>
      <c r="P1187" s="1">
        <v>45600.341203703705</v>
      </c>
      <c r="Q1187">
        <v>17</v>
      </c>
      <c r="R1187" t="s">
        <v>141</v>
      </c>
      <c r="S1187">
        <v>-0.764948283899336</v>
      </c>
      <c r="T1187" t="b">
        <v>0</v>
      </c>
      <c r="U1187" t="b">
        <v>0</v>
      </c>
      <c r="V1187" t="b">
        <f t="shared" si="36"/>
        <v>1</v>
      </c>
      <c r="W1187">
        <v>0</v>
      </c>
      <c r="Y1187">
        <f t="shared" si="37"/>
        <v>0</v>
      </c>
    </row>
    <row r="1188" spans="1:25" x14ac:dyDescent="0.3">
      <c r="A1188" t="s">
        <v>2888</v>
      </c>
      <c r="B1188" t="s">
        <v>638</v>
      </c>
      <c r="C1188">
        <v>876.57</v>
      </c>
      <c r="D1188" s="1">
        <v>45180.677847222221</v>
      </c>
      <c r="E1188" t="s">
        <v>57</v>
      </c>
      <c r="F1188" t="s">
        <v>608</v>
      </c>
      <c r="G1188" t="s">
        <v>1952</v>
      </c>
      <c r="H1188" t="s">
        <v>1201</v>
      </c>
      <c r="I1188" t="s">
        <v>695</v>
      </c>
      <c r="J1188" t="s">
        <v>30</v>
      </c>
      <c r="K1188">
        <v>62</v>
      </c>
      <c r="L1188" t="s">
        <v>82</v>
      </c>
      <c r="M1188">
        <v>118</v>
      </c>
      <c r="N1188">
        <v>1</v>
      </c>
      <c r="O1188">
        <v>3743.63</v>
      </c>
      <c r="P1188" s="1">
        <v>45600.338125000002</v>
      </c>
      <c r="Q1188">
        <v>16</v>
      </c>
      <c r="R1188" t="s">
        <v>47</v>
      </c>
      <c r="S1188">
        <v>1.9831603771498101</v>
      </c>
      <c r="T1188" t="b">
        <v>0</v>
      </c>
      <c r="U1188" t="b">
        <v>0</v>
      </c>
      <c r="V1188" t="b">
        <f t="shared" si="36"/>
        <v>1</v>
      </c>
      <c r="W1188">
        <v>0</v>
      </c>
      <c r="Y1188">
        <f t="shared" si="37"/>
        <v>0</v>
      </c>
    </row>
    <row r="1189" spans="1:25" x14ac:dyDescent="0.3">
      <c r="A1189" t="s">
        <v>2889</v>
      </c>
      <c r="B1189" t="s">
        <v>2890</v>
      </c>
      <c r="C1189">
        <v>615.58000000000004</v>
      </c>
      <c r="D1189" s="1">
        <v>45194.694444444445</v>
      </c>
      <c r="E1189" t="s">
        <v>25</v>
      </c>
      <c r="F1189" t="s">
        <v>405</v>
      </c>
      <c r="G1189" t="s">
        <v>1726</v>
      </c>
      <c r="H1189" t="s">
        <v>2764</v>
      </c>
      <c r="I1189" t="s">
        <v>140</v>
      </c>
      <c r="J1189" t="s">
        <v>30</v>
      </c>
      <c r="K1189">
        <v>42</v>
      </c>
      <c r="L1189" t="s">
        <v>31</v>
      </c>
      <c r="M1189">
        <v>133</v>
      </c>
      <c r="N1189">
        <v>1</v>
      </c>
      <c r="O1189">
        <v>14343</v>
      </c>
      <c r="P1189" s="1">
        <v>45600.340914351851</v>
      </c>
      <c r="Q1189">
        <v>16</v>
      </c>
      <c r="R1189" t="s">
        <v>47</v>
      </c>
      <c r="S1189">
        <v>1.0891944299390199</v>
      </c>
      <c r="T1189" t="b">
        <v>0</v>
      </c>
      <c r="U1189" t="b">
        <v>0</v>
      </c>
      <c r="V1189" t="b">
        <f t="shared" si="36"/>
        <v>1</v>
      </c>
      <c r="W1189">
        <v>0</v>
      </c>
      <c r="Y1189">
        <f t="shared" si="37"/>
        <v>0</v>
      </c>
    </row>
    <row r="1190" spans="1:25" x14ac:dyDescent="0.3">
      <c r="A1190" t="s">
        <v>2891</v>
      </c>
      <c r="B1190" t="s">
        <v>1036</v>
      </c>
      <c r="C1190">
        <v>643.03</v>
      </c>
      <c r="D1190" s="1">
        <v>45139.683067129627</v>
      </c>
      <c r="E1190" t="s">
        <v>57</v>
      </c>
      <c r="F1190" t="s">
        <v>405</v>
      </c>
      <c r="G1190" t="s">
        <v>2155</v>
      </c>
      <c r="H1190" t="s">
        <v>1290</v>
      </c>
      <c r="I1190" t="s">
        <v>53</v>
      </c>
      <c r="J1190" t="s">
        <v>45</v>
      </c>
      <c r="K1190">
        <v>36</v>
      </c>
      <c r="L1190" t="s">
        <v>89</v>
      </c>
      <c r="M1190">
        <v>52</v>
      </c>
      <c r="N1190">
        <v>1</v>
      </c>
      <c r="O1190">
        <v>2882.16</v>
      </c>
      <c r="P1190" s="1">
        <v>45600.339143518519</v>
      </c>
      <c r="Q1190">
        <v>16</v>
      </c>
      <c r="R1190" t="s">
        <v>32</v>
      </c>
      <c r="S1190">
        <v>1.1832185889142199</v>
      </c>
      <c r="T1190" t="b">
        <v>0</v>
      </c>
      <c r="U1190" t="b">
        <v>0</v>
      </c>
      <c r="V1190" t="b">
        <f t="shared" si="36"/>
        <v>1</v>
      </c>
      <c r="W1190">
        <v>0</v>
      </c>
      <c r="Y1190">
        <f t="shared" si="37"/>
        <v>0</v>
      </c>
    </row>
    <row r="1191" spans="1:25" x14ac:dyDescent="0.3">
      <c r="A1191" t="s">
        <v>2892</v>
      </c>
      <c r="B1191" t="s">
        <v>473</v>
      </c>
      <c r="C1191">
        <v>7.95</v>
      </c>
      <c r="D1191" s="1">
        <v>44935.698055555556</v>
      </c>
      <c r="E1191" t="s">
        <v>25</v>
      </c>
      <c r="F1191" t="s">
        <v>438</v>
      </c>
      <c r="G1191" t="s">
        <v>2734</v>
      </c>
      <c r="H1191" t="s">
        <v>2349</v>
      </c>
      <c r="I1191" t="s">
        <v>356</v>
      </c>
      <c r="J1191" t="s">
        <v>30</v>
      </c>
      <c r="K1191">
        <v>79</v>
      </c>
      <c r="L1191" t="s">
        <v>82</v>
      </c>
      <c r="M1191">
        <v>65</v>
      </c>
      <c r="N1191">
        <v>1</v>
      </c>
      <c r="O1191">
        <v>5631.2</v>
      </c>
      <c r="P1191" s="1">
        <v>45600.34034722222</v>
      </c>
      <c r="Q1191">
        <v>16</v>
      </c>
      <c r="R1191" t="s">
        <v>47</v>
      </c>
      <c r="S1191">
        <v>-0.99211339221390604</v>
      </c>
      <c r="T1191" t="b">
        <v>0</v>
      </c>
      <c r="U1191" t="b">
        <v>0</v>
      </c>
      <c r="V1191" t="b">
        <f t="shared" si="36"/>
        <v>1</v>
      </c>
      <c r="W1191">
        <v>0</v>
      </c>
      <c r="Y1191">
        <f t="shared" si="37"/>
        <v>0</v>
      </c>
    </row>
    <row r="1192" spans="1:25" x14ac:dyDescent="0.3">
      <c r="A1192" t="s">
        <v>2893</v>
      </c>
      <c r="B1192" t="s">
        <v>634</v>
      </c>
      <c r="C1192">
        <v>270.92</v>
      </c>
      <c r="D1192" s="1">
        <v>45037.71056712963</v>
      </c>
      <c r="E1192" t="s">
        <v>57</v>
      </c>
      <c r="F1192" t="s">
        <v>120</v>
      </c>
      <c r="G1192" t="s">
        <v>726</v>
      </c>
      <c r="H1192" t="s">
        <v>1168</v>
      </c>
      <c r="I1192" t="s">
        <v>399</v>
      </c>
      <c r="J1192" t="s">
        <v>81</v>
      </c>
      <c r="K1192">
        <v>77</v>
      </c>
      <c r="L1192" t="s">
        <v>82</v>
      </c>
      <c r="M1192">
        <v>143</v>
      </c>
      <c r="N1192">
        <v>1</v>
      </c>
      <c r="O1192">
        <v>4574.43</v>
      </c>
      <c r="P1192" s="1">
        <v>45600.338090277779</v>
      </c>
      <c r="Q1192">
        <v>17</v>
      </c>
      <c r="R1192" t="s">
        <v>54</v>
      </c>
      <c r="S1192">
        <v>-9.1365374519657302E-2</v>
      </c>
      <c r="T1192" t="b">
        <v>0</v>
      </c>
      <c r="U1192" t="b">
        <v>0</v>
      </c>
      <c r="V1192" t="b">
        <f t="shared" si="36"/>
        <v>1</v>
      </c>
      <c r="W1192">
        <v>0</v>
      </c>
      <c r="Y1192">
        <f t="shared" si="37"/>
        <v>0</v>
      </c>
    </row>
    <row r="1193" spans="1:25" x14ac:dyDescent="0.3">
      <c r="A1193" t="s">
        <v>2894</v>
      </c>
      <c r="B1193" t="s">
        <v>902</v>
      </c>
      <c r="C1193">
        <v>499.48</v>
      </c>
      <c r="D1193" s="1">
        <v>44943.706319444442</v>
      </c>
      <c r="E1193" t="s">
        <v>25</v>
      </c>
      <c r="F1193" t="s">
        <v>262</v>
      </c>
      <c r="G1193" t="s">
        <v>1605</v>
      </c>
      <c r="H1193" t="s">
        <v>52</v>
      </c>
      <c r="I1193" t="s">
        <v>458</v>
      </c>
      <c r="J1193" t="s">
        <v>30</v>
      </c>
      <c r="K1193">
        <v>24</v>
      </c>
      <c r="L1193" t="s">
        <v>46</v>
      </c>
      <c r="M1193">
        <v>133</v>
      </c>
      <c r="N1193">
        <v>1</v>
      </c>
      <c r="O1193">
        <v>1242.6199999999999</v>
      </c>
      <c r="P1193" s="1">
        <v>45600.339398148149</v>
      </c>
      <c r="Q1193">
        <v>16</v>
      </c>
      <c r="R1193" t="s">
        <v>32</v>
      </c>
      <c r="S1193">
        <v>0.69151847886360895</v>
      </c>
      <c r="T1193" t="b">
        <v>0</v>
      </c>
      <c r="U1193" t="b">
        <v>0</v>
      </c>
      <c r="V1193" t="b">
        <f t="shared" si="36"/>
        <v>1</v>
      </c>
      <c r="W1193">
        <v>0</v>
      </c>
      <c r="Y1193">
        <f t="shared" si="37"/>
        <v>0</v>
      </c>
    </row>
    <row r="1194" spans="1:25" x14ac:dyDescent="0.3">
      <c r="A1194" t="s">
        <v>2895</v>
      </c>
      <c r="B1194" t="s">
        <v>582</v>
      </c>
      <c r="C1194">
        <v>841.5</v>
      </c>
      <c r="D1194" s="1">
        <v>45068.689768518518</v>
      </c>
      <c r="E1194" t="s">
        <v>57</v>
      </c>
      <c r="F1194" t="s">
        <v>58</v>
      </c>
      <c r="G1194" t="s">
        <v>2896</v>
      </c>
      <c r="H1194" t="s">
        <v>1113</v>
      </c>
      <c r="I1194" t="s">
        <v>80</v>
      </c>
      <c r="J1194" t="s">
        <v>81</v>
      </c>
      <c r="K1194">
        <v>25</v>
      </c>
      <c r="L1194" t="s">
        <v>46</v>
      </c>
      <c r="M1194">
        <v>287</v>
      </c>
      <c r="N1194">
        <v>1</v>
      </c>
      <c r="O1194">
        <v>352.31</v>
      </c>
      <c r="P1194" s="1">
        <v>45600.33966435185</v>
      </c>
      <c r="Q1194">
        <v>16</v>
      </c>
      <c r="R1194" t="s">
        <v>47</v>
      </c>
      <c r="S1194">
        <v>1.86303552267768</v>
      </c>
      <c r="T1194" t="b">
        <v>0</v>
      </c>
      <c r="U1194" t="b">
        <v>0</v>
      </c>
      <c r="V1194" t="b">
        <f t="shared" si="36"/>
        <v>1</v>
      </c>
      <c r="W1194">
        <v>0</v>
      </c>
      <c r="Y1194">
        <f t="shared" si="37"/>
        <v>0</v>
      </c>
    </row>
    <row r="1195" spans="1:25" x14ac:dyDescent="0.3">
      <c r="A1195" t="s">
        <v>2897</v>
      </c>
      <c r="B1195" t="s">
        <v>511</v>
      </c>
      <c r="C1195">
        <v>138.82</v>
      </c>
      <c r="D1195" s="1">
        <v>45215.67523148148</v>
      </c>
      <c r="E1195" t="s">
        <v>25</v>
      </c>
      <c r="F1195" t="s">
        <v>170</v>
      </c>
      <c r="G1195" t="s">
        <v>2216</v>
      </c>
      <c r="H1195" t="s">
        <v>1217</v>
      </c>
      <c r="I1195" t="s">
        <v>107</v>
      </c>
      <c r="J1195" t="s">
        <v>45</v>
      </c>
      <c r="K1195">
        <v>77</v>
      </c>
      <c r="L1195" t="s">
        <v>82</v>
      </c>
      <c r="M1195">
        <v>53</v>
      </c>
      <c r="N1195">
        <v>1</v>
      </c>
      <c r="O1195">
        <v>3100.22</v>
      </c>
      <c r="P1195" s="1">
        <v>45600.341527777775</v>
      </c>
      <c r="Q1195">
        <v>16</v>
      </c>
      <c r="R1195" t="s">
        <v>47</v>
      </c>
      <c r="S1195">
        <v>-0.54384593556240102</v>
      </c>
      <c r="T1195" t="b">
        <v>0</v>
      </c>
      <c r="U1195" t="b">
        <v>0</v>
      </c>
      <c r="V1195" t="b">
        <f t="shared" si="36"/>
        <v>1</v>
      </c>
      <c r="W1195">
        <v>0</v>
      </c>
      <c r="Y1195">
        <f t="shared" si="37"/>
        <v>0</v>
      </c>
    </row>
    <row r="1196" spans="1:25" x14ac:dyDescent="0.3">
      <c r="A1196" t="s">
        <v>2898</v>
      </c>
      <c r="B1196" t="s">
        <v>2138</v>
      </c>
      <c r="C1196">
        <v>231.46</v>
      </c>
      <c r="D1196" s="1">
        <v>45085.696180555555</v>
      </c>
      <c r="E1196" t="s">
        <v>57</v>
      </c>
      <c r="F1196" t="s">
        <v>185</v>
      </c>
      <c r="G1196" t="s">
        <v>2466</v>
      </c>
      <c r="H1196" t="s">
        <v>274</v>
      </c>
      <c r="I1196" t="s">
        <v>491</v>
      </c>
      <c r="J1196" t="s">
        <v>81</v>
      </c>
      <c r="K1196">
        <v>60</v>
      </c>
      <c r="L1196" t="s">
        <v>89</v>
      </c>
      <c r="M1196">
        <v>83</v>
      </c>
      <c r="N1196">
        <v>1</v>
      </c>
      <c r="O1196">
        <v>4707.24</v>
      </c>
      <c r="P1196" s="1">
        <v>45600.339247685188</v>
      </c>
      <c r="Q1196">
        <v>16</v>
      </c>
      <c r="R1196" t="s">
        <v>141</v>
      </c>
      <c r="S1196">
        <v>-0.22652724385157699</v>
      </c>
      <c r="T1196" t="b">
        <v>0</v>
      </c>
      <c r="U1196" t="b">
        <v>0</v>
      </c>
      <c r="V1196" t="b">
        <f t="shared" si="36"/>
        <v>1</v>
      </c>
      <c r="W1196">
        <v>0</v>
      </c>
      <c r="Y1196">
        <f t="shared" si="37"/>
        <v>0</v>
      </c>
    </row>
    <row r="1197" spans="1:25" x14ac:dyDescent="0.3">
      <c r="A1197" t="s">
        <v>2899</v>
      </c>
      <c r="B1197" t="s">
        <v>2383</v>
      </c>
      <c r="C1197">
        <v>292.08</v>
      </c>
      <c r="D1197" s="1">
        <v>45289.754907407405</v>
      </c>
      <c r="E1197" t="s">
        <v>25</v>
      </c>
      <c r="F1197" t="s">
        <v>137</v>
      </c>
      <c r="G1197" t="s">
        <v>846</v>
      </c>
      <c r="H1197" t="s">
        <v>1877</v>
      </c>
      <c r="I1197" t="s">
        <v>665</v>
      </c>
      <c r="J1197" t="s">
        <v>30</v>
      </c>
      <c r="K1197">
        <v>72</v>
      </c>
      <c r="L1197" t="s">
        <v>82</v>
      </c>
      <c r="M1197">
        <v>32</v>
      </c>
      <c r="N1197">
        <v>1</v>
      </c>
      <c r="O1197">
        <v>7950.48</v>
      </c>
      <c r="P1197" s="1">
        <v>45600.33997685185</v>
      </c>
      <c r="Q1197">
        <v>18</v>
      </c>
      <c r="R1197" t="s">
        <v>54</v>
      </c>
      <c r="S1197">
        <v>-1.88862778378674E-2</v>
      </c>
      <c r="T1197" t="b">
        <v>0</v>
      </c>
      <c r="U1197" t="b">
        <v>0</v>
      </c>
      <c r="V1197" t="b">
        <f t="shared" si="36"/>
        <v>1</v>
      </c>
      <c r="W1197">
        <v>0</v>
      </c>
      <c r="Y1197">
        <f t="shared" si="37"/>
        <v>0</v>
      </c>
    </row>
    <row r="1198" spans="1:25" x14ac:dyDescent="0.3">
      <c r="A1198" t="s">
        <v>2900</v>
      </c>
      <c r="B1198" t="s">
        <v>232</v>
      </c>
      <c r="C1198">
        <v>63.98</v>
      </c>
      <c r="D1198" s="1">
        <v>45229.667858796296</v>
      </c>
      <c r="E1198" t="s">
        <v>25</v>
      </c>
      <c r="F1198" t="s">
        <v>210</v>
      </c>
      <c r="G1198" t="s">
        <v>811</v>
      </c>
      <c r="H1198" t="s">
        <v>723</v>
      </c>
      <c r="I1198" t="s">
        <v>620</v>
      </c>
      <c r="J1198" t="s">
        <v>45</v>
      </c>
      <c r="K1198">
        <v>54</v>
      </c>
      <c r="L1198" t="s">
        <v>31</v>
      </c>
      <c r="M1198">
        <v>258</v>
      </c>
      <c r="N1198">
        <v>1</v>
      </c>
      <c r="O1198">
        <v>7954.12</v>
      </c>
      <c r="P1198" s="1">
        <v>45600.338113425925</v>
      </c>
      <c r="Q1198">
        <v>16</v>
      </c>
      <c r="R1198" t="s">
        <v>47</v>
      </c>
      <c r="S1198">
        <v>-0.80019449868457304</v>
      </c>
      <c r="T1198" t="b">
        <v>0</v>
      </c>
      <c r="U1198" t="b">
        <v>0</v>
      </c>
      <c r="V1198" t="b">
        <f t="shared" si="36"/>
        <v>1</v>
      </c>
      <c r="W1198">
        <v>0</v>
      </c>
      <c r="Y1198">
        <f t="shared" si="37"/>
        <v>0</v>
      </c>
    </row>
    <row r="1199" spans="1:25" x14ac:dyDescent="0.3">
      <c r="A1199" t="s">
        <v>2901</v>
      </c>
      <c r="B1199" t="s">
        <v>2902</v>
      </c>
      <c r="C1199">
        <v>235.21</v>
      </c>
      <c r="D1199" s="1">
        <v>45215.697824074072</v>
      </c>
      <c r="E1199" t="s">
        <v>25</v>
      </c>
      <c r="F1199" t="s">
        <v>401</v>
      </c>
      <c r="G1199" t="s">
        <v>2903</v>
      </c>
      <c r="H1199" t="s">
        <v>2267</v>
      </c>
      <c r="I1199" t="s">
        <v>95</v>
      </c>
      <c r="J1199" t="s">
        <v>81</v>
      </c>
      <c r="K1199">
        <v>67</v>
      </c>
      <c r="L1199" t="s">
        <v>31</v>
      </c>
      <c r="M1199">
        <v>74</v>
      </c>
      <c r="N1199">
        <v>1</v>
      </c>
      <c r="O1199">
        <v>5946.61</v>
      </c>
      <c r="P1199" s="1">
        <v>45600.340960648151</v>
      </c>
      <c r="Q1199">
        <v>16</v>
      </c>
      <c r="R1199" t="s">
        <v>47</v>
      </c>
      <c r="S1199">
        <v>-0.21368241339048499</v>
      </c>
      <c r="T1199" t="b">
        <v>0</v>
      </c>
      <c r="U1199" t="b">
        <v>0</v>
      </c>
      <c r="V1199" t="b">
        <f t="shared" si="36"/>
        <v>1</v>
      </c>
      <c r="W1199">
        <v>0</v>
      </c>
      <c r="Y1199">
        <f t="shared" si="37"/>
        <v>0</v>
      </c>
    </row>
    <row r="1200" spans="1:25" x14ac:dyDescent="0.3">
      <c r="A1200" t="s">
        <v>2904</v>
      </c>
      <c r="B1200" t="s">
        <v>255</v>
      </c>
      <c r="C1200">
        <v>201.73</v>
      </c>
      <c r="D1200" s="1">
        <v>45174.781504629631</v>
      </c>
      <c r="E1200" t="s">
        <v>25</v>
      </c>
      <c r="F1200" t="s">
        <v>210</v>
      </c>
      <c r="G1200" t="s">
        <v>2905</v>
      </c>
      <c r="H1200" t="s">
        <v>1650</v>
      </c>
      <c r="I1200" t="s">
        <v>1300</v>
      </c>
      <c r="J1200" t="s">
        <v>45</v>
      </c>
      <c r="K1200">
        <v>57</v>
      </c>
      <c r="L1200" t="s">
        <v>89</v>
      </c>
      <c r="M1200">
        <v>78</v>
      </c>
      <c r="N1200">
        <v>1</v>
      </c>
      <c r="O1200">
        <v>6650.71</v>
      </c>
      <c r="P1200" s="1">
        <v>45600.341747685183</v>
      </c>
      <c r="Q1200">
        <v>18</v>
      </c>
      <c r="R1200" t="s">
        <v>32</v>
      </c>
      <c r="S1200">
        <v>-0.32836105974711699</v>
      </c>
      <c r="T1200" t="b">
        <v>0</v>
      </c>
      <c r="U1200" t="b">
        <v>0</v>
      </c>
      <c r="V1200" t="b">
        <f t="shared" si="36"/>
        <v>1</v>
      </c>
      <c r="W1200">
        <v>0</v>
      </c>
      <c r="Y1200">
        <f t="shared" si="37"/>
        <v>0</v>
      </c>
    </row>
    <row r="1201" spans="1:25" x14ac:dyDescent="0.3">
      <c r="A1201" t="s">
        <v>2906</v>
      </c>
      <c r="B1201" t="s">
        <v>460</v>
      </c>
      <c r="C1201">
        <v>161.31</v>
      </c>
      <c r="D1201" s="1">
        <v>45180.683993055558</v>
      </c>
      <c r="E1201" t="s">
        <v>25</v>
      </c>
      <c r="F1201" t="s">
        <v>92</v>
      </c>
      <c r="G1201" t="s">
        <v>2132</v>
      </c>
      <c r="H1201" t="s">
        <v>1642</v>
      </c>
      <c r="I1201" t="s">
        <v>280</v>
      </c>
      <c r="J1201" t="s">
        <v>30</v>
      </c>
      <c r="K1201">
        <v>28</v>
      </c>
      <c r="L1201" t="s">
        <v>46</v>
      </c>
      <c r="M1201">
        <v>13</v>
      </c>
      <c r="N1201">
        <v>1</v>
      </c>
      <c r="O1201">
        <v>1268.67</v>
      </c>
      <c r="P1201" s="1">
        <v>45600.339513888888</v>
      </c>
      <c r="Q1201">
        <v>16</v>
      </c>
      <c r="R1201" t="s">
        <v>47</v>
      </c>
      <c r="S1201">
        <v>-0.46681120567707701</v>
      </c>
      <c r="T1201" t="b">
        <v>0</v>
      </c>
      <c r="U1201" t="b">
        <v>0</v>
      </c>
      <c r="V1201" t="b">
        <f t="shared" si="36"/>
        <v>1</v>
      </c>
      <c r="W1201">
        <v>0</v>
      </c>
      <c r="Y1201">
        <f t="shared" si="37"/>
        <v>0</v>
      </c>
    </row>
    <row r="1202" spans="1:25" x14ac:dyDescent="0.3">
      <c r="A1202" t="s">
        <v>2907</v>
      </c>
      <c r="B1202" t="s">
        <v>905</v>
      </c>
      <c r="C1202">
        <v>18.41</v>
      </c>
      <c r="D1202" s="1">
        <v>45261.726921296293</v>
      </c>
      <c r="E1202" t="s">
        <v>25</v>
      </c>
      <c r="F1202" t="s">
        <v>58</v>
      </c>
      <c r="G1202" t="s">
        <v>543</v>
      </c>
      <c r="H1202" t="s">
        <v>2871</v>
      </c>
      <c r="I1202" t="s">
        <v>844</v>
      </c>
      <c r="J1202" t="s">
        <v>81</v>
      </c>
      <c r="K1202">
        <v>53</v>
      </c>
      <c r="L1202" t="s">
        <v>31</v>
      </c>
      <c r="M1202">
        <v>168</v>
      </c>
      <c r="N1202">
        <v>1</v>
      </c>
      <c r="O1202">
        <v>8287.5400000000009</v>
      </c>
      <c r="P1202" s="1">
        <v>45600.341319444444</v>
      </c>
      <c r="Q1202">
        <v>17</v>
      </c>
      <c r="R1202" t="s">
        <v>54</v>
      </c>
      <c r="S1202">
        <v>-0.956284878447766</v>
      </c>
      <c r="T1202" t="b">
        <v>0</v>
      </c>
      <c r="U1202" t="b">
        <v>0</v>
      </c>
      <c r="V1202" t="b">
        <f t="shared" si="36"/>
        <v>1</v>
      </c>
      <c r="W1202">
        <v>0</v>
      </c>
      <c r="Y1202">
        <f t="shared" si="37"/>
        <v>0</v>
      </c>
    </row>
    <row r="1203" spans="1:25" x14ac:dyDescent="0.3">
      <c r="A1203" t="s">
        <v>2908</v>
      </c>
      <c r="B1203" t="s">
        <v>1101</v>
      </c>
      <c r="C1203">
        <v>471.75</v>
      </c>
      <c r="D1203" s="1">
        <v>45083.771597222221</v>
      </c>
      <c r="E1203" t="s">
        <v>57</v>
      </c>
      <c r="F1203" t="s">
        <v>236</v>
      </c>
      <c r="G1203" t="s">
        <v>1200</v>
      </c>
      <c r="H1203" t="s">
        <v>664</v>
      </c>
      <c r="I1203" t="s">
        <v>134</v>
      </c>
      <c r="J1203" t="s">
        <v>81</v>
      </c>
      <c r="K1203">
        <v>34</v>
      </c>
      <c r="L1203" t="s">
        <v>31</v>
      </c>
      <c r="M1203">
        <v>41</v>
      </c>
      <c r="N1203">
        <v>1</v>
      </c>
      <c r="O1203">
        <v>12948.5</v>
      </c>
      <c r="P1203" s="1">
        <v>45600.340902777774</v>
      </c>
      <c r="Q1203">
        <v>18</v>
      </c>
      <c r="R1203" t="s">
        <v>32</v>
      </c>
      <c r="S1203">
        <v>0.59653523921398499</v>
      </c>
      <c r="T1203" t="b">
        <v>0</v>
      </c>
      <c r="U1203" t="b">
        <v>0</v>
      </c>
      <c r="V1203" t="b">
        <f t="shared" si="36"/>
        <v>1</v>
      </c>
      <c r="W1203">
        <v>0</v>
      </c>
      <c r="Y1203">
        <f t="shared" si="37"/>
        <v>0</v>
      </c>
    </row>
    <row r="1204" spans="1:25" x14ac:dyDescent="0.3">
      <c r="A1204" t="s">
        <v>2909</v>
      </c>
      <c r="B1204" t="s">
        <v>680</v>
      </c>
      <c r="C1204">
        <v>290.02</v>
      </c>
      <c r="D1204" s="1">
        <v>45194.742303240739</v>
      </c>
      <c r="E1204" t="s">
        <v>25</v>
      </c>
      <c r="F1204" t="s">
        <v>191</v>
      </c>
      <c r="G1204" t="s">
        <v>1402</v>
      </c>
      <c r="H1204" t="s">
        <v>1331</v>
      </c>
      <c r="I1204" t="s">
        <v>275</v>
      </c>
      <c r="J1204" t="s">
        <v>81</v>
      </c>
      <c r="K1204">
        <v>55</v>
      </c>
      <c r="L1204" t="s">
        <v>89</v>
      </c>
      <c r="M1204">
        <v>246</v>
      </c>
      <c r="N1204">
        <v>1</v>
      </c>
      <c r="O1204">
        <v>4746.71</v>
      </c>
      <c r="P1204" s="1">
        <v>45600.338842592595</v>
      </c>
      <c r="Q1204">
        <v>17</v>
      </c>
      <c r="R1204" t="s">
        <v>47</v>
      </c>
      <c r="S1204">
        <v>-2.5942371371160702E-2</v>
      </c>
      <c r="T1204" t="b">
        <v>0</v>
      </c>
      <c r="U1204" t="b">
        <v>0</v>
      </c>
      <c r="V1204" t="b">
        <f t="shared" si="36"/>
        <v>1</v>
      </c>
      <c r="W1204">
        <v>0</v>
      </c>
      <c r="Y1204">
        <f t="shared" si="37"/>
        <v>0</v>
      </c>
    </row>
    <row r="1205" spans="1:25" x14ac:dyDescent="0.3">
      <c r="A1205" t="s">
        <v>2910</v>
      </c>
      <c r="B1205" t="s">
        <v>1520</v>
      </c>
      <c r="C1205">
        <v>48.05</v>
      </c>
      <c r="D1205" s="1">
        <v>45064.732175925928</v>
      </c>
      <c r="E1205" t="s">
        <v>25</v>
      </c>
      <c r="F1205" t="s">
        <v>216</v>
      </c>
      <c r="G1205" t="s">
        <v>1214</v>
      </c>
      <c r="H1205" t="s">
        <v>365</v>
      </c>
      <c r="I1205" t="s">
        <v>419</v>
      </c>
      <c r="J1205" t="s">
        <v>81</v>
      </c>
      <c r="K1205">
        <v>27</v>
      </c>
      <c r="L1205" t="s">
        <v>89</v>
      </c>
      <c r="M1205">
        <v>38</v>
      </c>
      <c r="N1205">
        <v>1</v>
      </c>
      <c r="O1205">
        <v>5334.97</v>
      </c>
      <c r="P1205" s="1">
        <v>45600.33966435185</v>
      </c>
      <c r="Q1205">
        <v>17</v>
      </c>
      <c r="R1205" t="s">
        <v>141</v>
      </c>
      <c r="S1205">
        <v>-0.854759338483293</v>
      </c>
      <c r="T1205" t="b">
        <v>0</v>
      </c>
      <c r="U1205" t="b">
        <v>0</v>
      </c>
      <c r="V1205" t="b">
        <f t="shared" si="36"/>
        <v>1</v>
      </c>
      <c r="W1205">
        <v>0</v>
      </c>
      <c r="Y1205">
        <f t="shared" si="37"/>
        <v>0</v>
      </c>
    </row>
    <row r="1206" spans="1:25" x14ac:dyDescent="0.3">
      <c r="A1206" t="s">
        <v>2911</v>
      </c>
      <c r="B1206" t="s">
        <v>56</v>
      </c>
      <c r="C1206">
        <v>359.42</v>
      </c>
      <c r="D1206" s="1">
        <v>45075.678900462961</v>
      </c>
      <c r="E1206" t="s">
        <v>25</v>
      </c>
      <c r="F1206" t="s">
        <v>210</v>
      </c>
      <c r="G1206" t="s">
        <v>1151</v>
      </c>
      <c r="H1206" t="s">
        <v>2912</v>
      </c>
      <c r="I1206" t="s">
        <v>561</v>
      </c>
      <c r="J1206" t="s">
        <v>81</v>
      </c>
      <c r="K1206">
        <v>55</v>
      </c>
      <c r="L1206" t="s">
        <v>31</v>
      </c>
      <c r="M1206">
        <v>30</v>
      </c>
      <c r="N1206">
        <v>1</v>
      </c>
      <c r="O1206">
        <v>1765.45</v>
      </c>
      <c r="P1206" s="1">
        <v>45600.33798611111</v>
      </c>
      <c r="Q1206">
        <v>16</v>
      </c>
      <c r="R1206" t="s">
        <v>47</v>
      </c>
      <c r="S1206">
        <v>0.21177262436211999</v>
      </c>
      <c r="T1206" t="b">
        <v>0</v>
      </c>
      <c r="U1206" t="b">
        <v>0</v>
      </c>
      <c r="V1206" t="b">
        <f t="shared" si="36"/>
        <v>1</v>
      </c>
      <c r="W1206">
        <v>0</v>
      </c>
      <c r="Y1206">
        <f t="shared" si="37"/>
        <v>0</v>
      </c>
    </row>
    <row r="1207" spans="1:25" x14ac:dyDescent="0.3">
      <c r="A1207" t="s">
        <v>2913</v>
      </c>
      <c r="B1207" t="s">
        <v>714</v>
      </c>
      <c r="C1207">
        <v>32.909999999999997</v>
      </c>
      <c r="D1207" s="1">
        <v>45050.692372685182</v>
      </c>
      <c r="E1207" t="s">
        <v>25</v>
      </c>
      <c r="F1207" t="s">
        <v>170</v>
      </c>
      <c r="G1207" t="s">
        <v>2291</v>
      </c>
      <c r="H1207" t="s">
        <v>1696</v>
      </c>
      <c r="I1207" t="s">
        <v>321</v>
      </c>
      <c r="J1207" t="s">
        <v>45</v>
      </c>
      <c r="K1207">
        <v>19</v>
      </c>
      <c r="L1207" t="s">
        <v>46</v>
      </c>
      <c r="M1207">
        <v>255</v>
      </c>
      <c r="N1207">
        <v>1</v>
      </c>
      <c r="O1207">
        <v>427.3</v>
      </c>
      <c r="P1207" s="1">
        <v>45600.338009259256</v>
      </c>
      <c r="Q1207">
        <v>16</v>
      </c>
      <c r="R1207" t="s">
        <v>141</v>
      </c>
      <c r="S1207">
        <v>-0.90661820066487597</v>
      </c>
      <c r="T1207" t="b">
        <v>0</v>
      </c>
      <c r="U1207" t="b">
        <v>0</v>
      </c>
      <c r="V1207" t="b">
        <f t="shared" si="36"/>
        <v>1</v>
      </c>
      <c r="W1207">
        <v>0</v>
      </c>
      <c r="Y1207">
        <f t="shared" si="37"/>
        <v>0</v>
      </c>
    </row>
    <row r="1208" spans="1:25" x14ac:dyDescent="0.3">
      <c r="A1208" t="s">
        <v>2914</v>
      </c>
      <c r="B1208" t="s">
        <v>1525</v>
      </c>
      <c r="C1208">
        <v>3.8</v>
      </c>
      <c r="D1208" s="1">
        <v>45146.699629629627</v>
      </c>
      <c r="E1208" t="s">
        <v>25</v>
      </c>
      <c r="F1208" t="s">
        <v>126</v>
      </c>
      <c r="G1208" t="s">
        <v>2915</v>
      </c>
      <c r="H1208" t="s">
        <v>1942</v>
      </c>
      <c r="I1208" t="s">
        <v>239</v>
      </c>
      <c r="J1208" t="s">
        <v>81</v>
      </c>
      <c r="K1208">
        <v>67</v>
      </c>
      <c r="L1208" t="s">
        <v>82</v>
      </c>
      <c r="M1208">
        <v>140</v>
      </c>
      <c r="N1208">
        <v>1</v>
      </c>
      <c r="O1208">
        <v>6285.39</v>
      </c>
      <c r="P1208" s="1">
        <v>45600.339247685188</v>
      </c>
      <c r="Q1208">
        <v>16</v>
      </c>
      <c r="R1208" t="s">
        <v>32</v>
      </c>
      <c r="S1208">
        <v>-1.0063283379241801</v>
      </c>
      <c r="T1208" t="b">
        <v>0</v>
      </c>
      <c r="U1208" t="b">
        <v>0</v>
      </c>
      <c r="V1208" t="b">
        <f t="shared" si="36"/>
        <v>1</v>
      </c>
      <c r="W1208">
        <v>0</v>
      </c>
      <c r="Y1208">
        <f t="shared" si="37"/>
        <v>0</v>
      </c>
    </row>
    <row r="1209" spans="1:25" x14ac:dyDescent="0.3">
      <c r="A1209" t="s">
        <v>2916</v>
      </c>
      <c r="B1209" t="s">
        <v>228</v>
      </c>
      <c r="C1209">
        <v>31.81</v>
      </c>
      <c r="D1209" s="1">
        <v>45022.73741898148</v>
      </c>
      <c r="E1209" t="s">
        <v>25</v>
      </c>
      <c r="F1209" t="s">
        <v>170</v>
      </c>
      <c r="G1209" t="s">
        <v>1121</v>
      </c>
      <c r="H1209" t="s">
        <v>1383</v>
      </c>
      <c r="I1209" t="s">
        <v>463</v>
      </c>
      <c r="J1209" t="s">
        <v>45</v>
      </c>
      <c r="K1209">
        <v>51</v>
      </c>
      <c r="L1209" t="s">
        <v>82</v>
      </c>
      <c r="M1209">
        <v>149</v>
      </c>
      <c r="N1209">
        <v>1</v>
      </c>
      <c r="O1209">
        <v>1406.6</v>
      </c>
      <c r="P1209" s="1">
        <v>45600.338055555556</v>
      </c>
      <c r="Q1209">
        <v>17</v>
      </c>
      <c r="R1209" t="s">
        <v>141</v>
      </c>
      <c r="S1209">
        <v>-0.91038601760013005</v>
      </c>
      <c r="T1209" t="b">
        <v>0</v>
      </c>
      <c r="U1209" t="b">
        <v>0</v>
      </c>
      <c r="V1209" t="b">
        <f t="shared" si="36"/>
        <v>1</v>
      </c>
      <c r="W1209">
        <v>0</v>
      </c>
      <c r="Y1209">
        <f t="shared" si="37"/>
        <v>0</v>
      </c>
    </row>
    <row r="1210" spans="1:25" x14ac:dyDescent="0.3">
      <c r="A1210" t="s">
        <v>2917</v>
      </c>
      <c r="B1210" t="s">
        <v>228</v>
      </c>
      <c r="C1210">
        <v>220.2</v>
      </c>
      <c r="D1210" s="1">
        <v>45180.684074074074</v>
      </c>
      <c r="E1210" t="s">
        <v>25</v>
      </c>
      <c r="F1210" t="s">
        <v>401</v>
      </c>
      <c r="G1210" t="s">
        <v>2139</v>
      </c>
      <c r="H1210" t="s">
        <v>1755</v>
      </c>
      <c r="I1210" t="s">
        <v>491</v>
      </c>
      <c r="J1210" t="s">
        <v>45</v>
      </c>
      <c r="K1210">
        <v>28</v>
      </c>
      <c r="L1210" t="s">
        <v>46</v>
      </c>
      <c r="M1210">
        <v>102</v>
      </c>
      <c r="N1210">
        <v>1</v>
      </c>
      <c r="O1210">
        <v>1075.1500000000001</v>
      </c>
      <c r="P1210" s="1">
        <v>45600.341180555559</v>
      </c>
      <c r="Q1210">
        <v>16</v>
      </c>
      <c r="R1210" t="s">
        <v>47</v>
      </c>
      <c r="S1210">
        <v>-0.26509598811608398</v>
      </c>
      <c r="T1210" t="b">
        <v>0</v>
      </c>
      <c r="U1210" t="b">
        <v>0</v>
      </c>
      <c r="V1210" t="b">
        <f t="shared" si="36"/>
        <v>1</v>
      </c>
      <c r="W1210">
        <v>0</v>
      </c>
      <c r="Y1210">
        <f t="shared" si="37"/>
        <v>0</v>
      </c>
    </row>
    <row r="1211" spans="1:25" x14ac:dyDescent="0.3">
      <c r="A1211" t="s">
        <v>2918</v>
      </c>
      <c r="B1211" t="s">
        <v>1778</v>
      </c>
      <c r="C1211">
        <v>476.03</v>
      </c>
      <c r="D1211" s="1">
        <v>45170.675405092596</v>
      </c>
      <c r="E1211" t="s">
        <v>57</v>
      </c>
      <c r="F1211" t="s">
        <v>35</v>
      </c>
      <c r="G1211" t="s">
        <v>1095</v>
      </c>
      <c r="H1211" t="s">
        <v>430</v>
      </c>
      <c r="I1211" t="s">
        <v>375</v>
      </c>
      <c r="J1211" t="s">
        <v>81</v>
      </c>
      <c r="K1211">
        <v>77</v>
      </c>
      <c r="L1211" t="s">
        <v>82</v>
      </c>
      <c r="M1211">
        <v>99</v>
      </c>
      <c r="N1211">
        <v>1</v>
      </c>
      <c r="O1211">
        <v>5958.34</v>
      </c>
      <c r="P1211" s="1">
        <v>45600.339675925927</v>
      </c>
      <c r="Q1211">
        <v>16</v>
      </c>
      <c r="R1211" t="s">
        <v>54</v>
      </c>
      <c r="S1211">
        <v>0.61119547238024496</v>
      </c>
      <c r="T1211" t="b">
        <v>0</v>
      </c>
      <c r="U1211" t="b">
        <v>0</v>
      </c>
      <c r="V1211" t="b">
        <f t="shared" si="36"/>
        <v>1</v>
      </c>
      <c r="W1211">
        <v>0</v>
      </c>
      <c r="Y1211">
        <f t="shared" si="37"/>
        <v>0</v>
      </c>
    </row>
    <row r="1212" spans="1:25" x14ac:dyDescent="0.3">
      <c r="A1212" t="s">
        <v>2919</v>
      </c>
      <c r="B1212" t="s">
        <v>2920</v>
      </c>
      <c r="C1212">
        <v>141.91</v>
      </c>
      <c r="D1212" s="1">
        <v>44945.713935185187</v>
      </c>
      <c r="E1212" t="s">
        <v>25</v>
      </c>
      <c r="F1212" t="s">
        <v>185</v>
      </c>
      <c r="G1212" t="s">
        <v>2412</v>
      </c>
      <c r="H1212" t="s">
        <v>198</v>
      </c>
      <c r="I1212" t="s">
        <v>280</v>
      </c>
      <c r="J1212" t="s">
        <v>81</v>
      </c>
      <c r="K1212">
        <v>23</v>
      </c>
      <c r="L1212" t="s">
        <v>46</v>
      </c>
      <c r="M1212">
        <v>49</v>
      </c>
      <c r="N1212">
        <v>1</v>
      </c>
      <c r="O1212">
        <v>791.97</v>
      </c>
      <c r="P1212" s="1">
        <v>45600.340069444443</v>
      </c>
      <c r="Q1212">
        <v>17</v>
      </c>
      <c r="R1212" t="s">
        <v>141</v>
      </c>
      <c r="S1212">
        <v>-0.53326179526246098</v>
      </c>
      <c r="T1212" t="b">
        <v>0</v>
      </c>
      <c r="U1212" t="b">
        <v>0</v>
      </c>
      <c r="V1212" t="b">
        <f t="shared" si="36"/>
        <v>1</v>
      </c>
      <c r="W1212">
        <v>0</v>
      </c>
      <c r="Y1212">
        <f t="shared" si="37"/>
        <v>0</v>
      </c>
    </row>
    <row r="1213" spans="1:25" x14ac:dyDescent="0.3">
      <c r="A1213" t="s">
        <v>2921</v>
      </c>
      <c r="B1213" t="s">
        <v>2556</v>
      </c>
      <c r="C1213">
        <v>95.83</v>
      </c>
      <c r="D1213" s="1">
        <v>45261.667662037034</v>
      </c>
      <c r="E1213" t="s">
        <v>25</v>
      </c>
      <c r="F1213" t="s">
        <v>466</v>
      </c>
      <c r="G1213" t="s">
        <v>347</v>
      </c>
      <c r="H1213" t="s">
        <v>218</v>
      </c>
      <c r="I1213" t="s">
        <v>285</v>
      </c>
      <c r="J1213" t="s">
        <v>45</v>
      </c>
      <c r="K1213">
        <v>27</v>
      </c>
      <c r="L1213" t="s">
        <v>46</v>
      </c>
      <c r="M1213">
        <v>91</v>
      </c>
      <c r="N1213">
        <v>1</v>
      </c>
      <c r="O1213">
        <v>1726.4</v>
      </c>
      <c r="P1213" s="1">
        <v>45600.339155092595</v>
      </c>
      <c r="Q1213">
        <v>16</v>
      </c>
      <c r="R1213" t="s">
        <v>54</v>
      </c>
      <c r="S1213">
        <v>-0.69109907196836295</v>
      </c>
      <c r="T1213" t="b">
        <v>0</v>
      </c>
      <c r="U1213" t="b">
        <v>0</v>
      </c>
      <c r="V1213" t="b">
        <f t="shared" si="36"/>
        <v>1</v>
      </c>
      <c r="W1213">
        <v>0</v>
      </c>
      <c r="Y1213">
        <f t="shared" si="37"/>
        <v>0</v>
      </c>
    </row>
    <row r="1214" spans="1:25" x14ac:dyDescent="0.3">
      <c r="A1214" t="s">
        <v>2922</v>
      </c>
      <c r="B1214" t="s">
        <v>936</v>
      </c>
      <c r="C1214">
        <v>51.15</v>
      </c>
      <c r="D1214" s="1">
        <v>44986.726956018516</v>
      </c>
      <c r="E1214" t="s">
        <v>57</v>
      </c>
      <c r="F1214" t="s">
        <v>153</v>
      </c>
      <c r="G1214" t="s">
        <v>859</v>
      </c>
      <c r="H1214" t="s">
        <v>1803</v>
      </c>
      <c r="I1214" t="s">
        <v>73</v>
      </c>
      <c r="J1214" t="s">
        <v>81</v>
      </c>
      <c r="K1214">
        <v>46</v>
      </c>
      <c r="L1214" t="s">
        <v>89</v>
      </c>
      <c r="M1214">
        <v>199</v>
      </c>
      <c r="N1214">
        <v>1</v>
      </c>
      <c r="O1214">
        <v>8992.25</v>
      </c>
      <c r="P1214" s="1">
        <v>45600.340902777774</v>
      </c>
      <c r="Q1214">
        <v>17</v>
      </c>
      <c r="R1214" t="s">
        <v>74</v>
      </c>
      <c r="S1214">
        <v>-0.84414094530212302</v>
      </c>
      <c r="T1214" t="b">
        <v>0</v>
      </c>
      <c r="U1214" t="b">
        <v>0</v>
      </c>
      <c r="V1214" t="b">
        <f t="shared" si="36"/>
        <v>1</v>
      </c>
      <c r="W1214">
        <v>0</v>
      </c>
      <c r="Y1214">
        <f t="shared" si="37"/>
        <v>0</v>
      </c>
    </row>
    <row r="1215" spans="1:25" x14ac:dyDescent="0.3">
      <c r="A1215" t="s">
        <v>2923</v>
      </c>
      <c r="B1215" t="s">
        <v>529</v>
      </c>
      <c r="C1215">
        <v>1192.2</v>
      </c>
      <c r="D1215" s="1">
        <v>45281.681562500002</v>
      </c>
      <c r="E1215" t="s">
        <v>57</v>
      </c>
      <c r="F1215" t="s">
        <v>405</v>
      </c>
      <c r="G1215" t="s">
        <v>2924</v>
      </c>
      <c r="H1215" t="s">
        <v>1745</v>
      </c>
      <c r="I1215" t="s">
        <v>495</v>
      </c>
      <c r="J1215" t="s">
        <v>81</v>
      </c>
      <c r="K1215">
        <v>60</v>
      </c>
      <c r="L1215" t="s">
        <v>82</v>
      </c>
      <c r="M1215">
        <v>103</v>
      </c>
      <c r="N1215">
        <v>5</v>
      </c>
      <c r="O1215">
        <v>7816.41</v>
      </c>
      <c r="P1215" s="1">
        <v>45600.339745370373</v>
      </c>
      <c r="Q1215">
        <v>16</v>
      </c>
      <c r="R1215" t="s">
        <v>141</v>
      </c>
      <c r="S1215">
        <v>3.0642840673990301</v>
      </c>
      <c r="T1215" t="b">
        <v>1</v>
      </c>
      <c r="U1215" t="b">
        <v>1</v>
      </c>
      <c r="V1215" t="b">
        <f t="shared" si="36"/>
        <v>1</v>
      </c>
      <c r="W1215">
        <v>2</v>
      </c>
      <c r="Y1215">
        <f t="shared" si="37"/>
        <v>1</v>
      </c>
    </row>
    <row r="1216" spans="1:25" x14ac:dyDescent="0.3">
      <c r="A1216" t="s">
        <v>2925</v>
      </c>
      <c r="B1216" t="s">
        <v>1091</v>
      </c>
      <c r="C1216">
        <v>50.75</v>
      </c>
      <c r="D1216" s="1">
        <v>45152.759988425925</v>
      </c>
      <c r="E1216" t="s">
        <v>25</v>
      </c>
      <c r="F1216" t="s">
        <v>401</v>
      </c>
      <c r="G1216" t="s">
        <v>324</v>
      </c>
      <c r="H1216" t="s">
        <v>1881</v>
      </c>
      <c r="I1216" t="s">
        <v>775</v>
      </c>
      <c r="J1216" t="s">
        <v>30</v>
      </c>
      <c r="K1216">
        <v>62</v>
      </c>
      <c r="L1216" t="s">
        <v>31</v>
      </c>
      <c r="M1216">
        <v>185</v>
      </c>
      <c r="N1216">
        <v>1</v>
      </c>
      <c r="O1216">
        <v>8271.4699999999993</v>
      </c>
      <c r="P1216" s="1">
        <v>45600.33866898148</v>
      </c>
      <c r="Q1216">
        <v>18</v>
      </c>
      <c r="R1216" t="s">
        <v>47</v>
      </c>
      <c r="S1216">
        <v>-0.84551106055130598</v>
      </c>
      <c r="T1216" t="b">
        <v>0</v>
      </c>
      <c r="U1216" t="b">
        <v>0</v>
      </c>
      <c r="V1216" t="b">
        <f t="shared" si="36"/>
        <v>1</v>
      </c>
      <c r="W1216">
        <v>0</v>
      </c>
      <c r="Y1216">
        <f t="shared" si="37"/>
        <v>0</v>
      </c>
    </row>
    <row r="1217" spans="1:25" x14ac:dyDescent="0.3">
      <c r="A1217" t="s">
        <v>2926</v>
      </c>
      <c r="B1217" t="s">
        <v>2927</v>
      </c>
      <c r="C1217">
        <v>185.07</v>
      </c>
      <c r="D1217" s="1">
        <v>45279.706712962965</v>
      </c>
      <c r="E1217" t="s">
        <v>25</v>
      </c>
      <c r="F1217" t="s">
        <v>534</v>
      </c>
      <c r="G1217" t="s">
        <v>477</v>
      </c>
      <c r="H1217" t="s">
        <v>1424</v>
      </c>
      <c r="I1217" t="s">
        <v>632</v>
      </c>
      <c r="J1217" t="s">
        <v>81</v>
      </c>
      <c r="K1217">
        <v>22</v>
      </c>
      <c r="L1217" t="s">
        <v>46</v>
      </c>
      <c r="M1217">
        <v>159</v>
      </c>
      <c r="N1217">
        <v>1</v>
      </c>
      <c r="O1217">
        <v>636.41999999999996</v>
      </c>
      <c r="P1217" s="1">
        <v>45600.338645833333</v>
      </c>
      <c r="Q1217">
        <v>16</v>
      </c>
      <c r="R1217" t="s">
        <v>32</v>
      </c>
      <c r="S1217">
        <v>-0.38542635987559598</v>
      </c>
      <c r="T1217" t="b">
        <v>0</v>
      </c>
      <c r="U1217" t="b">
        <v>0</v>
      </c>
      <c r="V1217" t="b">
        <f t="shared" si="36"/>
        <v>1</v>
      </c>
      <c r="W1217">
        <v>0</v>
      </c>
      <c r="Y1217">
        <f t="shared" si="37"/>
        <v>0</v>
      </c>
    </row>
    <row r="1218" spans="1:25" x14ac:dyDescent="0.3">
      <c r="A1218" t="s">
        <v>2928</v>
      </c>
      <c r="B1218" t="s">
        <v>1691</v>
      </c>
      <c r="C1218">
        <v>293.54000000000002</v>
      </c>
      <c r="D1218" s="1">
        <v>44942.726527777777</v>
      </c>
      <c r="E1218" t="s">
        <v>25</v>
      </c>
      <c r="F1218" t="s">
        <v>298</v>
      </c>
      <c r="G1218" t="s">
        <v>2929</v>
      </c>
      <c r="H1218" t="s">
        <v>2038</v>
      </c>
      <c r="I1218" t="s">
        <v>620</v>
      </c>
      <c r="J1218" t="s">
        <v>45</v>
      </c>
      <c r="K1218">
        <v>40</v>
      </c>
      <c r="L1218" t="s">
        <v>89</v>
      </c>
      <c r="M1218">
        <v>45</v>
      </c>
      <c r="N1218">
        <v>1</v>
      </c>
      <c r="O1218">
        <v>2290.1</v>
      </c>
      <c r="P1218" s="1">
        <v>45600.339166666665</v>
      </c>
      <c r="Q1218">
        <v>17</v>
      </c>
      <c r="R1218" t="s">
        <v>47</v>
      </c>
      <c r="S1218">
        <v>-1.3885357178348601E-2</v>
      </c>
      <c r="T1218" t="b">
        <v>0</v>
      </c>
      <c r="U1218" t="b">
        <v>0</v>
      </c>
      <c r="V1218" t="b">
        <f t="shared" si="36"/>
        <v>1</v>
      </c>
      <c r="W1218">
        <v>0</v>
      </c>
      <c r="Y1218">
        <f t="shared" si="37"/>
        <v>0</v>
      </c>
    </row>
    <row r="1219" spans="1:25" x14ac:dyDescent="0.3">
      <c r="A1219" t="s">
        <v>2930</v>
      </c>
      <c r="B1219" t="s">
        <v>1170</v>
      </c>
      <c r="C1219">
        <v>23.38</v>
      </c>
      <c r="D1219" s="1">
        <v>45194.782418981478</v>
      </c>
      <c r="E1219" t="s">
        <v>25</v>
      </c>
      <c r="F1219" t="s">
        <v>104</v>
      </c>
      <c r="G1219" t="s">
        <v>2931</v>
      </c>
      <c r="H1219" t="s">
        <v>2206</v>
      </c>
      <c r="I1219" t="s">
        <v>632</v>
      </c>
      <c r="J1219" t="s">
        <v>81</v>
      </c>
      <c r="K1219">
        <v>32</v>
      </c>
      <c r="L1219" t="s">
        <v>89</v>
      </c>
      <c r="M1219">
        <v>89</v>
      </c>
      <c r="N1219">
        <v>1</v>
      </c>
      <c r="O1219">
        <v>9968.49</v>
      </c>
      <c r="P1219" s="1">
        <v>45600.340057870373</v>
      </c>
      <c r="Q1219">
        <v>18</v>
      </c>
      <c r="R1219" t="s">
        <v>47</v>
      </c>
      <c r="S1219">
        <v>-0.93926119647666495</v>
      </c>
      <c r="T1219" t="b">
        <v>0</v>
      </c>
      <c r="U1219" t="b">
        <v>0</v>
      </c>
      <c r="V1219" t="b">
        <f t="shared" ref="V1219:V1282" si="38">ISLOGICAL(T1219)</f>
        <v>1</v>
      </c>
      <c r="W1219">
        <v>0</v>
      </c>
      <c r="Y1219">
        <f t="shared" ref="Y1219:Y1282" si="39">--T1219</f>
        <v>0</v>
      </c>
    </row>
    <row r="1220" spans="1:25" x14ac:dyDescent="0.3">
      <c r="A1220" t="s">
        <v>2932</v>
      </c>
      <c r="B1220" t="s">
        <v>1630</v>
      </c>
      <c r="C1220">
        <v>285.26</v>
      </c>
      <c r="D1220" s="1">
        <v>45231.672974537039</v>
      </c>
      <c r="E1220" t="s">
        <v>25</v>
      </c>
      <c r="F1220" t="s">
        <v>58</v>
      </c>
      <c r="G1220" t="s">
        <v>1499</v>
      </c>
      <c r="H1220" t="s">
        <v>1372</v>
      </c>
      <c r="I1220" t="s">
        <v>632</v>
      </c>
      <c r="J1220" t="s">
        <v>30</v>
      </c>
      <c r="K1220">
        <v>28</v>
      </c>
      <c r="L1220" t="s">
        <v>46</v>
      </c>
      <c r="M1220">
        <v>93</v>
      </c>
      <c r="N1220">
        <v>1</v>
      </c>
      <c r="O1220">
        <v>167.72</v>
      </c>
      <c r="P1220" s="1">
        <v>45600.341145833336</v>
      </c>
      <c r="Q1220">
        <v>16</v>
      </c>
      <c r="R1220" t="s">
        <v>74</v>
      </c>
      <c r="S1220">
        <v>-4.2246742836440497E-2</v>
      </c>
      <c r="T1220" t="b">
        <v>0</v>
      </c>
      <c r="U1220" t="b">
        <v>0</v>
      </c>
      <c r="V1220" t="b">
        <f t="shared" si="38"/>
        <v>1</v>
      </c>
      <c r="W1220">
        <v>0</v>
      </c>
      <c r="Y1220">
        <f t="shared" si="39"/>
        <v>0</v>
      </c>
    </row>
    <row r="1221" spans="1:25" x14ac:dyDescent="0.3">
      <c r="A1221" t="s">
        <v>2933</v>
      </c>
      <c r="B1221" t="s">
        <v>1324</v>
      </c>
      <c r="C1221">
        <v>129.47999999999999</v>
      </c>
      <c r="D1221" s="1">
        <v>44963.687997685185</v>
      </c>
      <c r="E1221" t="s">
        <v>25</v>
      </c>
      <c r="F1221" t="s">
        <v>70</v>
      </c>
      <c r="G1221" t="s">
        <v>956</v>
      </c>
      <c r="H1221" t="s">
        <v>2267</v>
      </c>
      <c r="I1221" t="s">
        <v>366</v>
      </c>
      <c r="J1221" t="s">
        <v>30</v>
      </c>
      <c r="K1221">
        <v>31</v>
      </c>
      <c r="L1221" t="s">
        <v>89</v>
      </c>
      <c r="M1221">
        <v>179</v>
      </c>
      <c r="N1221">
        <v>1</v>
      </c>
      <c r="O1221">
        <v>7581.7</v>
      </c>
      <c r="P1221" s="1">
        <v>45600.340775462966</v>
      </c>
      <c r="Q1221">
        <v>16</v>
      </c>
      <c r="R1221" t="s">
        <v>47</v>
      </c>
      <c r="S1221">
        <v>-0.57583812663082801</v>
      </c>
      <c r="T1221" t="b">
        <v>0</v>
      </c>
      <c r="U1221" t="b">
        <v>0</v>
      </c>
      <c r="V1221" t="b">
        <f t="shared" si="38"/>
        <v>1</v>
      </c>
      <c r="W1221">
        <v>0</v>
      </c>
      <c r="Y1221">
        <f t="shared" si="39"/>
        <v>0</v>
      </c>
    </row>
    <row r="1222" spans="1:25" x14ac:dyDescent="0.3">
      <c r="A1222" t="s">
        <v>2934</v>
      </c>
      <c r="B1222" t="s">
        <v>209</v>
      </c>
      <c r="C1222">
        <v>743.03</v>
      </c>
      <c r="D1222" s="1">
        <v>45134.705312500002</v>
      </c>
      <c r="E1222" t="s">
        <v>25</v>
      </c>
      <c r="F1222" t="s">
        <v>216</v>
      </c>
      <c r="G1222" t="s">
        <v>283</v>
      </c>
      <c r="H1222" t="s">
        <v>1889</v>
      </c>
      <c r="I1222" t="s">
        <v>1358</v>
      </c>
      <c r="J1222" t="s">
        <v>30</v>
      </c>
      <c r="K1222">
        <v>50</v>
      </c>
      <c r="L1222" t="s">
        <v>89</v>
      </c>
      <c r="M1222">
        <v>174</v>
      </c>
      <c r="N1222">
        <v>1</v>
      </c>
      <c r="O1222">
        <v>4111.38</v>
      </c>
      <c r="P1222" s="1">
        <v>45600.339803240742</v>
      </c>
      <c r="Q1222">
        <v>16</v>
      </c>
      <c r="R1222" t="s">
        <v>141</v>
      </c>
      <c r="S1222">
        <v>1.5257474012100101</v>
      </c>
      <c r="T1222" t="b">
        <v>0</v>
      </c>
      <c r="U1222" t="b">
        <v>0</v>
      </c>
      <c r="V1222" t="b">
        <f t="shared" si="38"/>
        <v>1</v>
      </c>
      <c r="W1222">
        <v>0</v>
      </c>
      <c r="Y1222">
        <f t="shared" si="39"/>
        <v>0</v>
      </c>
    </row>
    <row r="1223" spans="1:25" x14ac:dyDescent="0.3">
      <c r="A1223" t="s">
        <v>2935</v>
      </c>
      <c r="B1223" t="s">
        <v>1196</v>
      </c>
      <c r="C1223">
        <v>297.86</v>
      </c>
      <c r="D1223" s="1">
        <v>44963.73060185185</v>
      </c>
      <c r="E1223" t="s">
        <v>57</v>
      </c>
      <c r="F1223" t="s">
        <v>191</v>
      </c>
      <c r="G1223" t="s">
        <v>1003</v>
      </c>
      <c r="H1223" t="s">
        <v>976</v>
      </c>
      <c r="I1223" t="s">
        <v>285</v>
      </c>
      <c r="J1223" t="s">
        <v>30</v>
      </c>
      <c r="K1223">
        <v>28</v>
      </c>
      <c r="L1223" t="s">
        <v>46</v>
      </c>
      <c r="M1223">
        <v>96</v>
      </c>
      <c r="N1223">
        <v>1</v>
      </c>
      <c r="O1223">
        <v>1680.14</v>
      </c>
      <c r="P1223" s="1">
        <v>45600.341435185182</v>
      </c>
      <c r="Q1223">
        <v>17</v>
      </c>
      <c r="R1223" t="s">
        <v>47</v>
      </c>
      <c r="S1223">
        <v>9.1188751282957504E-4</v>
      </c>
      <c r="T1223" t="b">
        <v>0</v>
      </c>
      <c r="U1223" t="b">
        <v>0</v>
      </c>
      <c r="V1223" t="b">
        <f t="shared" si="38"/>
        <v>1</v>
      </c>
      <c r="W1223">
        <v>0</v>
      </c>
      <c r="Y1223">
        <f t="shared" si="39"/>
        <v>0</v>
      </c>
    </row>
    <row r="1224" spans="1:25" x14ac:dyDescent="0.3">
      <c r="A1224" t="s">
        <v>2936</v>
      </c>
      <c r="B1224" t="s">
        <v>729</v>
      </c>
      <c r="C1224">
        <v>231.92</v>
      </c>
      <c r="D1224" s="1">
        <v>45117.750648148147</v>
      </c>
      <c r="E1224" t="s">
        <v>25</v>
      </c>
      <c r="F1224" t="s">
        <v>77</v>
      </c>
      <c r="G1224" t="s">
        <v>1282</v>
      </c>
      <c r="H1224" t="s">
        <v>1304</v>
      </c>
      <c r="I1224" t="s">
        <v>487</v>
      </c>
      <c r="J1224" t="s">
        <v>30</v>
      </c>
      <c r="K1224">
        <v>66</v>
      </c>
      <c r="L1224" t="s">
        <v>31</v>
      </c>
      <c r="M1224">
        <v>12</v>
      </c>
      <c r="N1224">
        <v>1</v>
      </c>
      <c r="O1224">
        <v>5715.08</v>
      </c>
      <c r="P1224" s="1">
        <v>45600.341284722221</v>
      </c>
      <c r="Q1224">
        <v>18</v>
      </c>
      <c r="R1224" t="s">
        <v>47</v>
      </c>
      <c r="S1224">
        <v>-0.22495161131501701</v>
      </c>
      <c r="T1224" t="b">
        <v>0</v>
      </c>
      <c r="U1224" t="b">
        <v>0</v>
      </c>
      <c r="V1224" t="b">
        <f t="shared" si="38"/>
        <v>1</v>
      </c>
      <c r="W1224">
        <v>0</v>
      </c>
      <c r="Y1224">
        <f t="shared" si="39"/>
        <v>0</v>
      </c>
    </row>
    <row r="1225" spans="1:25" x14ac:dyDescent="0.3">
      <c r="A1225" t="s">
        <v>2937</v>
      </c>
      <c r="B1225" t="s">
        <v>1150</v>
      </c>
      <c r="C1225">
        <v>295.82</v>
      </c>
      <c r="D1225" s="1">
        <v>45274.677407407406</v>
      </c>
      <c r="E1225" t="s">
        <v>57</v>
      </c>
      <c r="F1225" t="s">
        <v>278</v>
      </c>
      <c r="G1225" t="s">
        <v>1954</v>
      </c>
      <c r="H1225" t="s">
        <v>2938</v>
      </c>
      <c r="I1225" t="s">
        <v>589</v>
      </c>
      <c r="J1225" t="s">
        <v>81</v>
      </c>
      <c r="K1225">
        <v>47</v>
      </c>
      <c r="L1225" t="s">
        <v>89</v>
      </c>
      <c r="M1225">
        <v>46</v>
      </c>
      <c r="N1225">
        <v>1</v>
      </c>
      <c r="O1225">
        <v>5897.73</v>
      </c>
      <c r="P1225" s="1">
        <v>45600.338738425926</v>
      </c>
      <c r="Q1225">
        <v>16</v>
      </c>
      <c r="R1225" t="s">
        <v>141</v>
      </c>
      <c r="S1225">
        <v>-6.0757002580046904E-3</v>
      </c>
      <c r="T1225" t="b">
        <v>0</v>
      </c>
      <c r="U1225" t="b">
        <v>0</v>
      </c>
      <c r="V1225" t="b">
        <f t="shared" si="38"/>
        <v>1</v>
      </c>
      <c r="W1225">
        <v>0</v>
      </c>
      <c r="Y1225">
        <f t="shared" si="39"/>
        <v>0</v>
      </c>
    </row>
    <row r="1226" spans="1:25" x14ac:dyDescent="0.3">
      <c r="A1226" t="s">
        <v>2939</v>
      </c>
      <c r="B1226" t="s">
        <v>711</v>
      </c>
      <c r="C1226">
        <v>302.86</v>
      </c>
      <c r="D1226" s="1">
        <v>45110.788923611108</v>
      </c>
      <c r="E1226" t="s">
        <v>25</v>
      </c>
      <c r="F1226" t="s">
        <v>153</v>
      </c>
      <c r="G1226" t="s">
        <v>1378</v>
      </c>
      <c r="H1226" t="s">
        <v>1792</v>
      </c>
      <c r="I1226" t="s">
        <v>440</v>
      </c>
      <c r="J1226" t="s">
        <v>45</v>
      </c>
      <c r="K1226">
        <v>55</v>
      </c>
      <c r="L1226" t="s">
        <v>31</v>
      </c>
      <c r="M1226">
        <v>275</v>
      </c>
      <c r="N1226">
        <v>1</v>
      </c>
      <c r="O1226">
        <v>5239.24</v>
      </c>
      <c r="P1226" s="1">
        <v>45600.341736111113</v>
      </c>
      <c r="Q1226">
        <v>18</v>
      </c>
      <c r="R1226" t="s">
        <v>47</v>
      </c>
      <c r="S1226">
        <v>1.8038328127619199E-2</v>
      </c>
      <c r="T1226" t="b">
        <v>0</v>
      </c>
      <c r="U1226" t="b">
        <v>0</v>
      </c>
      <c r="V1226" t="b">
        <f t="shared" si="38"/>
        <v>1</v>
      </c>
      <c r="W1226">
        <v>0</v>
      </c>
      <c r="Y1226">
        <f t="shared" si="39"/>
        <v>0</v>
      </c>
    </row>
    <row r="1227" spans="1:25" x14ac:dyDescent="0.3">
      <c r="A1227" t="s">
        <v>2940</v>
      </c>
      <c r="B1227" t="s">
        <v>1809</v>
      </c>
      <c r="C1227">
        <v>81.08</v>
      </c>
      <c r="D1227" s="1">
        <v>45188.705960648149</v>
      </c>
      <c r="E1227" t="s">
        <v>25</v>
      </c>
      <c r="F1227" t="s">
        <v>309</v>
      </c>
      <c r="G1227" t="s">
        <v>1990</v>
      </c>
      <c r="H1227" t="s">
        <v>2698</v>
      </c>
      <c r="I1227" t="s">
        <v>561</v>
      </c>
      <c r="J1227" t="s">
        <v>30</v>
      </c>
      <c r="K1227">
        <v>58</v>
      </c>
      <c r="L1227" t="s">
        <v>89</v>
      </c>
      <c r="M1227">
        <v>56</v>
      </c>
      <c r="N1227">
        <v>1</v>
      </c>
      <c r="O1227">
        <v>7788.91</v>
      </c>
      <c r="P1227" s="1">
        <v>45600.338391203702</v>
      </c>
      <c r="Q1227">
        <v>16</v>
      </c>
      <c r="R1227" t="s">
        <v>32</v>
      </c>
      <c r="S1227">
        <v>-0.74162207178199202</v>
      </c>
      <c r="T1227" t="b">
        <v>0</v>
      </c>
      <c r="U1227" t="b">
        <v>0</v>
      </c>
      <c r="V1227" t="b">
        <f t="shared" si="38"/>
        <v>1</v>
      </c>
      <c r="W1227">
        <v>0</v>
      </c>
      <c r="Y1227">
        <f t="shared" si="39"/>
        <v>0</v>
      </c>
    </row>
    <row r="1228" spans="1:25" x14ac:dyDescent="0.3">
      <c r="A1228" t="s">
        <v>2941</v>
      </c>
      <c r="B1228" t="s">
        <v>1812</v>
      </c>
      <c r="C1228">
        <v>775.6</v>
      </c>
      <c r="D1228" s="1">
        <v>45159.738391203704</v>
      </c>
      <c r="E1228" t="s">
        <v>57</v>
      </c>
      <c r="F1228" t="s">
        <v>41</v>
      </c>
      <c r="G1228" t="s">
        <v>257</v>
      </c>
      <c r="H1228" t="s">
        <v>238</v>
      </c>
      <c r="I1228" t="s">
        <v>285</v>
      </c>
      <c r="J1228" t="s">
        <v>81</v>
      </c>
      <c r="K1228">
        <v>79</v>
      </c>
      <c r="L1228" t="s">
        <v>82</v>
      </c>
      <c r="M1228">
        <v>158</v>
      </c>
      <c r="N1228">
        <v>1</v>
      </c>
      <c r="O1228">
        <v>3898.64</v>
      </c>
      <c r="P1228" s="1">
        <v>45600.33902777778</v>
      </c>
      <c r="Q1228">
        <v>17</v>
      </c>
      <c r="R1228" t="s">
        <v>47</v>
      </c>
      <c r="S1228">
        <v>1.6373090353747499</v>
      </c>
      <c r="T1228" t="b">
        <v>0</v>
      </c>
      <c r="U1228" t="b">
        <v>0</v>
      </c>
      <c r="V1228" t="b">
        <f t="shared" si="38"/>
        <v>1</v>
      </c>
      <c r="W1228">
        <v>0</v>
      </c>
      <c r="Y1228">
        <f t="shared" si="39"/>
        <v>0</v>
      </c>
    </row>
    <row r="1229" spans="1:25" x14ac:dyDescent="0.3">
      <c r="A1229" t="s">
        <v>2942</v>
      </c>
      <c r="B1229" t="s">
        <v>2943</v>
      </c>
      <c r="C1229">
        <v>178.43</v>
      </c>
      <c r="D1229" s="1">
        <v>45286.759675925925</v>
      </c>
      <c r="E1229" t="s">
        <v>25</v>
      </c>
      <c r="F1229" t="s">
        <v>210</v>
      </c>
      <c r="G1229" t="s">
        <v>701</v>
      </c>
      <c r="H1229" t="s">
        <v>333</v>
      </c>
      <c r="I1229" t="s">
        <v>589</v>
      </c>
      <c r="J1229" t="s">
        <v>81</v>
      </c>
      <c r="K1229">
        <v>26</v>
      </c>
      <c r="L1229" t="s">
        <v>46</v>
      </c>
      <c r="M1229">
        <v>136</v>
      </c>
      <c r="N1229">
        <v>1</v>
      </c>
      <c r="O1229">
        <v>1214.93</v>
      </c>
      <c r="P1229" s="1">
        <v>45600.338865740741</v>
      </c>
      <c r="Q1229">
        <v>18</v>
      </c>
      <c r="R1229" t="s">
        <v>32</v>
      </c>
      <c r="S1229">
        <v>-0.40817027301203701</v>
      </c>
      <c r="T1229" t="b">
        <v>0</v>
      </c>
      <c r="U1229" t="b">
        <v>0</v>
      </c>
      <c r="V1229" t="b">
        <f t="shared" si="38"/>
        <v>1</v>
      </c>
      <c r="W1229">
        <v>0</v>
      </c>
      <c r="Y1229">
        <f t="shared" si="39"/>
        <v>0</v>
      </c>
    </row>
    <row r="1230" spans="1:25" x14ac:dyDescent="0.3">
      <c r="A1230" t="s">
        <v>2944</v>
      </c>
      <c r="B1230" t="s">
        <v>1150</v>
      </c>
      <c r="C1230">
        <v>211.91</v>
      </c>
      <c r="D1230" s="1">
        <v>45187.70212962963</v>
      </c>
      <c r="E1230" t="s">
        <v>25</v>
      </c>
      <c r="F1230" t="s">
        <v>77</v>
      </c>
      <c r="G1230" t="s">
        <v>2248</v>
      </c>
      <c r="H1230" t="s">
        <v>1832</v>
      </c>
      <c r="I1230" t="s">
        <v>339</v>
      </c>
      <c r="J1230" t="s">
        <v>45</v>
      </c>
      <c r="K1230">
        <v>20</v>
      </c>
      <c r="L1230" t="s">
        <v>46</v>
      </c>
      <c r="M1230">
        <v>181</v>
      </c>
      <c r="N1230">
        <v>1</v>
      </c>
      <c r="O1230">
        <v>927.47</v>
      </c>
      <c r="P1230" s="1">
        <v>45600.339421296296</v>
      </c>
      <c r="Q1230">
        <v>16</v>
      </c>
      <c r="R1230" t="s">
        <v>47</v>
      </c>
      <c r="S1230">
        <v>-0.29349162665540501</v>
      </c>
      <c r="T1230" t="b">
        <v>0</v>
      </c>
      <c r="U1230" t="b">
        <v>0</v>
      </c>
      <c r="V1230" t="b">
        <f t="shared" si="38"/>
        <v>1</v>
      </c>
      <c r="W1230">
        <v>0</v>
      </c>
      <c r="Y1230">
        <f t="shared" si="39"/>
        <v>0</v>
      </c>
    </row>
    <row r="1231" spans="1:25" x14ac:dyDescent="0.3">
      <c r="A1231" t="s">
        <v>2945</v>
      </c>
      <c r="B1231" t="s">
        <v>1470</v>
      </c>
      <c r="C1231">
        <v>17.21</v>
      </c>
      <c r="D1231" s="1">
        <v>45285.721504629626</v>
      </c>
      <c r="E1231" t="s">
        <v>25</v>
      </c>
      <c r="F1231" t="s">
        <v>309</v>
      </c>
      <c r="G1231" t="s">
        <v>1104</v>
      </c>
      <c r="H1231" t="s">
        <v>2698</v>
      </c>
      <c r="I1231" t="s">
        <v>445</v>
      </c>
      <c r="J1231" t="s">
        <v>45</v>
      </c>
      <c r="K1231">
        <v>23</v>
      </c>
      <c r="L1231" t="s">
        <v>46</v>
      </c>
      <c r="M1231">
        <v>219</v>
      </c>
      <c r="N1231">
        <v>1</v>
      </c>
      <c r="O1231">
        <v>914.16</v>
      </c>
      <c r="P1231" s="1">
        <v>45600.338182870371</v>
      </c>
      <c r="Q1231">
        <v>17</v>
      </c>
      <c r="R1231" t="s">
        <v>47</v>
      </c>
      <c r="S1231">
        <v>-0.96039522419531598</v>
      </c>
      <c r="T1231" t="b">
        <v>0</v>
      </c>
      <c r="U1231" t="b">
        <v>0</v>
      </c>
      <c r="V1231" t="b">
        <f t="shared" si="38"/>
        <v>1</v>
      </c>
      <c r="W1231">
        <v>0</v>
      </c>
      <c r="Y1231">
        <f t="shared" si="39"/>
        <v>0</v>
      </c>
    </row>
    <row r="1232" spans="1:25" x14ac:dyDescent="0.3">
      <c r="A1232" t="s">
        <v>2946</v>
      </c>
      <c r="B1232" t="s">
        <v>465</v>
      </c>
      <c r="C1232">
        <v>124.22</v>
      </c>
      <c r="D1232" s="1">
        <v>45065.748333333337</v>
      </c>
      <c r="E1232" t="s">
        <v>25</v>
      </c>
      <c r="F1232" t="s">
        <v>262</v>
      </c>
      <c r="G1232" t="s">
        <v>2947</v>
      </c>
      <c r="H1232" t="s">
        <v>2742</v>
      </c>
      <c r="I1232" t="s">
        <v>772</v>
      </c>
      <c r="J1232" t="s">
        <v>30</v>
      </c>
      <c r="K1232">
        <v>23</v>
      </c>
      <c r="L1232" t="s">
        <v>46</v>
      </c>
      <c r="M1232">
        <v>172</v>
      </c>
      <c r="N1232">
        <v>1</v>
      </c>
      <c r="O1232">
        <v>9695.0400000000009</v>
      </c>
      <c r="P1232" s="1">
        <v>45600.338935185187</v>
      </c>
      <c r="Q1232">
        <v>17</v>
      </c>
      <c r="R1232" t="s">
        <v>54</v>
      </c>
      <c r="S1232">
        <v>-0.59385514215758695</v>
      </c>
      <c r="T1232" t="b">
        <v>0</v>
      </c>
      <c r="U1232" t="b">
        <v>0</v>
      </c>
      <c r="V1232" t="b">
        <f t="shared" si="38"/>
        <v>1</v>
      </c>
      <c r="W1232">
        <v>0</v>
      </c>
      <c r="Y1232">
        <f t="shared" si="39"/>
        <v>0</v>
      </c>
    </row>
    <row r="1233" spans="1:25" x14ac:dyDescent="0.3">
      <c r="A1233" t="s">
        <v>2948</v>
      </c>
      <c r="B1233" t="s">
        <v>2086</v>
      </c>
      <c r="C1233">
        <v>38.369999999999997</v>
      </c>
      <c r="D1233" s="1">
        <v>45170.671967592592</v>
      </c>
      <c r="E1233" t="s">
        <v>25</v>
      </c>
      <c r="F1233" t="s">
        <v>250</v>
      </c>
      <c r="G1233" t="s">
        <v>2353</v>
      </c>
      <c r="H1233" t="s">
        <v>2654</v>
      </c>
      <c r="I1233" t="s">
        <v>375</v>
      </c>
      <c r="J1233" t="s">
        <v>30</v>
      </c>
      <c r="K1233">
        <v>63</v>
      </c>
      <c r="L1233" t="s">
        <v>31</v>
      </c>
      <c r="M1233">
        <v>135</v>
      </c>
      <c r="N1233">
        <v>1</v>
      </c>
      <c r="O1233">
        <v>8647.0400000000009</v>
      </c>
      <c r="P1233" s="1">
        <v>45600.340324074074</v>
      </c>
      <c r="Q1233">
        <v>16</v>
      </c>
      <c r="R1233" t="s">
        <v>54</v>
      </c>
      <c r="S1233">
        <v>-0.887916127513526</v>
      </c>
      <c r="T1233" t="b">
        <v>0</v>
      </c>
      <c r="U1233" t="b">
        <v>0</v>
      </c>
      <c r="V1233" t="b">
        <f t="shared" si="38"/>
        <v>1</v>
      </c>
      <c r="W1233">
        <v>0</v>
      </c>
      <c r="Y1233">
        <f t="shared" si="39"/>
        <v>0</v>
      </c>
    </row>
    <row r="1234" spans="1:25" x14ac:dyDescent="0.3">
      <c r="A1234" t="s">
        <v>2949</v>
      </c>
      <c r="B1234" t="s">
        <v>2509</v>
      </c>
      <c r="C1234">
        <v>269.79000000000002</v>
      </c>
      <c r="D1234" s="1">
        <v>45202.677372685182</v>
      </c>
      <c r="E1234" t="s">
        <v>25</v>
      </c>
      <c r="F1234" t="s">
        <v>236</v>
      </c>
      <c r="G1234" t="s">
        <v>2700</v>
      </c>
      <c r="H1234" t="s">
        <v>2318</v>
      </c>
      <c r="I1234" t="s">
        <v>772</v>
      </c>
      <c r="J1234" t="s">
        <v>30</v>
      </c>
      <c r="K1234">
        <v>52</v>
      </c>
      <c r="L1234" t="s">
        <v>89</v>
      </c>
      <c r="M1234">
        <v>17</v>
      </c>
      <c r="N1234">
        <v>1</v>
      </c>
      <c r="O1234">
        <v>1292.0999999999999</v>
      </c>
      <c r="P1234" s="1">
        <v>45600.338877314818</v>
      </c>
      <c r="Q1234">
        <v>16</v>
      </c>
      <c r="R1234" t="s">
        <v>32</v>
      </c>
      <c r="S1234">
        <v>-9.5235950098599698E-2</v>
      </c>
      <c r="T1234" t="b">
        <v>0</v>
      </c>
      <c r="U1234" t="b">
        <v>0</v>
      </c>
      <c r="V1234" t="b">
        <f t="shared" si="38"/>
        <v>1</v>
      </c>
      <c r="W1234">
        <v>0</v>
      </c>
      <c r="Y1234">
        <f t="shared" si="39"/>
        <v>0</v>
      </c>
    </row>
    <row r="1235" spans="1:25" x14ac:dyDescent="0.3">
      <c r="A1235" t="s">
        <v>2950</v>
      </c>
      <c r="B1235" t="s">
        <v>158</v>
      </c>
      <c r="C1235">
        <v>605.41999999999996</v>
      </c>
      <c r="D1235" s="1">
        <v>45090.67392361111</v>
      </c>
      <c r="E1235" t="s">
        <v>25</v>
      </c>
      <c r="F1235" t="s">
        <v>41</v>
      </c>
      <c r="G1235" t="s">
        <v>434</v>
      </c>
      <c r="H1235" t="s">
        <v>1572</v>
      </c>
      <c r="I1235" t="s">
        <v>687</v>
      </c>
      <c r="J1235" t="s">
        <v>30</v>
      </c>
      <c r="K1235">
        <v>21</v>
      </c>
      <c r="L1235" t="s">
        <v>46</v>
      </c>
      <c r="M1235">
        <v>33</v>
      </c>
      <c r="N1235">
        <v>1</v>
      </c>
      <c r="O1235">
        <v>392.34</v>
      </c>
      <c r="P1235" s="1">
        <v>45600.340046296296</v>
      </c>
      <c r="Q1235">
        <v>16</v>
      </c>
      <c r="R1235" t="s">
        <v>32</v>
      </c>
      <c r="S1235">
        <v>1.0543935026097699</v>
      </c>
      <c r="T1235" t="b">
        <v>0</v>
      </c>
      <c r="U1235" t="b">
        <v>0</v>
      </c>
      <c r="V1235" t="b">
        <f t="shared" si="38"/>
        <v>1</v>
      </c>
      <c r="W1235">
        <v>0</v>
      </c>
      <c r="Y1235">
        <f t="shared" si="39"/>
        <v>0</v>
      </c>
    </row>
    <row r="1236" spans="1:25" x14ac:dyDescent="0.3">
      <c r="A1236" t="s">
        <v>2951</v>
      </c>
      <c r="B1236" t="s">
        <v>1418</v>
      </c>
      <c r="C1236">
        <v>11.19</v>
      </c>
      <c r="D1236" s="1">
        <v>44928.732094907406</v>
      </c>
      <c r="E1236" t="s">
        <v>25</v>
      </c>
      <c r="F1236" t="s">
        <v>131</v>
      </c>
      <c r="G1236" t="s">
        <v>2155</v>
      </c>
      <c r="H1236" t="s">
        <v>1569</v>
      </c>
      <c r="I1236" t="s">
        <v>290</v>
      </c>
      <c r="J1236" t="s">
        <v>30</v>
      </c>
      <c r="K1236">
        <v>60</v>
      </c>
      <c r="L1236" t="s">
        <v>89</v>
      </c>
      <c r="M1236">
        <v>40</v>
      </c>
      <c r="N1236">
        <v>1</v>
      </c>
      <c r="O1236">
        <v>9877.17</v>
      </c>
      <c r="P1236" s="1">
        <v>45600.341921296298</v>
      </c>
      <c r="Q1236">
        <v>17</v>
      </c>
      <c r="R1236" t="s">
        <v>47</v>
      </c>
      <c r="S1236">
        <v>-0.98101545869552198</v>
      </c>
      <c r="T1236" t="b">
        <v>0</v>
      </c>
      <c r="U1236" t="b">
        <v>0</v>
      </c>
      <c r="V1236" t="b">
        <f t="shared" si="38"/>
        <v>1</v>
      </c>
      <c r="W1236">
        <v>0</v>
      </c>
      <c r="Y1236">
        <f t="shared" si="39"/>
        <v>0</v>
      </c>
    </row>
    <row r="1237" spans="1:25" x14ac:dyDescent="0.3">
      <c r="A1237" t="s">
        <v>2952</v>
      </c>
      <c r="B1237" t="s">
        <v>397</v>
      </c>
      <c r="C1237">
        <v>29.19</v>
      </c>
      <c r="D1237" s="1">
        <v>44951.735590277778</v>
      </c>
      <c r="E1237" t="s">
        <v>57</v>
      </c>
      <c r="F1237" t="s">
        <v>92</v>
      </c>
      <c r="G1237" t="s">
        <v>2903</v>
      </c>
      <c r="H1237" t="s">
        <v>2438</v>
      </c>
      <c r="I1237" t="s">
        <v>445</v>
      </c>
      <c r="J1237" t="s">
        <v>81</v>
      </c>
      <c r="K1237">
        <v>58</v>
      </c>
      <c r="L1237" t="s">
        <v>31</v>
      </c>
      <c r="M1237">
        <v>41</v>
      </c>
      <c r="N1237">
        <v>1</v>
      </c>
      <c r="O1237">
        <v>12059.85</v>
      </c>
      <c r="P1237" s="1">
        <v>45600.341365740744</v>
      </c>
      <c r="Q1237">
        <v>17</v>
      </c>
      <c r="R1237" t="s">
        <v>74</v>
      </c>
      <c r="S1237">
        <v>-0.91936027248228003</v>
      </c>
      <c r="T1237" t="b">
        <v>0</v>
      </c>
      <c r="U1237" t="b">
        <v>0</v>
      </c>
      <c r="V1237" t="b">
        <f t="shared" si="38"/>
        <v>1</v>
      </c>
      <c r="W1237">
        <v>0</v>
      </c>
      <c r="Y1237">
        <f t="shared" si="39"/>
        <v>0</v>
      </c>
    </row>
    <row r="1238" spans="1:25" x14ac:dyDescent="0.3">
      <c r="A1238" t="s">
        <v>2953</v>
      </c>
      <c r="B1238" t="s">
        <v>241</v>
      </c>
      <c r="C1238">
        <v>701.7</v>
      </c>
      <c r="D1238" s="1">
        <v>45107.706678240742</v>
      </c>
      <c r="E1238" t="s">
        <v>57</v>
      </c>
      <c r="F1238" t="s">
        <v>70</v>
      </c>
      <c r="G1238" t="s">
        <v>609</v>
      </c>
      <c r="H1238" t="s">
        <v>116</v>
      </c>
      <c r="I1238" t="s">
        <v>301</v>
      </c>
      <c r="J1238" t="s">
        <v>45</v>
      </c>
      <c r="K1238">
        <v>61</v>
      </c>
      <c r="L1238" t="s">
        <v>82</v>
      </c>
      <c r="M1238">
        <v>64</v>
      </c>
      <c r="N1238">
        <v>1</v>
      </c>
      <c r="O1238">
        <v>6643.24</v>
      </c>
      <c r="P1238" s="1">
        <v>45600.340150462966</v>
      </c>
      <c r="Q1238">
        <v>16</v>
      </c>
      <c r="R1238" t="s">
        <v>54</v>
      </c>
      <c r="S1238">
        <v>1.38418024308816</v>
      </c>
      <c r="T1238" t="b">
        <v>0</v>
      </c>
      <c r="U1238" t="b">
        <v>0</v>
      </c>
      <c r="V1238" t="b">
        <f t="shared" si="38"/>
        <v>1</v>
      </c>
      <c r="W1238">
        <v>0</v>
      </c>
      <c r="Y1238">
        <f t="shared" si="39"/>
        <v>0</v>
      </c>
    </row>
    <row r="1239" spans="1:25" x14ac:dyDescent="0.3">
      <c r="A1239" t="s">
        <v>2954</v>
      </c>
      <c r="B1239" t="s">
        <v>1807</v>
      </c>
      <c r="C1239">
        <v>862.34</v>
      </c>
      <c r="D1239" s="1">
        <v>45071.677800925929</v>
      </c>
      <c r="E1239" t="s">
        <v>25</v>
      </c>
      <c r="F1239" t="s">
        <v>304</v>
      </c>
      <c r="G1239" t="s">
        <v>1499</v>
      </c>
      <c r="H1239" t="s">
        <v>2180</v>
      </c>
      <c r="I1239" t="s">
        <v>285</v>
      </c>
      <c r="J1239" t="s">
        <v>81</v>
      </c>
      <c r="K1239">
        <v>57</v>
      </c>
      <c r="L1239" t="s">
        <v>31</v>
      </c>
      <c r="M1239">
        <v>72</v>
      </c>
      <c r="N1239">
        <v>1</v>
      </c>
      <c r="O1239">
        <v>9903.48</v>
      </c>
      <c r="P1239" s="1">
        <v>45600.341724537036</v>
      </c>
      <c r="Q1239">
        <v>16</v>
      </c>
      <c r="R1239" t="s">
        <v>141</v>
      </c>
      <c r="S1239">
        <v>1.93441852716012</v>
      </c>
      <c r="T1239" t="b">
        <v>0</v>
      </c>
      <c r="U1239" t="b">
        <v>0</v>
      </c>
      <c r="V1239" t="b">
        <f t="shared" si="38"/>
        <v>1</v>
      </c>
      <c r="W1239">
        <v>0</v>
      </c>
      <c r="Y1239">
        <f t="shared" si="39"/>
        <v>0</v>
      </c>
    </row>
    <row r="1240" spans="1:25" x14ac:dyDescent="0.3">
      <c r="A1240" t="s">
        <v>2955</v>
      </c>
      <c r="B1240" t="s">
        <v>2175</v>
      </c>
      <c r="C1240">
        <v>410.97</v>
      </c>
      <c r="D1240" s="1">
        <v>45194.709675925929</v>
      </c>
      <c r="E1240" t="s">
        <v>25</v>
      </c>
      <c r="F1240" t="s">
        <v>153</v>
      </c>
      <c r="G1240" t="s">
        <v>121</v>
      </c>
      <c r="H1240" t="s">
        <v>1687</v>
      </c>
      <c r="I1240" t="s">
        <v>620</v>
      </c>
      <c r="J1240" t="s">
        <v>30</v>
      </c>
      <c r="K1240">
        <v>22</v>
      </c>
      <c r="L1240" t="s">
        <v>46</v>
      </c>
      <c r="M1240">
        <v>45</v>
      </c>
      <c r="N1240">
        <v>1</v>
      </c>
      <c r="O1240">
        <v>151.41999999999999</v>
      </c>
      <c r="P1240" s="1">
        <v>45600.341099537036</v>
      </c>
      <c r="Q1240">
        <v>17</v>
      </c>
      <c r="R1240" t="s">
        <v>47</v>
      </c>
      <c r="S1240">
        <v>0.38834622710060202</v>
      </c>
      <c r="T1240" t="b">
        <v>0</v>
      </c>
      <c r="U1240" t="b">
        <v>0</v>
      </c>
      <c r="V1240" t="b">
        <f t="shared" si="38"/>
        <v>1</v>
      </c>
      <c r="W1240">
        <v>0</v>
      </c>
      <c r="Y1240">
        <f t="shared" si="39"/>
        <v>0</v>
      </c>
    </row>
    <row r="1241" spans="1:25" x14ac:dyDescent="0.3">
      <c r="A1241" t="s">
        <v>2956</v>
      </c>
      <c r="B1241" t="s">
        <v>1695</v>
      </c>
      <c r="C1241">
        <v>36.97</v>
      </c>
      <c r="D1241" s="1">
        <v>45161.724178240744</v>
      </c>
      <c r="E1241" t="s">
        <v>25</v>
      </c>
      <c r="F1241" t="s">
        <v>314</v>
      </c>
      <c r="G1241" t="s">
        <v>2957</v>
      </c>
      <c r="H1241" t="s">
        <v>2404</v>
      </c>
      <c r="I1241" t="s">
        <v>356</v>
      </c>
      <c r="J1241" t="s">
        <v>81</v>
      </c>
      <c r="K1241">
        <v>41</v>
      </c>
      <c r="L1241" t="s">
        <v>89</v>
      </c>
      <c r="M1241">
        <v>79</v>
      </c>
      <c r="N1241">
        <v>1</v>
      </c>
      <c r="O1241">
        <v>2850.92</v>
      </c>
      <c r="P1241" s="1">
        <v>45600.338750000003</v>
      </c>
      <c r="Q1241">
        <v>17</v>
      </c>
      <c r="R1241" t="s">
        <v>74</v>
      </c>
      <c r="S1241">
        <v>-0.89271153088566702</v>
      </c>
      <c r="T1241" t="b">
        <v>0</v>
      </c>
      <c r="U1241" t="b">
        <v>0</v>
      </c>
      <c r="V1241" t="b">
        <f t="shared" si="38"/>
        <v>1</v>
      </c>
      <c r="W1241">
        <v>0</v>
      </c>
      <c r="Y1241">
        <f t="shared" si="39"/>
        <v>0</v>
      </c>
    </row>
    <row r="1242" spans="1:25" x14ac:dyDescent="0.3">
      <c r="A1242" t="s">
        <v>2958</v>
      </c>
      <c r="B1242" t="s">
        <v>397</v>
      </c>
      <c r="C1242">
        <v>137.59</v>
      </c>
      <c r="D1242" s="1">
        <v>44929.685601851852</v>
      </c>
      <c r="E1242" t="s">
        <v>25</v>
      </c>
      <c r="F1242" t="s">
        <v>92</v>
      </c>
      <c r="G1242" t="s">
        <v>678</v>
      </c>
      <c r="H1242" t="s">
        <v>989</v>
      </c>
      <c r="I1242" t="s">
        <v>162</v>
      </c>
      <c r="J1242" t="s">
        <v>30</v>
      </c>
      <c r="K1242">
        <v>30</v>
      </c>
      <c r="L1242" t="s">
        <v>31</v>
      </c>
      <c r="M1242">
        <v>95</v>
      </c>
      <c r="N1242">
        <v>1</v>
      </c>
      <c r="O1242">
        <v>10679.67</v>
      </c>
      <c r="P1242" s="1">
        <v>45600.341319444444</v>
      </c>
      <c r="Q1242">
        <v>16</v>
      </c>
      <c r="R1242" t="s">
        <v>32</v>
      </c>
      <c r="S1242">
        <v>-0.54805903995363903</v>
      </c>
      <c r="T1242" t="b">
        <v>0</v>
      </c>
      <c r="U1242" t="b">
        <v>0</v>
      </c>
      <c r="V1242" t="b">
        <f t="shared" si="38"/>
        <v>1</v>
      </c>
      <c r="W1242">
        <v>0</v>
      </c>
      <c r="Y1242">
        <f t="shared" si="39"/>
        <v>0</v>
      </c>
    </row>
    <row r="1243" spans="1:25" x14ac:dyDescent="0.3">
      <c r="A1243" t="s">
        <v>2959</v>
      </c>
      <c r="B1243" t="s">
        <v>2708</v>
      </c>
      <c r="C1243">
        <v>168.11</v>
      </c>
      <c r="D1243" s="1">
        <v>45065.697835648149</v>
      </c>
      <c r="E1243" t="s">
        <v>57</v>
      </c>
      <c r="F1243" t="s">
        <v>216</v>
      </c>
      <c r="G1243" t="s">
        <v>2960</v>
      </c>
      <c r="H1243" t="s">
        <v>1132</v>
      </c>
      <c r="I1243" t="s">
        <v>29</v>
      </c>
      <c r="J1243" t="s">
        <v>45</v>
      </c>
      <c r="K1243">
        <v>51</v>
      </c>
      <c r="L1243" t="s">
        <v>31</v>
      </c>
      <c r="M1243">
        <v>12</v>
      </c>
      <c r="N1243">
        <v>1</v>
      </c>
      <c r="O1243">
        <v>10652.13</v>
      </c>
      <c r="P1243" s="1">
        <v>45600.338182870371</v>
      </c>
      <c r="Q1243">
        <v>16</v>
      </c>
      <c r="R1243" t="s">
        <v>54</v>
      </c>
      <c r="S1243">
        <v>-0.44351924644096302</v>
      </c>
      <c r="T1243" t="b">
        <v>0</v>
      </c>
      <c r="U1243" t="b">
        <v>0</v>
      </c>
      <c r="V1243" t="b">
        <f t="shared" si="38"/>
        <v>1</v>
      </c>
      <c r="W1243">
        <v>0</v>
      </c>
      <c r="Y1243">
        <f t="shared" si="39"/>
        <v>0</v>
      </c>
    </row>
    <row r="1244" spans="1:25" x14ac:dyDescent="0.3">
      <c r="A1244" t="s">
        <v>2961</v>
      </c>
      <c r="B1244" t="s">
        <v>2962</v>
      </c>
      <c r="C1244">
        <v>430.98</v>
      </c>
      <c r="D1244" s="1">
        <v>45209.75986111111</v>
      </c>
      <c r="E1244" t="s">
        <v>25</v>
      </c>
      <c r="F1244" t="s">
        <v>210</v>
      </c>
      <c r="G1244" t="s">
        <v>2605</v>
      </c>
      <c r="H1244" t="s">
        <v>2764</v>
      </c>
      <c r="I1244" t="s">
        <v>720</v>
      </c>
      <c r="J1244" t="s">
        <v>81</v>
      </c>
      <c r="K1244">
        <v>24</v>
      </c>
      <c r="L1244" t="s">
        <v>46</v>
      </c>
      <c r="M1244">
        <v>93</v>
      </c>
      <c r="N1244">
        <v>1</v>
      </c>
      <c r="O1244">
        <v>569.25</v>
      </c>
      <c r="P1244" s="1">
        <v>45600.34097222222</v>
      </c>
      <c r="Q1244">
        <v>18</v>
      </c>
      <c r="R1244" t="s">
        <v>32</v>
      </c>
      <c r="S1244">
        <v>0.45688624244099002</v>
      </c>
      <c r="T1244" t="b">
        <v>0</v>
      </c>
      <c r="U1244" t="b">
        <v>0</v>
      </c>
      <c r="V1244" t="b">
        <f t="shared" si="38"/>
        <v>1</v>
      </c>
      <c r="W1244">
        <v>0</v>
      </c>
      <c r="Y1244">
        <f t="shared" si="39"/>
        <v>0</v>
      </c>
    </row>
    <row r="1245" spans="1:25" x14ac:dyDescent="0.3">
      <c r="A1245" t="s">
        <v>2963</v>
      </c>
      <c r="B1245" t="s">
        <v>1219</v>
      </c>
      <c r="C1245">
        <v>13.87</v>
      </c>
      <c r="D1245" s="1">
        <v>45271.772685185184</v>
      </c>
      <c r="E1245" t="s">
        <v>25</v>
      </c>
      <c r="F1245" t="s">
        <v>438</v>
      </c>
      <c r="G1245" t="s">
        <v>1535</v>
      </c>
      <c r="H1245" t="s">
        <v>2009</v>
      </c>
      <c r="I1245" t="s">
        <v>556</v>
      </c>
      <c r="J1245" t="s">
        <v>81</v>
      </c>
      <c r="K1245">
        <v>24</v>
      </c>
      <c r="L1245" t="s">
        <v>46</v>
      </c>
      <c r="M1245">
        <v>20</v>
      </c>
      <c r="N1245">
        <v>1</v>
      </c>
      <c r="O1245">
        <v>954.83</v>
      </c>
      <c r="P1245" s="1">
        <v>45600.338738425926</v>
      </c>
      <c r="Q1245">
        <v>18</v>
      </c>
      <c r="R1245" t="s">
        <v>47</v>
      </c>
      <c r="S1245">
        <v>-0.97183568652599495</v>
      </c>
      <c r="T1245" t="b">
        <v>0</v>
      </c>
      <c r="U1245" t="b">
        <v>0</v>
      </c>
      <c r="V1245" t="b">
        <f t="shared" si="38"/>
        <v>1</v>
      </c>
      <c r="W1245">
        <v>0</v>
      </c>
      <c r="Y1245">
        <f t="shared" si="39"/>
        <v>0</v>
      </c>
    </row>
    <row r="1246" spans="1:25" x14ac:dyDescent="0.3">
      <c r="A1246" t="s">
        <v>2964</v>
      </c>
      <c r="B1246" t="s">
        <v>235</v>
      </c>
      <c r="C1246">
        <v>642.67999999999995</v>
      </c>
      <c r="D1246" s="1">
        <v>45071.698275462964</v>
      </c>
      <c r="E1246" t="s">
        <v>25</v>
      </c>
      <c r="F1246" t="s">
        <v>405</v>
      </c>
      <c r="G1246" t="s">
        <v>1950</v>
      </c>
      <c r="H1246" t="s">
        <v>1618</v>
      </c>
      <c r="I1246" t="s">
        <v>419</v>
      </c>
      <c r="J1246" t="s">
        <v>30</v>
      </c>
      <c r="K1246">
        <v>76</v>
      </c>
      <c r="L1246" t="s">
        <v>82</v>
      </c>
      <c r="M1246">
        <v>66</v>
      </c>
      <c r="N1246">
        <v>1</v>
      </c>
      <c r="O1246">
        <v>1831.2</v>
      </c>
      <c r="P1246" s="1">
        <v>45600.34070601852</v>
      </c>
      <c r="Q1246">
        <v>16</v>
      </c>
      <c r="R1246" t="s">
        <v>141</v>
      </c>
      <c r="S1246">
        <v>1.1820197380711801</v>
      </c>
      <c r="T1246" t="b">
        <v>0</v>
      </c>
      <c r="U1246" t="b">
        <v>0</v>
      </c>
      <c r="V1246" t="b">
        <f t="shared" si="38"/>
        <v>1</v>
      </c>
      <c r="W1246">
        <v>0</v>
      </c>
      <c r="Y1246">
        <f t="shared" si="39"/>
        <v>0</v>
      </c>
    </row>
    <row r="1247" spans="1:25" x14ac:dyDescent="0.3">
      <c r="A1247" t="s">
        <v>2965</v>
      </c>
      <c r="B1247" t="s">
        <v>2513</v>
      </c>
      <c r="C1247">
        <v>175.07</v>
      </c>
      <c r="D1247" s="1">
        <v>45253.707766203705</v>
      </c>
      <c r="E1247" t="s">
        <v>25</v>
      </c>
      <c r="F1247" t="s">
        <v>159</v>
      </c>
      <c r="G1247" t="s">
        <v>1402</v>
      </c>
      <c r="H1247" t="s">
        <v>2871</v>
      </c>
      <c r="I1247" t="s">
        <v>753</v>
      </c>
      <c r="J1247" t="s">
        <v>45</v>
      </c>
      <c r="K1247">
        <v>28</v>
      </c>
      <c r="L1247" t="s">
        <v>89</v>
      </c>
      <c r="M1247">
        <v>169</v>
      </c>
      <c r="N1247">
        <v>2</v>
      </c>
      <c r="O1247">
        <v>9274.64</v>
      </c>
      <c r="P1247" s="1">
        <v>45600.341747685183</v>
      </c>
      <c r="Q1247">
        <v>16</v>
      </c>
      <c r="R1247" t="s">
        <v>141</v>
      </c>
      <c r="S1247">
        <v>-0.41967924110517502</v>
      </c>
      <c r="T1247" t="b">
        <v>0</v>
      </c>
      <c r="U1247" t="b">
        <v>1</v>
      </c>
      <c r="V1247" t="b">
        <f t="shared" si="38"/>
        <v>1</v>
      </c>
      <c r="W1247">
        <v>1</v>
      </c>
      <c r="Y1247">
        <f t="shared" si="39"/>
        <v>0</v>
      </c>
    </row>
    <row r="1248" spans="1:25" x14ac:dyDescent="0.3">
      <c r="A1248" t="s">
        <v>2966</v>
      </c>
      <c r="B1248" t="s">
        <v>147</v>
      </c>
      <c r="C1248">
        <v>302.82</v>
      </c>
      <c r="D1248" s="1">
        <v>45233.701620370368</v>
      </c>
      <c r="E1248" t="s">
        <v>25</v>
      </c>
      <c r="F1248" t="s">
        <v>405</v>
      </c>
      <c r="G1248" t="s">
        <v>2783</v>
      </c>
      <c r="H1248" t="s">
        <v>2424</v>
      </c>
      <c r="I1248" t="s">
        <v>80</v>
      </c>
      <c r="J1248" t="s">
        <v>30</v>
      </c>
      <c r="K1248">
        <v>36</v>
      </c>
      <c r="L1248" t="s">
        <v>89</v>
      </c>
      <c r="M1248">
        <v>175</v>
      </c>
      <c r="N1248">
        <v>1</v>
      </c>
      <c r="O1248">
        <v>9384.5400000000009</v>
      </c>
      <c r="P1248" s="1">
        <v>45600.338553240741</v>
      </c>
      <c r="Q1248">
        <v>16</v>
      </c>
      <c r="R1248" t="s">
        <v>54</v>
      </c>
      <c r="S1248">
        <v>1.7901316602700799E-2</v>
      </c>
      <c r="T1248" t="b">
        <v>0</v>
      </c>
      <c r="U1248" t="b">
        <v>0</v>
      </c>
      <c r="V1248" t="b">
        <f t="shared" si="38"/>
        <v>1</v>
      </c>
      <c r="W1248">
        <v>0</v>
      </c>
      <c r="Y1248">
        <f t="shared" si="39"/>
        <v>0</v>
      </c>
    </row>
    <row r="1249" spans="1:25" x14ac:dyDescent="0.3">
      <c r="A1249" t="s">
        <v>2967</v>
      </c>
      <c r="B1249" t="s">
        <v>2037</v>
      </c>
      <c r="C1249">
        <v>1647.74</v>
      </c>
      <c r="D1249" s="1">
        <v>45285.73715277778</v>
      </c>
      <c r="E1249" t="s">
        <v>25</v>
      </c>
      <c r="F1249" t="s">
        <v>120</v>
      </c>
      <c r="G1249" t="s">
        <v>1568</v>
      </c>
      <c r="H1249" t="s">
        <v>2329</v>
      </c>
      <c r="I1249" t="s">
        <v>487</v>
      </c>
      <c r="J1249" t="s">
        <v>30</v>
      </c>
      <c r="K1249">
        <v>67</v>
      </c>
      <c r="L1249" t="s">
        <v>82</v>
      </c>
      <c r="M1249">
        <v>52</v>
      </c>
      <c r="N1249">
        <v>1</v>
      </c>
      <c r="O1249">
        <v>1483.84</v>
      </c>
      <c r="P1249" s="1">
        <v>45600.339918981481</v>
      </c>
      <c r="Q1249">
        <v>17</v>
      </c>
      <c r="R1249" t="s">
        <v>47</v>
      </c>
      <c r="S1249">
        <v>4.6246398189312901</v>
      </c>
      <c r="T1249" t="b">
        <v>1</v>
      </c>
      <c r="U1249" t="b">
        <v>0</v>
      </c>
      <c r="V1249" t="b">
        <f t="shared" si="38"/>
        <v>1</v>
      </c>
      <c r="W1249">
        <v>1</v>
      </c>
      <c r="Y1249">
        <f t="shared" si="39"/>
        <v>1</v>
      </c>
    </row>
    <row r="1250" spans="1:25" x14ac:dyDescent="0.3">
      <c r="A1250" t="s">
        <v>2968</v>
      </c>
      <c r="B1250" t="s">
        <v>1057</v>
      </c>
      <c r="C1250">
        <v>406.81</v>
      </c>
      <c r="D1250" s="1">
        <v>45265.689456018517</v>
      </c>
      <c r="E1250" t="s">
        <v>25</v>
      </c>
      <c r="F1250" t="s">
        <v>216</v>
      </c>
      <c r="G1250" t="s">
        <v>413</v>
      </c>
      <c r="H1250" t="s">
        <v>1113</v>
      </c>
      <c r="I1250" t="s">
        <v>1823</v>
      </c>
      <c r="J1250" t="s">
        <v>45</v>
      </c>
      <c r="K1250">
        <v>66</v>
      </c>
      <c r="L1250" t="s">
        <v>82</v>
      </c>
      <c r="M1250">
        <v>84</v>
      </c>
      <c r="N1250">
        <v>1</v>
      </c>
      <c r="O1250">
        <v>1968.36</v>
      </c>
      <c r="P1250" s="1">
        <v>45600.339421296296</v>
      </c>
      <c r="Q1250">
        <v>16</v>
      </c>
      <c r="R1250" t="s">
        <v>32</v>
      </c>
      <c r="S1250">
        <v>0.37409702850909698</v>
      </c>
      <c r="T1250" t="b">
        <v>0</v>
      </c>
      <c r="U1250" t="b">
        <v>0</v>
      </c>
      <c r="V1250" t="b">
        <f t="shared" si="38"/>
        <v>1</v>
      </c>
      <c r="W1250">
        <v>0</v>
      </c>
      <c r="Y1250">
        <f t="shared" si="39"/>
        <v>0</v>
      </c>
    </row>
    <row r="1251" spans="1:25" x14ac:dyDescent="0.3">
      <c r="A1251" t="s">
        <v>2969</v>
      </c>
      <c r="B1251" t="s">
        <v>750</v>
      </c>
      <c r="C1251">
        <v>256.3</v>
      </c>
      <c r="D1251" s="1">
        <v>45021.681932870371</v>
      </c>
      <c r="E1251" t="s">
        <v>25</v>
      </c>
      <c r="F1251" t="s">
        <v>216</v>
      </c>
      <c r="G1251" t="s">
        <v>1984</v>
      </c>
      <c r="H1251" t="s">
        <v>166</v>
      </c>
      <c r="I1251" t="s">
        <v>399</v>
      </c>
      <c r="J1251" t="s">
        <v>45</v>
      </c>
      <c r="K1251">
        <v>53</v>
      </c>
      <c r="L1251" t="s">
        <v>82</v>
      </c>
      <c r="M1251">
        <v>172</v>
      </c>
      <c r="N1251">
        <v>1</v>
      </c>
      <c r="O1251">
        <v>4203.05</v>
      </c>
      <c r="P1251" s="1">
        <v>45600.337766203702</v>
      </c>
      <c r="Q1251">
        <v>16</v>
      </c>
      <c r="R1251" t="s">
        <v>74</v>
      </c>
      <c r="S1251">
        <v>-0.141443086877302</v>
      </c>
      <c r="T1251" t="b">
        <v>0</v>
      </c>
      <c r="U1251" t="b">
        <v>0</v>
      </c>
      <c r="V1251" t="b">
        <f t="shared" si="38"/>
        <v>1</v>
      </c>
      <c r="W1251">
        <v>0</v>
      </c>
      <c r="Y1251">
        <f t="shared" si="39"/>
        <v>0</v>
      </c>
    </row>
    <row r="1252" spans="1:25" x14ac:dyDescent="0.3">
      <c r="A1252" t="s">
        <v>2970</v>
      </c>
      <c r="B1252" t="s">
        <v>1446</v>
      </c>
      <c r="C1252">
        <v>80.959999999999994</v>
      </c>
      <c r="D1252" s="1">
        <v>45196.741087962961</v>
      </c>
      <c r="E1252" t="s">
        <v>57</v>
      </c>
      <c r="F1252" t="s">
        <v>405</v>
      </c>
      <c r="G1252" t="s">
        <v>2971</v>
      </c>
      <c r="H1252" t="s">
        <v>181</v>
      </c>
      <c r="I1252" t="s">
        <v>316</v>
      </c>
      <c r="J1252" t="s">
        <v>45</v>
      </c>
      <c r="K1252">
        <v>19</v>
      </c>
      <c r="L1252" t="s">
        <v>46</v>
      </c>
      <c r="M1252">
        <v>97</v>
      </c>
      <c r="N1252">
        <v>1</v>
      </c>
      <c r="O1252">
        <v>959.94</v>
      </c>
      <c r="P1252" s="1">
        <v>45600.337789351855</v>
      </c>
      <c r="Q1252">
        <v>17</v>
      </c>
      <c r="R1252" t="s">
        <v>74</v>
      </c>
      <c r="S1252">
        <v>-0.74203310635674702</v>
      </c>
      <c r="T1252" t="b">
        <v>0</v>
      </c>
      <c r="U1252" t="b">
        <v>0</v>
      </c>
      <c r="V1252" t="b">
        <f t="shared" si="38"/>
        <v>1</v>
      </c>
      <c r="W1252">
        <v>0</v>
      </c>
      <c r="Y1252">
        <f t="shared" si="39"/>
        <v>0</v>
      </c>
    </row>
    <row r="1253" spans="1:25" x14ac:dyDescent="0.3">
      <c r="A1253" t="s">
        <v>2972</v>
      </c>
      <c r="B1253" t="s">
        <v>1720</v>
      </c>
      <c r="C1253">
        <v>95.78</v>
      </c>
      <c r="D1253" s="1">
        <v>45008.715196759258</v>
      </c>
      <c r="E1253" t="s">
        <v>25</v>
      </c>
      <c r="F1253" t="s">
        <v>58</v>
      </c>
      <c r="G1253" t="s">
        <v>2561</v>
      </c>
      <c r="H1253" t="s">
        <v>1897</v>
      </c>
      <c r="I1253" t="s">
        <v>898</v>
      </c>
      <c r="J1253" t="s">
        <v>45</v>
      </c>
      <c r="K1253">
        <v>22</v>
      </c>
      <c r="L1253" t="s">
        <v>46</v>
      </c>
      <c r="M1253">
        <v>27</v>
      </c>
      <c r="N1253">
        <v>1</v>
      </c>
      <c r="O1253">
        <v>271.64</v>
      </c>
      <c r="P1253" s="1">
        <v>45600.339768518519</v>
      </c>
      <c r="Q1253">
        <v>17</v>
      </c>
      <c r="R1253" t="s">
        <v>141</v>
      </c>
      <c r="S1253">
        <v>-0.69127033637450996</v>
      </c>
      <c r="T1253" t="b">
        <v>0</v>
      </c>
      <c r="U1253" t="b">
        <v>0</v>
      </c>
      <c r="V1253" t="b">
        <f t="shared" si="38"/>
        <v>1</v>
      </c>
      <c r="W1253">
        <v>0</v>
      </c>
      <c r="Y1253">
        <f t="shared" si="39"/>
        <v>0</v>
      </c>
    </row>
    <row r="1254" spans="1:25" x14ac:dyDescent="0.3">
      <c r="A1254" t="s">
        <v>2973</v>
      </c>
      <c r="B1254" t="s">
        <v>380</v>
      </c>
      <c r="C1254">
        <v>379.54</v>
      </c>
      <c r="D1254" s="1">
        <v>44929.718217592592</v>
      </c>
      <c r="E1254" t="s">
        <v>57</v>
      </c>
      <c r="F1254" t="s">
        <v>77</v>
      </c>
      <c r="G1254" t="s">
        <v>1214</v>
      </c>
      <c r="H1254" t="s">
        <v>258</v>
      </c>
      <c r="I1254" t="s">
        <v>156</v>
      </c>
      <c r="J1254" t="s">
        <v>81</v>
      </c>
      <c r="K1254">
        <v>41</v>
      </c>
      <c r="L1254" t="s">
        <v>31</v>
      </c>
      <c r="M1254">
        <v>118</v>
      </c>
      <c r="N1254">
        <v>1</v>
      </c>
      <c r="O1254">
        <v>12571.76</v>
      </c>
      <c r="P1254" s="1">
        <v>45600.337766203702</v>
      </c>
      <c r="Q1254">
        <v>17</v>
      </c>
      <c r="R1254" t="s">
        <v>32</v>
      </c>
      <c r="S1254">
        <v>0.28068942139603398</v>
      </c>
      <c r="T1254" t="b">
        <v>0</v>
      </c>
      <c r="U1254" t="b">
        <v>0</v>
      </c>
      <c r="V1254" t="b">
        <f t="shared" si="38"/>
        <v>1</v>
      </c>
      <c r="W1254">
        <v>0</v>
      </c>
      <c r="Y1254">
        <f t="shared" si="39"/>
        <v>0</v>
      </c>
    </row>
    <row r="1255" spans="1:25" x14ac:dyDescent="0.3">
      <c r="A1255" t="s">
        <v>2974</v>
      </c>
      <c r="B1255" t="s">
        <v>287</v>
      </c>
      <c r="C1255">
        <v>903.19</v>
      </c>
      <c r="D1255" s="1">
        <v>45113.744814814818</v>
      </c>
      <c r="E1255" t="s">
        <v>25</v>
      </c>
      <c r="F1255" t="s">
        <v>519</v>
      </c>
      <c r="G1255" t="s">
        <v>1583</v>
      </c>
      <c r="H1255" t="s">
        <v>544</v>
      </c>
      <c r="I1255" t="s">
        <v>178</v>
      </c>
      <c r="J1255" t="s">
        <v>45</v>
      </c>
      <c r="K1255">
        <v>22</v>
      </c>
      <c r="L1255" t="s">
        <v>46</v>
      </c>
      <c r="M1255">
        <v>65</v>
      </c>
      <c r="N1255">
        <v>1</v>
      </c>
      <c r="O1255">
        <v>8627.08</v>
      </c>
      <c r="P1255" s="1">
        <v>45600.33792824074</v>
      </c>
      <c r="Q1255">
        <v>17</v>
      </c>
      <c r="R1255" t="s">
        <v>141</v>
      </c>
      <c r="S1255">
        <v>2.07434154698295</v>
      </c>
      <c r="T1255" t="b">
        <v>0</v>
      </c>
      <c r="U1255" t="b">
        <v>0</v>
      </c>
      <c r="V1255" t="b">
        <f t="shared" si="38"/>
        <v>1</v>
      </c>
      <c r="W1255">
        <v>0</v>
      </c>
      <c r="Y1255">
        <f t="shared" si="39"/>
        <v>0</v>
      </c>
    </row>
    <row r="1256" spans="1:25" x14ac:dyDescent="0.3">
      <c r="A1256" t="s">
        <v>2975</v>
      </c>
      <c r="B1256" t="s">
        <v>49</v>
      </c>
      <c r="C1256">
        <v>142.19</v>
      </c>
      <c r="D1256" s="1">
        <v>45092.77002314815</v>
      </c>
      <c r="E1256" t="s">
        <v>25</v>
      </c>
      <c r="F1256" t="s">
        <v>35</v>
      </c>
      <c r="G1256" t="s">
        <v>1266</v>
      </c>
      <c r="H1256" t="s">
        <v>2976</v>
      </c>
      <c r="I1256" t="s">
        <v>275</v>
      </c>
      <c r="J1256" t="s">
        <v>81</v>
      </c>
      <c r="K1256">
        <v>18</v>
      </c>
      <c r="L1256" t="s">
        <v>46</v>
      </c>
      <c r="M1256">
        <v>27</v>
      </c>
      <c r="N1256">
        <v>4</v>
      </c>
      <c r="O1256">
        <v>524.46</v>
      </c>
      <c r="P1256" s="1">
        <v>45600.340092592596</v>
      </c>
      <c r="Q1256">
        <v>18</v>
      </c>
      <c r="R1256" t="s">
        <v>141</v>
      </c>
      <c r="S1256">
        <v>-0.53230271458803202</v>
      </c>
      <c r="T1256" t="b">
        <v>0</v>
      </c>
      <c r="U1256" t="b">
        <v>1</v>
      </c>
      <c r="V1256" t="b">
        <f t="shared" si="38"/>
        <v>1</v>
      </c>
      <c r="W1256">
        <v>1</v>
      </c>
      <c r="Y1256">
        <f t="shared" si="39"/>
        <v>0</v>
      </c>
    </row>
    <row r="1257" spans="1:25" x14ac:dyDescent="0.3">
      <c r="A1257" t="s">
        <v>2977</v>
      </c>
      <c r="B1257" t="s">
        <v>1815</v>
      </c>
      <c r="C1257">
        <v>847.45</v>
      </c>
      <c r="D1257" s="1">
        <v>45096.683495370373</v>
      </c>
      <c r="E1257" t="s">
        <v>25</v>
      </c>
      <c r="F1257" t="s">
        <v>405</v>
      </c>
      <c r="G1257" t="s">
        <v>551</v>
      </c>
      <c r="H1257" t="s">
        <v>1702</v>
      </c>
      <c r="I1257" t="s">
        <v>577</v>
      </c>
      <c r="J1257" t="s">
        <v>81</v>
      </c>
      <c r="K1257">
        <v>28</v>
      </c>
      <c r="L1257" t="s">
        <v>46</v>
      </c>
      <c r="M1257">
        <v>175</v>
      </c>
      <c r="N1257">
        <v>1</v>
      </c>
      <c r="O1257">
        <v>422.32</v>
      </c>
      <c r="P1257" s="1">
        <v>45600.339930555558</v>
      </c>
      <c r="Q1257">
        <v>16</v>
      </c>
      <c r="R1257" t="s">
        <v>47</v>
      </c>
      <c r="S1257">
        <v>1.8834159870092799</v>
      </c>
      <c r="T1257" t="b">
        <v>0</v>
      </c>
      <c r="U1257" t="b">
        <v>0</v>
      </c>
      <c r="V1257" t="b">
        <f t="shared" si="38"/>
        <v>1</v>
      </c>
      <c r="W1257">
        <v>0</v>
      </c>
      <c r="Y1257">
        <f t="shared" si="39"/>
        <v>0</v>
      </c>
    </row>
    <row r="1258" spans="1:25" x14ac:dyDescent="0.3">
      <c r="A1258" t="s">
        <v>2978</v>
      </c>
      <c r="B1258" t="s">
        <v>2096</v>
      </c>
      <c r="C1258">
        <v>295.18</v>
      </c>
      <c r="D1258" s="1">
        <v>45055.74628472222</v>
      </c>
      <c r="E1258" t="s">
        <v>57</v>
      </c>
      <c r="F1258" t="s">
        <v>336</v>
      </c>
      <c r="G1258" t="s">
        <v>2979</v>
      </c>
      <c r="H1258" t="s">
        <v>52</v>
      </c>
      <c r="I1258" t="s">
        <v>753</v>
      </c>
      <c r="J1258" t="s">
        <v>81</v>
      </c>
      <c r="K1258">
        <v>66</v>
      </c>
      <c r="L1258" t="s">
        <v>31</v>
      </c>
      <c r="M1258">
        <v>31</v>
      </c>
      <c r="N1258">
        <v>1</v>
      </c>
      <c r="O1258">
        <v>12961.53</v>
      </c>
      <c r="P1258" s="1">
        <v>45600.338807870372</v>
      </c>
      <c r="Q1258">
        <v>17</v>
      </c>
      <c r="R1258" t="s">
        <v>32</v>
      </c>
      <c r="S1258">
        <v>-8.2678846566977202E-3</v>
      </c>
      <c r="T1258" t="b">
        <v>0</v>
      </c>
      <c r="U1258" t="b">
        <v>0</v>
      </c>
      <c r="V1258" t="b">
        <f t="shared" si="38"/>
        <v>1</v>
      </c>
      <c r="W1258">
        <v>0</v>
      </c>
      <c r="Y1258">
        <f t="shared" si="39"/>
        <v>0</v>
      </c>
    </row>
    <row r="1259" spans="1:25" x14ac:dyDescent="0.3">
      <c r="A1259" t="s">
        <v>2980</v>
      </c>
      <c r="B1259" t="s">
        <v>2277</v>
      </c>
      <c r="C1259">
        <v>18.46</v>
      </c>
      <c r="D1259" s="1">
        <v>45250.686967592592</v>
      </c>
      <c r="E1259" t="s">
        <v>25</v>
      </c>
      <c r="F1259" t="s">
        <v>262</v>
      </c>
      <c r="G1259" t="s">
        <v>2331</v>
      </c>
      <c r="H1259" t="s">
        <v>1584</v>
      </c>
      <c r="I1259" t="s">
        <v>431</v>
      </c>
      <c r="J1259" t="s">
        <v>81</v>
      </c>
      <c r="K1259">
        <v>68</v>
      </c>
      <c r="L1259" t="s">
        <v>82</v>
      </c>
      <c r="M1259">
        <v>213</v>
      </c>
      <c r="N1259">
        <v>1</v>
      </c>
      <c r="O1259">
        <v>6381.6</v>
      </c>
      <c r="P1259" s="1">
        <v>45600.340474537035</v>
      </c>
      <c r="Q1259">
        <v>16</v>
      </c>
      <c r="R1259" t="s">
        <v>47</v>
      </c>
      <c r="S1259">
        <v>-0.95611361404161799</v>
      </c>
      <c r="T1259" t="b">
        <v>0</v>
      </c>
      <c r="U1259" t="b">
        <v>0</v>
      </c>
      <c r="V1259" t="b">
        <f t="shared" si="38"/>
        <v>1</v>
      </c>
      <c r="W1259">
        <v>0</v>
      </c>
      <c r="Y1259">
        <f t="shared" si="39"/>
        <v>0</v>
      </c>
    </row>
    <row r="1260" spans="1:25" x14ac:dyDescent="0.3">
      <c r="A1260" t="s">
        <v>2981</v>
      </c>
      <c r="B1260" t="s">
        <v>889</v>
      </c>
      <c r="C1260">
        <v>603.23</v>
      </c>
      <c r="D1260" s="1">
        <v>45162.732094907406</v>
      </c>
      <c r="E1260" t="s">
        <v>25</v>
      </c>
      <c r="F1260" t="s">
        <v>85</v>
      </c>
      <c r="G1260" t="s">
        <v>2982</v>
      </c>
      <c r="H1260" t="s">
        <v>1262</v>
      </c>
      <c r="I1260" t="s">
        <v>123</v>
      </c>
      <c r="J1260" t="s">
        <v>81</v>
      </c>
      <c r="K1260">
        <v>28</v>
      </c>
      <c r="L1260" t="s">
        <v>46</v>
      </c>
      <c r="M1260">
        <v>48</v>
      </c>
      <c r="N1260">
        <v>1</v>
      </c>
      <c r="O1260">
        <v>117.98</v>
      </c>
      <c r="P1260" s="1">
        <v>45600.339097222219</v>
      </c>
      <c r="Q1260">
        <v>17</v>
      </c>
      <c r="R1260" t="s">
        <v>141</v>
      </c>
      <c r="S1260">
        <v>1.0468921216204901</v>
      </c>
      <c r="T1260" t="b">
        <v>0</v>
      </c>
      <c r="U1260" t="b">
        <v>0</v>
      </c>
      <c r="V1260" t="b">
        <f t="shared" si="38"/>
        <v>1</v>
      </c>
      <c r="W1260">
        <v>0</v>
      </c>
      <c r="Y1260">
        <f t="shared" si="39"/>
        <v>0</v>
      </c>
    </row>
    <row r="1261" spans="1:25" x14ac:dyDescent="0.3">
      <c r="A1261" t="s">
        <v>2983</v>
      </c>
      <c r="B1261" t="s">
        <v>1306</v>
      </c>
      <c r="C1261">
        <v>54.5</v>
      </c>
      <c r="D1261" s="1">
        <v>45252.707743055558</v>
      </c>
      <c r="E1261" t="s">
        <v>57</v>
      </c>
      <c r="F1261" t="s">
        <v>256</v>
      </c>
      <c r="G1261" t="s">
        <v>2960</v>
      </c>
      <c r="H1261" t="s">
        <v>804</v>
      </c>
      <c r="I1261" t="s">
        <v>997</v>
      </c>
      <c r="J1261" t="s">
        <v>81</v>
      </c>
      <c r="K1261">
        <v>57</v>
      </c>
      <c r="L1261" t="s">
        <v>82</v>
      </c>
      <c r="M1261">
        <v>147</v>
      </c>
      <c r="N1261">
        <v>1</v>
      </c>
      <c r="O1261">
        <v>1715.22</v>
      </c>
      <c r="P1261" s="1">
        <v>45600.339201388888</v>
      </c>
      <c r="Q1261">
        <v>16</v>
      </c>
      <c r="R1261" t="s">
        <v>74</v>
      </c>
      <c r="S1261">
        <v>-0.83266623009021401</v>
      </c>
      <c r="T1261" t="b">
        <v>0</v>
      </c>
      <c r="U1261" t="b">
        <v>0</v>
      </c>
      <c r="V1261" t="b">
        <f t="shared" si="38"/>
        <v>1</v>
      </c>
      <c r="W1261">
        <v>0</v>
      </c>
      <c r="Y1261">
        <f t="shared" si="39"/>
        <v>0</v>
      </c>
    </row>
    <row r="1262" spans="1:25" x14ac:dyDescent="0.3">
      <c r="A1262" t="s">
        <v>2984</v>
      </c>
      <c r="B1262" t="s">
        <v>780</v>
      </c>
      <c r="C1262">
        <v>414.77</v>
      </c>
      <c r="D1262" s="1">
        <v>45292.734074074076</v>
      </c>
      <c r="E1262" t="s">
        <v>25</v>
      </c>
      <c r="F1262" t="s">
        <v>225</v>
      </c>
      <c r="G1262" t="s">
        <v>2132</v>
      </c>
      <c r="H1262" t="s">
        <v>247</v>
      </c>
      <c r="I1262" t="s">
        <v>253</v>
      </c>
      <c r="J1262" t="s">
        <v>45</v>
      </c>
      <c r="K1262">
        <v>29</v>
      </c>
      <c r="L1262" t="s">
        <v>31</v>
      </c>
      <c r="M1262">
        <v>274</v>
      </c>
      <c r="N1262">
        <v>1</v>
      </c>
      <c r="O1262">
        <v>5599.81</v>
      </c>
      <c r="P1262" s="1">
        <v>45600.338946759257</v>
      </c>
      <c r="Q1262">
        <v>17</v>
      </c>
      <c r="R1262" t="s">
        <v>47</v>
      </c>
      <c r="S1262">
        <v>0.401362321967842</v>
      </c>
      <c r="T1262" t="b">
        <v>0</v>
      </c>
      <c r="U1262" t="b">
        <v>0</v>
      </c>
      <c r="V1262" t="b">
        <f t="shared" si="38"/>
        <v>1</v>
      </c>
      <c r="W1262">
        <v>0</v>
      </c>
      <c r="Y1262">
        <f t="shared" si="39"/>
        <v>0</v>
      </c>
    </row>
    <row r="1263" spans="1:25" x14ac:dyDescent="0.3">
      <c r="A1263" t="s">
        <v>2985</v>
      </c>
      <c r="B1263" t="s">
        <v>1485</v>
      </c>
      <c r="C1263">
        <v>886.19</v>
      </c>
      <c r="D1263" s="1">
        <v>45159.73060185185</v>
      </c>
      <c r="E1263" t="s">
        <v>25</v>
      </c>
      <c r="F1263" t="s">
        <v>534</v>
      </c>
      <c r="G1263" t="s">
        <v>2630</v>
      </c>
      <c r="H1263" t="s">
        <v>2751</v>
      </c>
      <c r="I1263" t="s">
        <v>440</v>
      </c>
      <c r="J1263" t="s">
        <v>81</v>
      </c>
      <c r="K1263">
        <v>61</v>
      </c>
      <c r="L1263" t="s">
        <v>82</v>
      </c>
      <c r="M1263">
        <v>69</v>
      </c>
      <c r="N1263">
        <v>1</v>
      </c>
      <c r="O1263">
        <v>7904.24</v>
      </c>
      <c r="P1263" s="1">
        <v>45600.339224537034</v>
      </c>
      <c r="Q1263">
        <v>17</v>
      </c>
      <c r="R1263" t="s">
        <v>47</v>
      </c>
      <c r="S1263">
        <v>2.0161116488926698</v>
      </c>
      <c r="T1263" t="b">
        <v>0</v>
      </c>
      <c r="U1263" t="b">
        <v>0</v>
      </c>
      <c r="V1263" t="b">
        <f t="shared" si="38"/>
        <v>1</v>
      </c>
      <c r="W1263">
        <v>0</v>
      </c>
      <c r="Y1263">
        <f t="shared" si="39"/>
        <v>0</v>
      </c>
    </row>
    <row r="1264" spans="1:25" x14ac:dyDescent="0.3">
      <c r="A1264" t="s">
        <v>2986</v>
      </c>
      <c r="B1264" t="s">
        <v>1381</v>
      </c>
      <c r="C1264">
        <v>440.03</v>
      </c>
      <c r="D1264" s="1">
        <v>45259.674884259257</v>
      </c>
      <c r="E1264" t="s">
        <v>25</v>
      </c>
      <c r="F1264" t="s">
        <v>236</v>
      </c>
      <c r="G1264" t="s">
        <v>843</v>
      </c>
      <c r="H1264" t="s">
        <v>2987</v>
      </c>
      <c r="I1264" t="s">
        <v>527</v>
      </c>
      <c r="J1264" t="s">
        <v>45</v>
      </c>
      <c r="K1264">
        <v>49</v>
      </c>
      <c r="L1264" t="s">
        <v>89</v>
      </c>
      <c r="M1264">
        <v>88</v>
      </c>
      <c r="N1264">
        <v>1</v>
      </c>
      <c r="O1264">
        <v>1490.44</v>
      </c>
      <c r="P1264" s="1">
        <v>45600.340497685182</v>
      </c>
      <c r="Q1264">
        <v>16</v>
      </c>
      <c r="R1264" t="s">
        <v>74</v>
      </c>
      <c r="S1264">
        <v>0.487885099953759</v>
      </c>
      <c r="T1264" t="b">
        <v>0</v>
      </c>
      <c r="U1264" t="b">
        <v>0</v>
      </c>
      <c r="V1264" t="b">
        <f t="shared" si="38"/>
        <v>1</v>
      </c>
      <c r="W1264">
        <v>0</v>
      </c>
      <c r="Y1264">
        <f t="shared" si="39"/>
        <v>0</v>
      </c>
    </row>
    <row r="1265" spans="1:25" x14ac:dyDescent="0.3">
      <c r="A1265" t="s">
        <v>2988</v>
      </c>
      <c r="B1265" t="s">
        <v>385</v>
      </c>
      <c r="C1265">
        <v>35.46</v>
      </c>
      <c r="D1265" s="1">
        <v>45008.678113425929</v>
      </c>
      <c r="E1265" t="s">
        <v>25</v>
      </c>
      <c r="F1265" t="s">
        <v>92</v>
      </c>
      <c r="G1265" t="s">
        <v>2989</v>
      </c>
      <c r="H1265" t="s">
        <v>116</v>
      </c>
      <c r="I1265" t="s">
        <v>275</v>
      </c>
      <c r="J1265" t="s">
        <v>30</v>
      </c>
      <c r="K1265">
        <v>56</v>
      </c>
      <c r="L1265" t="s">
        <v>82</v>
      </c>
      <c r="M1265">
        <v>285</v>
      </c>
      <c r="N1265">
        <v>1</v>
      </c>
      <c r="O1265">
        <v>1532.72</v>
      </c>
      <c r="P1265" s="1">
        <v>45600.338495370372</v>
      </c>
      <c r="Q1265">
        <v>16</v>
      </c>
      <c r="R1265" t="s">
        <v>141</v>
      </c>
      <c r="S1265">
        <v>-0.89788371595133298</v>
      </c>
      <c r="T1265" t="b">
        <v>0</v>
      </c>
      <c r="U1265" t="b">
        <v>0</v>
      </c>
      <c r="V1265" t="b">
        <f t="shared" si="38"/>
        <v>1</v>
      </c>
      <c r="W1265">
        <v>0</v>
      </c>
      <c r="Y1265">
        <f t="shared" si="39"/>
        <v>0</v>
      </c>
    </row>
    <row r="1266" spans="1:25" x14ac:dyDescent="0.3">
      <c r="A1266" t="s">
        <v>2990</v>
      </c>
      <c r="B1266" t="s">
        <v>2991</v>
      </c>
      <c r="C1266">
        <v>76.39</v>
      </c>
      <c r="D1266" s="1">
        <v>44939.721909722219</v>
      </c>
      <c r="E1266" t="s">
        <v>25</v>
      </c>
      <c r="F1266" t="s">
        <v>126</v>
      </c>
      <c r="G1266" t="s">
        <v>1023</v>
      </c>
      <c r="H1266" t="s">
        <v>2627</v>
      </c>
      <c r="I1266" t="s">
        <v>73</v>
      </c>
      <c r="J1266" t="s">
        <v>81</v>
      </c>
      <c r="K1266">
        <v>18</v>
      </c>
      <c r="L1266" t="s">
        <v>46</v>
      </c>
      <c r="M1266">
        <v>219</v>
      </c>
      <c r="N1266">
        <v>1</v>
      </c>
      <c r="O1266">
        <v>5976</v>
      </c>
      <c r="P1266" s="1">
        <v>45600.340381944443</v>
      </c>
      <c r="Q1266">
        <v>17</v>
      </c>
      <c r="R1266" t="s">
        <v>54</v>
      </c>
      <c r="S1266">
        <v>-0.757686673078665</v>
      </c>
      <c r="T1266" t="b">
        <v>0</v>
      </c>
      <c r="U1266" t="b">
        <v>0</v>
      </c>
      <c r="V1266" t="b">
        <f t="shared" si="38"/>
        <v>1</v>
      </c>
      <c r="W1266">
        <v>0</v>
      </c>
      <c r="Y1266">
        <f t="shared" si="39"/>
        <v>0</v>
      </c>
    </row>
    <row r="1267" spans="1:25" x14ac:dyDescent="0.3">
      <c r="A1267" t="s">
        <v>2992</v>
      </c>
      <c r="B1267" t="s">
        <v>624</v>
      </c>
      <c r="C1267">
        <v>595.91</v>
      </c>
      <c r="D1267" s="1">
        <v>45148.777129629627</v>
      </c>
      <c r="E1267" t="s">
        <v>57</v>
      </c>
      <c r="F1267" t="s">
        <v>250</v>
      </c>
      <c r="G1267" t="s">
        <v>2518</v>
      </c>
      <c r="H1267" t="s">
        <v>1427</v>
      </c>
      <c r="I1267" t="s">
        <v>687</v>
      </c>
      <c r="J1267" t="s">
        <v>30</v>
      </c>
      <c r="K1267">
        <v>19</v>
      </c>
      <c r="L1267" t="s">
        <v>46</v>
      </c>
      <c r="M1267">
        <v>162</v>
      </c>
      <c r="N1267">
        <v>1</v>
      </c>
      <c r="O1267">
        <v>1673.76</v>
      </c>
      <c r="P1267" s="1">
        <v>45600.340520833335</v>
      </c>
      <c r="Q1267">
        <v>18</v>
      </c>
      <c r="R1267" t="s">
        <v>141</v>
      </c>
      <c r="S1267">
        <v>1.0218190125604401</v>
      </c>
      <c r="T1267" t="b">
        <v>0</v>
      </c>
      <c r="U1267" t="b">
        <v>0</v>
      </c>
      <c r="V1267" t="b">
        <f t="shared" si="38"/>
        <v>1</v>
      </c>
      <c r="W1267">
        <v>0</v>
      </c>
      <c r="Y1267">
        <f t="shared" si="39"/>
        <v>0</v>
      </c>
    </row>
    <row r="1268" spans="1:25" x14ac:dyDescent="0.3">
      <c r="A1268" t="s">
        <v>2993</v>
      </c>
      <c r="B1268" t="s">
        <v>936</v>
      </c>
      <c r="C1268">
        <v>6.03</v>
      </c>
      <c r="D1268" s="1">
        <v>45147.779456018521</v>
      </c>
      <c r="E1268" t="s">
        <v>25</v>
      </c>
      <c r="F1268" t="s">
        <v>278</v>
      </c>
      <c r="G1268" t="s">
        <v>2257</v>
      </c>
      <c r="H1268" t="s">
        <v>2994</v>
      </c>
      <c r="I1268" t="s">
        <v>88</v>
      </c>
      <c r="J1268" t="s">
        <v>81</v>
      </c>
      <c r="K1268">
        <v>76</v>
      </c>
      <c r="L1268" t="s">
        <v>82</v>
      </c>
      <c r="M1268">
        <v>70</v>
      </c>
      <c r="N1268">
        <v>1</v>
      </c>
      <c r="O1268">
        <v>3290.72</v>
      </c>
      <c r="P1268" s="1">
        <v>45600.339895833335</v>
      </c>
      <c r="Q1268">
        <v>18</v>
      </c>
      <c r="R1268" t="s">
        <v>74</v>
      </c>
      <c r="S1268">
        <v>-0.99868994540998501</v>
      </c>
      <c r="T1268" t="b">
        <v>0</v>
      </c>
      <c r="U1268" t="b">
        <v>0</v>
      </c>
      <c r="V1268" t="b">
        <f t="shared" si="38"/>
        <v>1</v>
      </c>
      <c r="W1268">
        <v>0</v>
      </c>
      <c r="Y1268">
        <f t="shared" si="39"/>
        <v>0</v>
      </c>
    </row>
    <row r="1269" spans="1:25" x14ac:dyDescent="0.3">
      <c r="A1269" t="s">
        <v>2995</v>
      </c>
      <c r="B1269" t="s">
        <v>1022</v>
      </c>
      <c r="C1269">
        <v>249.34</v>
      </c>
      <c r="D1269" s="1">
        <v>45153.723460648151</v>
      </c>
      <c r="E1269" t="s">
        <v>25</v>
      </c>
      <c r="F1269" t="s">
        <v>262</v>
      </c>
      <c r="G1269" t="s">
        <v>2042</v>
      </c>
      <c r="H1269" t="s">
        <v>407</v>
      </c>
      <c r="I1269" t="s">
        <v>782</v>
      </c>
      <c r="J1269" t="s">
        <v>30</v>
      </c>
      <c r="K1269">
        <v>26</v>
      </c>
      <c r="L1269" t="s">
        <v>89</v>
      </c>
      <c r="M1269">
        <v>197</v>
      </c>
      <c r="N1269">
        <v>1</v>
      </c>
      <c r="O1269">
        <v>3030.97</v>
      </c>
      <c r="P1269" s="1">
        <v>45600.338854166665</v>
      </c>
      <c r="Q1269">
        <v>17</v>
      </c>
      <c r="R1269" t="s">
        <v>32</v>
      </c>
      <c r="S1269">
        <v>-0.16528309221308901</v>
      </c>
      <c r="T1269" t="b">
        <v>0</v>
      </c>
      <c r="U1269" t="b">
        <v>0</v>
      </c>
      <c r="V1269" t="b">
        <f t="shared" si="38"/>
        <v>1</v>
      </c>
      <c r="W1269">
        <v>0</v>
      </c>
      <c r="Y1269">
        <f t="shared" si="39"/>
        <v>0</v>
      </c>
    </row>
    <row r="1270" spans="1:25" x14ac:dyDescent="0.3">
      <c r="A1270" t="s">
        <v>2996</v>
      </c>
      <c r="B1270" t="s">
        <v>297</v>
      </c>
      <c r="C1270">
        <v>421.52</v>
      </c>
      <c r="D1270" s="1">
        <v>45153.732731481483</v>
      </c>
      <c r="E1270" t="s">
        <v>25</v>
      </c>
      <c r="F1270" t="s">
        <v>236</v>
      </c>
      <c r="G1270" t="s">
        <v>2474</v>
      </c>
      <c r="H1270" t="s">
        <v>2997</v>
      </c>
      <c r="I1270" t="s">
        <v>344</v>
      </c>
      <c r="J1270" t="s">
        <v>81</v>
      </c>
      <c r="K1270">
        <v>20</v>
      </c>
      <c r="L1270" t="s">
        <v>46</v>
      </c>
      <c r="M1270">
        <v>67</v>
      </c>
      <c r="N1270">
        <v>1</v>
      </c>
      <c r="O1270">
        <v>369.86</v>
      </c>
      <c r="P1270" s="1">
        <v>45600.340520833335</v>
      </c>
      <c r="Q1270">
        <v>17</v>
      </c>
      <c r="R1270" t="s">
        <v>32</v>
      </c>
      <c r="S1270">
        <v>0.42448301679780798</v>
      </c>
      <c r="T1270" t="b">
        <v>0</v>
      </c>
      <c r="U1270" t="b">
        <v>0</v>
      </c>
      <c r="V1270" t="b">
        <f t="shared" si="38"/>
        <v>1</v>
      </c>
      <c r="W1270">
        <v>0</v>
      </c>
      <c r="Y1270">
        <f t="shared" si="39"/>
        <v>0</v>
      </c>
    </row>
    <row r="1271" spans="1:25" x14ac:dyDescent="0.3">
      <c r="A1271" t="s">
        <v>2998</v>
      </c>
      <c r="B1271" t="s">
        <v>2999</v>
      </c>
      <c r="C1271">
        <v>189.77</v>
      </c>
      <c r="D1271" s="1">
        <v>44984.672685185185</v>
      </c>
      <c r="E1271" t="s">
        <v>25</v>
      </c>
      <c r="F1271" t="s">
        <v>50</v>
      </c>
      <c r="G1271" t="s">
        <v>2783</v>
      </c>
      <c r="H1271" t="s">
        <v>2540</v>
      </c>
      <c r="I1271" t="s">
        <v>1362</v>
      </c>
      <c r="J1271" t="s">
        <v>81</v>
      </c>
      <c r="K1271">
        <v>58</v>
      </c>
      <c r="L1271" t="s">
        <v>89</v>
      </c>
      <c r="M1271">
        <v>24</v>
      </c>
      <c r="N1271">
        <v>1</v>
      </c>
      <c r="O1271">
        <v>6570.36</v>
      </c>
      <c r="P1271" s="1">
        <v>45600.341296296298</v>
      </c>
      <c r="Q1271">
        <v>16</v>
      </c>
      <c r="R1271" t="s">
        <v>47</v>
      </c>
      <c r="S1271">
        <v>-0.36932750569769401</v>
      </c>
      <c r="T1271" t="b">
        <v>0</v>
      </c>
      <c r="U1271" t="b">
        <v>0</v>
      </c>
      <c r="V1271" t="b">
        <f t="shared" si="38"/>
        <v>1</v>
      </c>
      <c r="W1271">
        <v>0</v>
      </c>
      <c r="Y1271">
        <f t="shared" si="39"/>
        <v>0</v>
      </c>
    </row>
    <row r="1272" spans="1:25" x14ac:dyDescent="0.3">
      <c r="A1272" t="s">
        <v>3000</v>
      </c>
      <c r="B1272" t="s">
        <v>1915</v>
      </c>
      <c r="C1272">
        <v>73.19</v>
      </c>
      <c r="D1272" s="1">
        <v>45217.68072916667</v>
      </c>
      <c r="E1272" t="s">
        <v>25</v>
      </c>
      <c r="F1272" t="s">
        <v>58</v>
      </c>
      <c r="G1272" t="s">
        <v>3001</v>
      </c>
      <c r="H1272" t="s">
        <v>407</v>
      </c>
      <c r="I1272" t="s">
        <v>117</v>
      </c>
      <c r="J1272" t="s">
        <v>81</v>
      </c>
      <c r="K1272">
        <v>76</v>
      </c>
      <c r="L1272" t="s">
        <v>82</v>
      </c>
      <c r="M1272">
        <v>213</v>
      </c>
      <c r="N1272">
        <v>1</v>
      </c>
      <c r="O1272">
        <v>2264.98</v>
      </c>
      <c r="P1272" s="1">
        <v>45600.340578703705</v>
      </c>
      <c r="Q1272">
        <v>16</v>
      </c>
      <c r="R1272" t="s">
        <v>74</v>
      </c>
      <c r="S1272">
        <v>-0.76864759507212999</v>
      </c>
      <c r="T1272" t="b">
        <v>0</v>
      </c>
      <c r="U1272" t="b">
        <v>0</v>
      </c>
      <c r="V1272" t="b">
        <f t="shared" si="38"/>
        <v>1</v>
      </c>
      <c r="W1272">
        <v>0</v>
      </c>
      <c r="Y1272">
        <f t="shared" si="39"/>
        <v>0</v>
      </c>
    </row>
    <row r="1273" spans="1:25" x14ac:dyDescent="0.3">
      <c r="A1273" t="s">
        <v>3002</v>
      </c>
      <c r="B1273" t="s">
        <v>1541</v>
      </c>
      <c r="C1273">
        <v>188.13</v>
      </c>
      <c r="D1273" s="1">
        <v>45079.758668981478</v>
      </c>
      <c r="E1273" t="s">
        <v>57</v>
      </c>
      <c r="F1273" t="s">
        <v>405</v>
      </c>
      <c r="G1273" t="s">
        <v>3003</v>
      </c>
      <c r="H1273" t="s">
        <v>2404</v>
      </c>
      <c r="I1273" t="s">
        <v>61</v>
      </c>
      <c r="J1273" t="s">
        <v>45</v>
      </c>
      <c r="K1273">
        <v>75</v>
      </c>
      <c r="L1273" t="s">
        <v>82</v>
      </c>
      <c r="M1273">
        <v>198</v>
      </c>
      <c r="N1273">
        <v>1</v>
      </c>
      <c r="O1273">
        <v>5029.87</v>
      </c>
      <c r="P1273" s="1">
        <v>45600.340370370373</v>
      </c>
      <c r="Q1273">
        <v>18</v>
      </c>
      <c r="R1273" t="s">
        <v>54</v>
      </c>
      <c r="S1273">
        <v>-0.37494497821934503</v>
      </c>
      <c r="T1273" t="b">
        <v>0</v>
      </c>
      <c r="U1273" t="b">
        <v>0</v>
      </c>
      <c r="V1273" t="b">
        <f t="shared" si="38"/>
        <v>1</v>
      </c>
      <c r="W1273">
        <v>0</v>
      </c>
      <c r="Y1273">
        <f t="shared" si="39"/>
        <v>0</v>
      </c>
    </row>
    <row r="1274" spans="1:25" x14ac:dyDescent="0.3">
      <c r="A1274" t="s">
        <v>3004</v>
      </c>
      <c r="B1274" t="s">
        <v>1404</v>
      </c>
      <c r="C1274">
        <v>30.52</v>
      </c>
      <c r="D1274" s="1">
        <v>45065.72152777778</v>
      </c>
      <c r="E1274" t="s">
        <v>25</v>
      </c>
      <c r="F1274" t="s">
        <v>405</v>
      </c>
      <c r="G1274" t="s">
        <v>485</v>
      </c>
      <c r="H1274" t="s">
        <v>2074</v>
      </c>
      <c r="I1274" t="s">
        <v>275</v>
      </c>
      <c r="J1274" t="s">
        <v>81</v>
      </c>
      <c r="K1274">
        <v>62</v>
      </c>
      <c r="L1274" t="s">
        <v>31</v>
      </c>
      <c r="M1274">
        <v>122</v>
      </c>
      <c r="N1274">
        <v>1</v>
      </c>
      <c r="O1274">
        <v>12327.74</v>
      </c>
      <c r="P1274" s="1">
        <v>45600.338402777779</v>
      </c>
      <c r="Q1274">
        <v>17</v>
      </c>
      <c r="R1274" t="s">
        <v>54</v>
      </c>
      <c r="S1274">
        <v>-0.914804639278746</v>
      </c>
      <c r="T1274" t="b">
        <v>0</v>
      </c>
      <c r="U1274" t="b">
        <v>0</v>
      </c>
      <c r="V1274" t="b">
        <f t="shared" si="38"/>
        <v>1</v>
      </c>
      <c r="W1274">
        <v>0</v>
      </c>
      <c r="Y1274">
        <f t="shared" si="39"/>
        <v>0</v>
      </c>
    </row>
    <row r="1275" spans="1:25" x14ac:dyDescent="0.3">
      <c r="A1275" t="s">
        <v>3005</v>
      </c>
      <c r="B1275" t="s">
        <v>1196</v>
      </c>
      <c r="C1275">
        <v>1235.69</v>
      </c>
      <c r="D1275" s="1">
        <v>45070.676782407405</v>
      </c>
      <c r="E1275" t="s">
        <v>57</v>
      </c>
      <c r="F1275" t="s">
        <v>236</v>
      </c>
      <c r="G1275" t="s">
        <v>1693</v>
      </c>
      <c r="H1275" t="s">
        <v>600</v>
      </c>
      <c r="I1275" t="s">
        <v>134</v>
      </c>
      <c r="J1275" t="s">
        <v>81</v>
      </c>
      <c r="K1275">
        <v>20</v>
      </c>
      <c r="L1275" t="s">
        <v>46</v>
      </c>
      <c r="M1275">
        <v>118</v>
      </c>
      <c r="N1275">
        <v>1</v>
      </c>
      <c r="O1275">
        <v>420.25</v>
      </c>
      <c r="P1275" s="1">
        <v>45600.339837962965</v>
      </c>
      <c r="Q1275">
        <v>16</v>
      </c>
      <c r="R1275" t="s">
        <v>74</v>
      </c>
      <c r="S1275">
        <v>3.2132498478664702</v>
      </c>
      <c r="T1275" t="b">
        <v>1</v>
      </c>
      <c r="U1275" t="b">
        <v>0</v>
      </c>
      <c r="V1275" t="b">
        <f t="shared" si="38"/>
        <v>1</v>
      </c>
      <c r="W1275">
        <v>1</v>
      </c>
      <c r="Y1275">
        <f t="shared" si="39"/>
        <v>1</v>
      </c>
    </row>
    <row r="1276" spans="1:25" x14ac:dyDescent="0.3">
      <c r="A1276" t="s">
        <v>3006</v>
      </c>
      <c r="B1276" t="s">
        <v>1630</v>
      </c>
      <c r="C1276">
        <v>1159.3900000000001</v>
      </c>
      <c r="D1276" s="1">
        <v>45211.687372685185</v>
      </c>
      <c r="E1276" t="s">
        <v>25</v>
      </c>
      <c r="F1276" t="s">
        <v>64</v>
      </c>
      <c r="G1276" t="s">
        <v>2516</v>
      </c>
      <c r="H1276" t="s">
        <v>270</v>
      </c>
      <c r="I1276" t="s">
        <v>61</v>
      </c>
      <c r="J1276" t="s">
        <v>45</v>
      </c>
      <c r="K1276">
        <v>41</v>
      </c>
      <c r="L1276" t="s">
        <v>31</v>
      </c>
      <c r="M1276">
        <v>150</v>
      </c>
      <c r="N1276">
        <v>1</v>
      </c>
      <c r="O1276">
        <v>6499.53</v>
      </c>
      <c r="P1276" s="1">
        <v>45600.337812500002</v>
      </c>
      <c r="Q1276">
        <v>16</v>
      </c>
      <c r="R1276" t="s">
        <v>141</v>
      </c>
      <c r="S1276">
        <v>2.9519003640847798</v>
      </c>
      <c r="T1276" t="b">
        <v>1</v>
      </c>
      <c r="U1276" t="b">
        <v>0</v>
      </c>
      <c r="V1276" t="b">
        <f t="shared" si="38"/>
        <v>1</v>
      </c>
      <c r="W1276">
        <v>1</v>
      </c>
      <c r="Y1276">
        <f t="shared" si="39"/>
        <v>1</v>
      </c>
    </row>
    <row r="1277" spans="1:25" x14ac:dyDescent="0.3">
      <c r="A1277" t="s">
        <v>3007</v>
      </c>
      <c r="B1277" t="s">
        <v>3008</v>
      </c>
      <c r="C1277">
        <v>170.24</v>
      </c>
      <c r="D1277" s="1">
        <v>45082.683472222219</v>
      </c>
      <c r="E1277" t="s">
        <v>25</v>
      </c>
      <c r="F1277" t="s">
        <v>225</v>
      </c>
      <c r="G1277" t="s">
        <v>811</v>
      </c>
      <c r="H1277" t="s">
        <v>2286</v>
      </c>
      <c r="I1277" t="s">
        <v>1358</v>
      </c>
      <c r="J1277" t="s">
        <v>81</v>
      </c>
      <c r="K1277">
        <v>62</v>
      </c>
      <c r="L1277" t="s">
        <v>82</v>
      </c>
      <c r="M1277">
        <v>133</v>
      </c>
      <c r="N1277">
        <v>1</v>
      </c>
      <c r="O1277">
        <v>5172.99</v>
      </c>
      <c r="P1277" s="1">
        <v>45600.338935185187</v>
      </c>
      <c r="Q1277">
        <v>16</v>
      </c>
      <c r="R1277" t="s">
        <v>47</v>
      </c>
      <c r="S1277">
        <v>-0.43622338273906203</v>
      </c>
      <c r="T1277" t="b">
        <v>0</v>
      </c>
      <c r="U1277" t="b">
        <v>0</v>
      </c>
      <c r="V1277" t="b">
        <f t="shared" si="38"/>
        <v>1</v>
      </c>
      <c r="W1277">
        <v>0</v>
      </c>
      <c r="Y1277">
        <f t="shared" si="39"/>
        <v>0</v>
      </c>
    </row>
    <row r="1278" spans="1:25" x14ac:dyDescent="0.3">
      <c r="A1278" t="s">
        <v>3009</v>
      </c>
      <c r="B1278" t="s">
        <v>978</v>
      </c>
      <c r="C1278">
        <v>56.62</v>
      </c>
      <c r="D1278" s="1">
        <v>44984.749722222223</v>
      </c>
      <c r="E1278" t="s">
        <v>25</v>
      </c>
      <c r="F1278" t="s">
        <v>131</v>
      </c>
      <c r="G1278" t="s">
        <v>3010</v>
      </c>
      <c r="H1278" t="s">
        <v>2622</v>
      </c>
      <c r="I1278" t="s">
        <v>866</v>
      </c>
      <c r="J1278" t="s">
        <v>81</v>
      </c>
      <c r="K1278">
        <v>54</v>
      </c>
      <c r="L1278" t="s">
        <v>31</v>
      </c>
      <c r="M1278">
        <v>121</v>
      </c>
      <c r="N1278">
        <v>1</v>
      </c>
      <c r="O1278">
        <v>8981.1</v>
      </c>
      <c r="P1278" s="1">
        <v>45600.339409722219</v>
      </c>
      <c r="Q1278">
        <v>17</v>
      </c>
      <c r="R1278" t="s">
        <v>47</v>
      </c>
      <c r="S1278">
        <v>-0.82540461926954301</v>
      </c>
      <c r="T1278" t="b">
        <v>0</v>
      </c>
      <c r="U1278" t="b">
        <v>0</v>
      </c>
      <c r="V1278" t="b">
        <f t="shared" si="38"/>
        <v>1</v>
      </c>
      <c r="W1278">
        <v>0</v>
      </c>
      <c r="Y1278">
        <f t="shared" si="39"/>
        <v>0</v>
      </c>
    </row>
    <row r="1279" spans="1:25" x14ac:dyDescent="0.3">
      <c r="A1279" t="s">
        <v>3011</v>
      </c>
      <c r="B1279" t="s">
        <v>1713</v>
      </c>
      <c r="C1279">
        <v>53.14</v>
      </c>
      <c r="D1279" s="1">
        <v>45037.722175925926</v>
      </c>
      <c r="E1279" t="s">
        <v>25</v>
      </c>
      <c r="F1279" t="s">
        <v>159</v>
      </c>
      <c r="G1279" t="s">
        <v>1937</v>
      </c>
      <c r="H1279" t="s">
        <v>3012</v>
      </c>
      <c r="I1279" t="s">
        <v>632</v>
      </c>
      <c r="J1279" t="s">
        <v>30</v>
      </c>
      <c r="K1279">
        <v>34</v>
      </c>
      <c r="L1279" t="s">
        <v>31</v>
      </c>
      <c r="M1279">
        <v>70</v>
      </c>
      <c r="N1279">
        <v>1</v>
      </c>
      <c r="O1279">
        <v>7915</v>
      </c>
      <c r="P1279" s="1">
        <v>45600.338368055556</v>
      </c>
      <c r="Q1279">
        <v>17</v>
      </c>
      <c r="R1279" t="s">
        <v>54</v>
      </c>
      <c r="S1279">
        <v>-0.83732462193743695</v>
      </c>
      <c r="T1279" t="b">
        <v>0</v>
      </c>
      <c r="U1279" t="b">
        <v>0</v>
      </c>
      <c r="V1279" t="b">
        <f t="shared" si="38"/>
        <v>1</v>
      </c>
      <c r="W1279">
        <v>0</v>
      </c>
      <c r="Y1279">
        <f t="shared" si="39"/>
        <v>0</v>
      </c>
    </row>
    <row r="1280" spans="1:25" x14ac:dyDescent="0.3">
      <c r="A1280" t="s">
        <v>3013</v>
      </c>
      <c r="B1280" t="s">
        <v>2146</v>
      </c>
      <c r="C1280">
        <v>587.23</v>
      </c>
      <c r="D1280" s="1">
        <v>45138.746157407404</v>
      </c>
      <c r="E1280" t="s">
        <v>25</v>
      </c>
      <c r="F1280" t="s">
        <v>309</v>
      </c>
      <c r="G1280" t="s">
        <v>2786</v>
      </c>
      <c r="H1280" t="s">
        <v>1111</v>
      </c>
      <c r="I1280" t="s">
        <v>95</v>
      </c>
      <c r="J1280" t="s">
        <v>45</v>
      </c>
      <c r="K1280">
        <v>27</v>
      </c>
      <c r="L1280" t="s">
        <v>46</v>
      </c>
      <c r="M1280">
        <v>144</v>
      </c>
      <c r="N1280">
        <v>1</v>
      </c>
      <c r="O1280">
        <v>500.84</v>
      </c>
      <c r="P1280" s="1">
        <v>45600.339826388888</v>
      </c>
      <c r="Q1280">
        <v>17</v>
      </c>
      <c r="R1280" t="s">
        <v>47</v>
      </c>
      <c r="S1280">
        <v>0.992087511653168</v>
      </c>
      <c r="T1280" t="b">
        <v>0</v>
      </c>
      <c r="U1280" t="b">
        <v>0</v>
      </c>
      <c r="V1280" t="b">
        <f t="shared" si="38"/>
        <v>1</v>
      </c>
      <c r="W1280">
        <v>0</v>
      </c>
      <c r="Y1280">
        <f t="shared" si="39"/>
        <v>0</v>
      </c>
    </row>
    <row r="1281" spans="1:25" x14ac:dyDescent="0.3">
      <c r="A1281" t="s">
        <v>3014</v>
      </c>
      <c r="B1281" t="s">
        <v>465</v>
      </c>
      <c r="C1281">
        <v>146.15</v>
      </c>
      <c r="D1281" s="1">
        <v>44932.744571759256</v>
      </c>
      <c r="E1281" t="s">
        <v>25</v>
      </c>
      <c r="F1281" t="s">
        <v>438</v>
      </c>
      <c r="G1281" t="s">
        <v>1161</v>
      </c>
      <c r="H1281" t="s">
        <v>1031</v>
      </c>
      <c r="I1281" t="s">
        <v>647</v>
      </c>
      <c r="J1281" t="s">
        <v>81</v>
      </c>
      <c r="K1281">
        <v>43</v>
      </c>
      <c r="L1281" t="s">
        <v>31</v>
      </c>
      <c r="M1281">
        <v>75</v>
      </c>
      <c r="N1281">
        <v>1</v>
      </c>
      <c r="O1281">
        <v>13784.4</v>
      </c>
      <c r="P1281" s="1">
        <v>45600.338182870371</v>
      </c>
      <c r="Q1281">
        <v>17</v>
      </c>
      <c r="R1281" t="s">
        <v>54</v>
      </c>
      <c r="S1281">
        <v>-0.51873857362111897</v>
      </c>
      <c r="T1281" t="b">
        <v>0</v>
      </c>
      <c r="U1281" t="b">
        <v>0</v>
      </c>
      <c r="V1281" t="b">
        <f t="shared" si="38"/>
        <v>1</v>
      </c>
      <c r="W1281">
        <v>0</v>
      </c>
      <c r="Y1281">
        <f t="shared" si="39"/>
        <v>0</v>
      </c>
    </row>
    <row r="1282" spans="1:25" x14ac:dyDescent="0.3">
      <c r="A1282" t="s">
        <v>3015</v>
      </c>
      <c r="B1282" t="s">
        <v>1189</v>
      </c>
      <c r="C1282">
        <v>21.27</v>
      </c>
      <c r="D1282" s="1">
        <v>45131.709247685183</v>
      </c>
      <c r="E1282" t="s">
        <v>57</v>
      </c>
      <c r="F1282" t="s">
        <v>77</v>
      </c>
      <c r="G1282" t="s">
        <v>1523</v>
      </c>
      <c r="H1282" t="s">
        <v>1865</v>
      </c>
      <c r="I1282" t="s">
        <v>285</v>
      </c>
      <c r="J1282" t="s">
        <v>45</v>
      </c>
      <c r="K1282">
        <v>62</v>
      </c>
      <c r="L1282" t="s">
        <v>82</v>
      </c>
      <c r="M1282">
        <v>114</v>
      </c>
      <c r="N1282">
        <v>1</v>
      </c>
      <c r="O1282">
        <v>7392.79</v>
      </c>
      <c r="P1282" s="1">
        <v>45600.340208333335</v>
      </c>
      <c r="Q1282">
        <v>17</v>
      </c>
      <c r="R1282" t="s">
        <v>47</v>
      </c>
      <c r="S1282">
        <v>-0.94648855441610602</v>
      </c>
      <c r="T1282" t="b">
        <v>0</v>
      </c>
      <c r="U1282" t="b">
        <v>0</v>
      </c>
      <c r="V1282" t="b">
        <f t="shared" si="38"/>
        <v>1</v>
      </c>
      <c r="W1282">
        <v>0</v>
      </c>
      <c r="Y1282">
        <f t="shared" si="39"/>
        <v>0</v>
      </c>
    </row>
    <row r="1283" spans="1:25" x14ac:dyDescent="0.3">
      <c r="A1283" t="s">
        <v>3016</v>
      </c>
      <c r="B1283" t="s">
        <v>24</v>
      </c>
      <c r="C1283">
        <v>1397.59</v>
      </c>
      <c r="D1283" s="1">
        <v>45243.727916666663</v>
      </c>
      <c r="E1283" t="s">
        <v>57</v>
      </c>
      <c r="F1283" t="s">
        <v>131</v>
      </c>
      <c r="G1283" t="s">
        <v>2119</v>
      </c>
      <c r="H1283" t="s">
        <v>3017</v>
      </c>
      <c r="I1283" t="s">
        <v>80</v>
      </c>
      <c r="J1283" t="s">
        <v>30</v>
      </c>
      <c r="K1283">
        <v>26</v>
      </c>
      <c r="L1283" t="s">
        <v>46</v>
      </c>
      <c r="M1283">
        <v>144</v>
      </c>
      <c r="N1283">
        <v>1</v>
      </c>
      <c r="O1283">
        <v>1134.79</v>
      </c>
      <c r="P1283" s="1">
        <v>45600.337939814817</v>
      </c>
      <c r="Q1283">
        <v>17</v>
      </c>
      <c r="R1283" t="s">
        <v>47</v>
      </c>
      <c r="S1283">
        <v>3.7678039949733599</v>
      </c>
      <c r="T1283" t="b">
        <v>1</v>
      </c>
      <c r="U1283" t="b">
        <v>0</v>
      </c>
      <c r="V1283" t="b">
        <f t="shared" ref="V1283:V1346" si="40">ISLOGICAL(T1283)</f>
        <v>1</v>
      </c>
      <c r="W1283">
        <v>1</v>
      </c>
      <c r="Y1283">
        <f t="shared" ref="Y1283:Y1346" si="41">--T1283</f>
        <v>1</v>
      </c>
    </row>
    <row r="1284" spans="1:25" x14ac:dyDescent="0.3">
      <c r="A1284" t="s">
        <v>3018</v>
      </c>
      <c r="B1284" t="s">
        <v>3019</v>
      </c>
      <c r="C1284">
        <v>76.02</v>
      </c>
      <c r="D1284" s="1">
        <v>45119.707141203704</v>
      </c>
      <c r="E1284" t="s">
        <v>57</v>
      </c>
      <c r="F1284" t="s">
        <v>98</v>
      </c>
      <c r="G1284" t="s">
        <v>2370</v>
      </c>
      <c r="H1284" t="s">
        <v>3020</v>
      </c>
      <c r="I1284" t="s">
        <v>356</v>
      </c>
      <c r="J1284" t="s">
        <v>45</v>
      </c>
      <c r="K1284">
        <v>34</v>
      </c>
      <c r="L1284" t="s">
        <v>31</v>
      </c>
      <c r="M1284">
        <v>189</v>
      </c>
      <c r="N1284">
        <v>1</v>
      </c>
      <c r="O1284">
        <v>14765.41</v>
      </c>
      <c r="P1284" s="1">
        <v>45600.341562499998</v>
      </c>
      <c r="Q1284">
        <v>16</v>
      </c>
      <c r="R1284" t="s">
        <v>74</v>
      </c>
      <c r="S1284">
        <v>-0.75895402968415904</v>
      </c>
      <c r="T1284" t="b">
        <v>0</v>
      </c>
      <c r="U1284" t="b">
        <v>0</v>
      </c>
      <c r="V1284" t="b">
        <f t="shared" si="40"/>
        <v>1</v>
      </c>
      <c r="W1284">
        <v>0</v>
      </c>
      <c r="Y1284">
        <f t="shared" si="41"/>
        <v>0</v>
      </c>
    </row>
    <row r="1285" spans="1:25" x14ac:dyDescent="0.3">
      <c r="A1285" t="s">
        <v>3021</v>
      </c>
      <c r="B1285" t="s">
        <v>1398</v>
      </c>
      <c r="C1285">
        <v>170.19</v>
      </c>
      <c r="D1285" s="1">
        <v>45114.73678240741</v>
      </c>
      <c r="E1285" t="s">
        <v>57</v>
      </c>
      <c r="F1285" t="s">
        <v>153</v>
      </c>
      <c r="G1285" t="s">
        <v>2929</v>
      </c>
      <c r="H1285" t="s">
        <v>764</v>
      </c>
      <c r="I1285" t="s">
        <v>556</v>
      </c>
      <c r="J1285" t="s">
        <v>81</v>
      </c>
      <c r="K1285">
        <v>27</v>
      </c>
      <c r="L1285" t="s">
        <v>46</v>
      </c>
      <c r="M1285">
        <v>156</v>
      </c>
      <c r="N1285">
        <v>5</v>
      </c>
      <c r="O1285">
        <v>745.87</v>
      </c>
      <c r="P1285" s="1">
        <v>45600.341851851852</v>
      </c>
      <c r="Q1285">
        <v>17</v>
      </c>
      <c r="R1285" t="s">
        <v>54</v>
      </c>
      <c r="S1285">
        <v>-0.43639464714520998</v>
      </c>
      <c r="T1285" t="b">
        <v>0</v>
      </c>
      <c r="U1285" t="b">
        <v>1</v>
      </c>
      <c r="V1285" t="b">
        <f t="shared" si="40"/>
        <v>1</v>
      </c>
      <c r="W1285">
        <v>1</v>
      </c>
      <c r="Y1285">
        <f t="shared" si="41"/>
        <v>0</v>
      </c>
    </row>
    <row r="1286" spans="1:25" x14ac:dyDescent="0.3">
      <c r="A1286" t="s">
        <v>3022</v>
      </c>
      <c r="B1286" t="s">
        <v>1749</v>
      </c>
      <c r="C1286">
        <v>155.51</v>
      </c>
      <c r="D1286" s="1">
        <v>45159.785486111112</v>
      </c>
      <c r="E1286" t="s">
        <v>25</v>
      </c>
      <c r="F1286" t="s">
        <v>50</v>
      </c>
      <c r="G1286" t="s">
        <v>1442</v>
      </c>
      <c r="H1286" t="s">
        <v>1480</v>
      </c>
      <c r="I1286" t="s">
        <v>440</v>
      </c>
      <c r="J1286" t="s">
        <v>30</v>
      </c>
      <c r="K1286">
        <v>68</v>
      </c>
      <c r="L1286" t="s">
        <v>31</v>
      </c>
      <c r="M1286">
        <v>15</v>
      </c>
      <c r="N1286">
        <v>1</v>
      </c>
      <c r="O1286">
        <v>5360.19</v>
      </c>
      <c r="P1286" s="1">
        <v>45600.339155092595</v>
      </c>
      <c r="Q1286">
        <v>18</v>
      </c>
      <c r="R1286" t="s">
        <v>47</v>
      </c>
      <c r="S1286">
        <v>-0.486677876790233</v>
      </c>
      <c r="T1286" t="b">
        <v>0</v>
      </c>
      <c r="U1286" t="b">
        <v>0</v>
      </c>
      <c r="V1286" t="b">
        <f t="shared" si="40"/>
        <v>1</v>
      </c>
      <c r="W1286">
        <v>0</v>
      </c>
      <c r="Y1286">
        <f t="shared" si="41"/>
        <v>0</v>
      </c>
    </row>
    <row r="1287" spans="1:25" x14ac:dyDescent="0.3">
      <c r="A1287" t="s">
        <v>3023</v>
      </c>
      <c r="B1287" t="s">
        <v>2310</v>
      </c>
      <c r="C1287">
        <v>135.15</v>
      </c>
      <c r="D1287" s="1">
        <v>45005.717465277776</v>
      </c>
      <c r="E1287" t="s">
        <v>25</v>
      </c>
      <c r="F1287" t="s">
        <v>534</v>
      </c>
      <c r="G1287" t="s">
        <v>3024</v>
      </c>
      <c r="H1287" t="s">
        <v>274</v>
      </c>
      <c r="I1287" t="s">
        <v>753</v>
      </c>
      <c r="J1287" t="s">
        <v>45</v>
      </c>
      <c r="K1287">
        <v>72</v>
      </c>
      <c r="L1287" t="s">
        <v>82</v>
      </c>
      <c r="M1287">
        <v>50</v>
      </c>
      <c r="N1287">
        <v>1</v>
      </c>
      <c r="O1287">
        <v>5878.14</v>
      </c>
      <c r="P1287" s="1">
        <v>45600.34070601852</v>
      </c>
      <c r="Q1287">
        <v>17</v>
      </c>
      <c r="R1287" t="s">
        <v>47</v>
      </c>
      <c r="S1287">
        <v>-0.55641674297365595</v>
      </c>
      <c r="T1287" t="b">
        <v>0</v>
      </c>
      <c r="U1287" t="b">
        <v>0</v>
      </c>
      <c r="V1287" t="b">
        <f t="shared" si="40"/>
        <v>1</v>
      </c>
      <c r="W1287">
        <v>0</v>
      </c>
      <c r="Y1287">
        <f t="shared" si="41"/>
        <v>0</v>
      </c>
    </row>
    <row r="1288" spans="1:25" x14ac:dyDescent="0.3">
      <c r="A1288" t="s">
        <v>3025</v>
      </c>
      <c r="B1288" t="s">
        <v>814</v>
      </c>
      <c r="C1288">
        <v>39.479999999999997</v>
      </c>
      <c r="D1288" s="1">
        <v>45072.699895833335</v>
      </c>
      <c r="E1288" t="s">
        <v>25</v>
      </c>
      <c r="F1288" t="s">
        <v>309</v>
      </c>
      <c r="G1288" t="s">
        <v>378</v>
      </c>
      <c r="H1288" t="s">
        <v>198</v>
      </c>
      <c r="I1288" t="s">
        <v>123</v>
      </c>
      <c r="J1288" t="s">
        <v>30</v>
      </c>
      <c r="K1288">
        <v>56</v>
      </c>
      <c r="L1288" t="s">
        <v>82</v>
      </c>
      <c r="M1288">
        <v>38</v>
      </c>
      <c r="N1288">
        <v>1</v>
      </c>
      <c r="O1288">
        <v>5889.51</v>
      </c>
      <c r="P1288" s="1">
        <v>45600.341550925928</v>
      </c>
      <c r="Q1288">
        <v>16</v>
      </c>
      <c r="R1288" t="s">
        <v>54</v>
      </c>
      <c r="S1288">
        <v>-0.88411405769704199</v>
      </c>
      <c r="T1288" t="b">
        <v>0</v>
      </c>
      <c r="U1288" t="b">
        <v>0</v>
      </c>
      <c r="V1288" t="b">
        <f t="shared" si="40"/>
        <v>1</v>
      </c>
      <c r="W1288">
        <v>0</v>
      </c>
      <c r="Y1288">
        <f t="shared" si="41"/>
        <v>0</v>
      </c>
    </row>
    <row r="1289" spans="1:25" x14ac:dyDescent="0.3">
      <c r="A1289" t="s">
        <v>3026</v>
      </c>
      <c r="B1289" t="s">
        <v>1340</v>
      </c>
      <c r="C1289">
        <v>451.68</v>
      </c>
      <c r="D1289" s="1">
        <v>45034.788564814815</v>
      </c>
      <c r="E1289" t="s">
        <v>25</v>
      </c>
      <c r="F1289" t="s">
        <v>35</v>
      </c>
      <c r="G1289" t="s">
        <v>1392</v>
      </c>
      <c r="H1289" t="s">
        <v>712</v>
      </c>
      <c r="I1289" t="s">
        <v>844</v>
      </c>
      <c r="J1289" t="s">
        <v>45</v>
      </c>
      <c r="K1289">
        <v>33</v>
      </c>
      <c r="L1289" t="s">
        <v>89</v>
      </c>
      <c r="M1289">
        <v>15</v>
      </c>
      <c r="N1289">
        <v>1</v>
      </c>
      <c r="O1289">
        <v>4381.54</v>
      </c>
      <c r="P1289" s="1">
        <v>45600.340173611112</v>
      </c>
      <c r="Q1289">
        <v>18</v>
      </c>
      <c r="R1289" t="s">
        <v>32</v>
      </c>
      <c r="S1289">
        <v>0.52778970658621904</v>
      </c>
      <c r="T1289" t="b">
        <v>0</v>
      </c>
      <c r="U1289" t="b">
        <v>0</v>
      </c>
      <c r="V1289" t="b">
        <f t="shared" si="40"/>
        <v>1</v>
      </c>
      <c r="W1289">
        <v>0</v>
      </c>
      <c r="Y1289">
        <f t="shared" si="41"/>
        <v>0</v>
      </c>
    </row>
    <row r="1290" spans="1:25" x14ac:dyDescent="0.3">
      <c r="A1290" t="s">
        <v>3027</v>
      </c>
      <c r="B1290" t="s">
        <v>574</v>
      </c>
      <c r="C1290">
        <v>19.11</v>
      </c>
      <c r="D1290" s="1">
        <v>45187.68822916667</v>
      </c>
      <c r="E1290" t="s">
        <v>57</v>
      </c>
      <c r="F1290" t="s">
        <v>534</v>
      </c>
      <c r="G1290" t="s">
        <v>1787</v>
      </c>
      <c r="H1290" t="s">
        <v>1020</v>
      </c>
      <c r="I1290" t="s">
        <v>95</v>
      </c>
      <c r="J1290" t="s">
        <v>45</v>
      </c>
      <c r="K1290">
        <v>49</v>
      </c>
      <c r="L1290" t="s">
        <v>89</v>
      </c>
      <c r="M1290">
        <v>160</v>
      </c>
      <c r="N1290">
        <v>1</v>
      </c>
      <c r="O1290">
        <v>8478.4599999999991</v>
      </c>
      <c r="P1290" s="1">
        <v>45600.341493055559</v>
      </c>
      <c r="Q1290">
        <v>16</v>
      </c>
      <c r="R1290" t="s">
        <v>47</v>
      </c>
      <c r="S1290">
        <v>-0.95388717676169599</v>
      </c>
      <c r="T1290" t="b">
        <v>0</v>
      </c>
      <c r="U1290" t="b">
        <v>0</v>
      </c>
      <c r="V1290" t="b">
        <f t="shared" si="40"/>
        <v>1</v>
      </c>
      <c r="W1290">
        <v>0</v>
      </c>
      <c r="Y1290">
        <f t="shared" si="41"/>
        <v>0</v>
      </c>
    </row>
    <row r="1291" spans="1:25" x14ac:dyDescent="0.3">
      <c r="A1291" t="s">
        <v>3028</v>
      </c>
      <c r="B1291" t="s">
        <v>3029</v>
      </c>
      <c r="C1291">
        <v>355</v>
      </c>
      <c r="D1291" s="1">
        <v>45167.701585648145</v>
      </c>
      <c r="E1291" t="s">
        <v>57</v>
      </c>
      <c r="F1291" t="s">
        <v>170</v>
      </c>
      <c r="G1291" t="s">
        <v>639</v>
      </c>
      <c r="H1291" t="s">
        <v>2523</v>
      </c>
      <c r="I1291" t="s">
        <v>213</v>
      </c>
      <c r="J1291" t="s">
        <v>45</v>
      </c>
      <c r="K1291">
        <v>26</v>
      </c>
      <c r="L1291" t="s">
        <v>46</v>
      </c>
      <c r="M1291">
        <v>33</v>
      </c>
      <c r="N1291">
        <v>1</v>
      </c>
      <c r="O1291">
        <v>185.47</v>
      </c>
      <c r="P1291" s="1">
        <v>45600.340671296297</v>
      </c>
      <c r="Q1291">
        <v>16</v>
      </c>
      <c r="R1291" t="s">
        <v>32</v>
      </c>
      <c r="S1291">
        <v>0.19663285085864601</v>
      </c>
      <c r="T1291" t="b">
        <v>0</v>
      </c>
      <c r="U1291" t="b">
        <v>0</v>
      </c>
      <c r="V1291" t="b">
        <f t="shared" si="40"/>
        <v>1</v>
      </c>
      <c r="W1291">
        <v>0</v>
      </c>
      <c r="Y1291">
        <f t="shared" si="41"/>
        <v>0</v>
      </c>
    </row>
    <row r="1292" spans="1:25" x14ac:dyDescent="0.3">
      <c r="A1292" t="s">
        <v>3030</v>
      </c>
      <c r="B1292" t="s">
        <v>538</v>
      </c>
      <c r="C1292">
        <v>427.69</v>
      </c>
      <c r="D1292" s="1">
        <v>45013.668090277781</v>
      </c>
      <c r="E1292" t="s">
        <v>25</v>
      </c>
      <c r="F1292" t="s">
        <v>50</v>
      </c>
      <c r="G1292" t="s">
        <v>2837</v>
      </c>
      <c r="H1292" t="s">
        <v>87</v>
      </c>
      <c r="I1292" t="s">
        <v>782</v>
      </c>
      <c r="J1292" t="s">
        <v>30</v>
      </c>
      <c r="K1292">
        <v>43</v>
      </c>
      <c r="L1292" t="s">
        <v>89</v>
      </c>
      <c r="M1292">
        <v>236</v>
      </c>
      <c r="N1292">
        <v>1</v>
      </c>
      <c r="O1292">
        <v>2443.54</v>
      </c>
      <c r="P1292" s="1">
        <v>45600.341585648152</v>
      </c>
      <c r="Q1292">
        <v>16</v>
      </c>
      <c r="R1292" t="s">
        <v>32</v>
      </c>
      <c r="S1292">
        <v>0.44561704451645801</v>
      </c>
      <c r="T1292" t="b">
        <v>0</v>
      </c>
      <c r="U1292" t="b">
        <v>0</v>
      </c>
      <c r="V1292" t="b">
        <f t="shared" si="40"/>
        <v>1</v>
      </c>
      <c r="W1292">
        <v>0</v>
      </c>
      <c r="Y1292">
        <f t="shared" si="41"/>
        <v>0</v>
      </c>
    </row>
    <row r="1293" spans="1:25" x14ac:dyDescent="0.3">
      <c r="A1293" t="s">
        <v>3031</v>
      </c>
      <c r="B1293" t="s">
        <v>729</v>
      </c>
      <c r="C1293">
        <v>254.86</v>
      </c>
      <c r="D1293" s="1">
        <v>44952.723449074074</v>
      </c>
      <c r="E1293" t="s">
        <v>25</v>
      </c>
      <c r="F1293" t="s">
        <v>401</v>
      </c>
      <c r="G1293" t="s">
        <v>3032</v>
      </c>
      <c r="H1293" t="s">
        <v>1536</v>
      </c>
      <c r="I1293" t="s">
        <v>772</v>
      </c>
      <c r="J1293" t="s">
        <v>81</v>
      </c>
      <c r="K1293">
        <v>23</v>
      </c>
      <c r="L1293" t="s">
        <v>46</v>
      </c>
      <c r="M1293">
        <v>102</v>
      </c>
      <c r="N1293">
        <v>1</v>
      </c>
      <c r="O1293">
        <v>699.9</v>
      </c>
      <c r="P1293" s="1">
        <v>45600.341423611113</v>
      </c>
      <c r="Q1293">
        <v>17</v>
      </c>
      <c r="R1293" t="s">
        <v>141</v>
      </c>
      <c r="S1293">
        <v>-0.14637550177436101</v>
      </c>
      <c r="T1293" t="b">
        <v>0</v>
      </c>
      <c r="U1293" t="b">
        <v>0</v>
      </c>
      <c r="V1293" t="b">
        <f t="shared" si="40"/>
        <v>1</v>
      </c>
      <c r="W1293">
        <v>0</v>
      </c>
      <c r="Y1293">
        <f t="shared" si="41"/>
        <v>0</v>
      </c>
    </row>
    <row r="1294" spans="1:25" x14ac:dyDescent="0.3">
      <c r="A1294" t="s">
        <v>3033</v>
      </c>
      <c r="B1294" t="s">
        <v>1778</v>
      </c>
      <c r="C1294">
        <v>19.48</v>
      </c>
      <c r="D1294" s="1">
        <v>45117.667395833334</v>
      </c>
      <c r="E1294" t="s">
        <v>25</v>
      </c>
      <c r="F1294" t="s">
        <v>336</v>
      </c>
      <c r="G1294" t="s">
        <v>2183</v>
      </c>
      <c r="H1294" t="s">
        <v>1682</v>
      </c>
      <c r="I1294" t="s">
        <v>53</v>
      </c>
      <c r="J1294" t="s">
        <v>30</v>
      </c>
      <c r="K1294">
        <v>27</v>
      </c>
      <c r="L1294" t="s">
        <v>89</v>
      </c>
      <c r="M1294">
        <v>114</v>
      </c>
      <c r="N1294">
        <v>1</v>
      </c>
      <c r="O1294">
        <v>4739.59</v>
      </c>
      <c r="P1294" s="1">
        <v>45600.339421296296</v>
      </c>
      <c r="Q1294">
        <v>16</v>
      </c>
      <c r="R1294" t="s">
        <v>47</v>
      </c>
      <c r="S1294">
        <v>-0.95261982015620095</v>
      </c>
      <c r="T1294" t="b">
        <v>0</v>
      </c>
      <c r="U1294" t="b">
        <v>0</v>
      </c>
      <c r="V1294" t="b">
        <f t="shared" si="40"/>
        <v>1</v>
      </c>
      <c r="W1294">
        <v>0</v>
      </c>
      <c r="Y1294">
        <f t="shared" si="41"/>
        <v>0</v>
      </c>
    </row>
    <row r="1295" spans="1:25" x14ac:dyDescent="0.3">
      <c r="A1295" t="s">
        <v>3034</v>
      </c>
      <c r="B1295" t="s">
        <v>1234</v>
      </c>
      <c r="C1295">
        <v>190.17</v>
      </c>
      <c r="D1295" s="1">
        <v>45086.736956018518</v>
      </c>
      <c r="E1295" t="s">
        <v>25</v>
      </c>
      <c r="F1295" t="s">
        <v>210</v>
      </c>
      <c r="G1295" t="s">
        <v>1960</v>
      </c>
      <c r="H1295" t="s">
        <v>3035</v>
      </c>
      <c r="I1295" t="s">
        <v>182</v>
      </c>
      <c r="J1295" t="s">
        <v>30</v>
      </c>
      <c r="K1295">
        <v>49</v>
      </c>
      <c r="L1295" t="s">
        <v>31</v>
      </c>
      <c r="M1295">
        <v>265</v>
      </c>
      <c r="N1295">
        <v>1</v>
      </c>
      <c r="O1295">
        <v>12893.85</v>
      </c>
      <c r="P1295" s="1">
        <v>45600.339444444442</v>
      </c>
      <c r="Q1295">
        <v>17</v>
      </c>
      <c r="R1295" t="s">
        <v>54</v>
      </c>
      <c r="S1295">
        <v>-0.367957390448511</v>
      </c>
      <c r="T1295" t="b">
        <v>0</v>
      </c>
      <c r="U1295" t="b">
        <v>0</v>
      </c>
      <c r="V1295" t="b">
        <f t="shared" si="40"/>
        <v>1</v>
      </c>
      <c r="W1295">
        <v>0</v>
      </c>
      <c r="Y1295">
        <f t="shared" si="41"/>
        <v>0</v>
      </c>
    </row>
    <row r="1296" spans="1:25" x14ac:dyDescent="0.3">
      <c r="A1296" t="s">
        <v>3036</v>
      </c>
      <c r="B1296" t="s">
        <v>1633</v>
      </c>
      <c r="C1296">
        <v>91.38</v>
      </c>
      <c r="D1296" s="1">
        <v>45019.69568287037</v>
      </c>
      <c r="E1296" t="s">
        <v>25</v>
      </c>
      <c r="F1296" t="s">
        <v>405</v>
      </c>
      <c r="G1296" t="s">
        <v>1011</v>
      </c>
      <c r="H1296" t="s">
        <v>686</v>
      </c>
      <c r="I1296" t="s">
        <v>772</v>
      </c>
      <c r="J1296" t="s">
        <v>30</v>
      </c>
      <c r="K1296">
        <v>65</v>
      </c>
      <c r="L1296" t="s">
        <v>82</v>
      </c>
      <c r="M1296">
        <v>179</v>
      </c>
      <c r="N1296">
        <v>1</v>
      </c>
      <c r="O1296">
        <v>2402.58</v>
      </c>
      <c r="P1296" s="1">
        <v>45600.337951388887</v>
      </c>
      <c r="Q1296">
        <v>16</v>
      </c>
      <c r="R1296" t="s">
        <v>47</v>
      </c>
      <c r="S1296">
        <v>-0.70634160411552505</v>
      </c>
      <c r="T1296" t="b">
        <v>0</v>
      </c>
      <c r="U1296" t="b">
        <v>0</v>
      </c>
      <c r="V1296" t="b">
        <f t="shared" si="40"/>
        <v>1</v>
      </c>
      <c r="W1296">
        <v>0</v>
      </c>
      <c r="Y1296">
        <f t="shared" si="41"/>
        <v>0</v>
      </c>
    </row>
    <row r="1297" spans="1:25" x14ac:dyDescent="0.3">
      <c r="A1297" t="s">
        <v>3037</v>
      </c>
      <c r="B1297" t="s">
        <v>790</v>
      </c>
      <c r="C1297">
        <v>206.63</v>
      </c>
      <c r="D1297" s="1">
        <v>45267.674317129633</v>
      </c>
      <c r="E1297" t="s">
        <v>57</v>
      </c>
      <c r="F1297" t="s">
        <v>64</v>
      </c>
      <c r="G1297" t="s">
        <v>3038</v>
      </c>
      <c r="H1297" t="s">
        <v>1973</v>
      </c>
      <c r="I1297" t="s">
        <v>295</v>
      </c>
      <c r="J1297" t="s">
        <v>45</v>
      </c>
      <c r="K1297">
        <v>59</v>
      </c>
      <c r="L1297" t="s">
        <v>82</v>
      </c>
      <c r="M1297">
        <v>128</v>
      </c>
      <c r="N1297">
        <v>1</v>
      </c>
      <c r="O1297">
        <v>7626.53</v>
      </c>
      <c r="P1297" s="1">
        <v>45600.340763888889</v>
      </c>
      <c r="Q1297">
        <v>16</v>
      </c>
      <c r="R1297" t="s">
        <v>141</v>
      </c>
      <c r="S1297">
        <v>-0.31157714794462299</v>
      </c>
      <c r="T1297" t="b">
        <v>0</v>
      </c>
      <c r="U1297" t="b">
        <v>0</v>
      </c>
      <c r="V1297" t="b">
        <f t="shared" si="40"/>
        <v>1</v>
      </c>
      <c r="W1297">
        <v>0</v>
      </c>
      <c r="Y1297">
        <f t="shared" si="41"/>
        <v>0</v>
      </c>
    </row>
    <row r="1298" spans="1:25" x14ac:dyDescent="0.3">
      <c r="A1298" t="s">
        <v>3039</v>
      </c>
      <c r="B1298" t="s">
        <v>49</v>
      </c>
      <c r="C1298">
        <v>93.22</v>
      </c>
      <c r="D1298" s="1">
        <v>45023.716377314813</v>
      </c>
      <c r="E1298" t="s">
        <v>25</v>
      </c>
      <c r="F1298" t="s">
        <v>262</v>
      </c>
      <c r="G1298" t="s">
        <v>1539</v>
      </c>
      <c r="H1298" t="s">
        <v>1361</v>
      </c>
      <c r="I1298" t="s">
        <v>107</v>
      </c>
      <c r="J1298" t="s">
        <v>45</v>
      </c>
      <c r="K1298">
        <v>52</v>
      </c>
      <c r="L1298" t="s">
        <v>82</v>
      </c>
      <c r="M1298">
        <v>52</v>
      </c>
      <c r="N1298">
        <v>1</v>
      </c>
      <c r="O1298">
        <v>1014.63</v>
      </c>
      <c r="P1298" s="1">
        <v>45600.340057870373</v>
      </c>
      <c r="Q1298">
        <v>17</v>
      </c>
      <c r="R1298" t="s">
        <v>54</v>
      </c>
      <c r="S1298">
        <v>-0.700039073969283</v>
      </c>
      <c r="T1298" t="b">
        <v>0</v>
      </c>
      <c r="U1298" t="b">
        <v>0</v>
      </c>
      <c r="V1298" t="b">
        <f t="shared" si="40"/>
        <v>1</v>
      </c>
      <c r="W1298">
        <v>0</v>
      </c>
      <c r="Y1298">
        <f t="shared" si="41"/>
        <v>0</v>
      </c>
    </row>
    <row r="1299" spans="1:25" x14ac:dyDescent="0.3">
      <c r="A1299" t="s">
        <v>3040</v>
      </c>
      <c r="B1299" t="s">
        <v>729</v>
      </c>
      <c r="C1299">
        <v>547.98</v>
      </c>
      <c r="D1299" s="1">
        <v>45223.711793981478</v>
      </c>
      <c r="E1299" t="s">
        <v>25</v>
      </c>
      <c r="F1299" t="s">
        <v>64</v>
      </c>
      <c r="G1299" t="s">
        <v>1744</v>
      </c>
      <c r="H1299" t="s">
        <v>604</v>
      </c>
      <c r="I1299" t="s">
        <v>285</v>
      </c>
      <c r="J1299" t="s">
        <v>30</v>
      </c>
      <c r="K1299">
        <v>28</v>
      </c>
      <c r="L1299" t="s">
        <v>46</v>
      </c>
      <c r="M1299">
        <v>171</v>
      </c>
      <c r="N1299">
        <v>1</v>
      </c>
      <c r="O1299">
        <v>1358.54</v>
      </c>
      <c r="P1299" s="1">
        <v>45600.339803240742</v>
      </c>
      <c r="Q1299">
        <v>17</v>
      </c>
      <c r="R1299" t="s">
        <v>32</v>
      </c>
      <c r="S1299">
        <v>0.85764495282706898</v>
      </c>
      <c r="T1299" t="b">
        <v>0</v>
      </c>
      <c r="U1299" t="b">
        <v>0</v>
      </c>
      <c r="V1299" t="b">
        <f t="shared" si="40"/>
        <v>1</v>
      </c>
      <c r="W1299">
        <v>0</v>
      </c>
      <c r="Y1299">
        <f t="shared" si="41"/>
        <v>0</v>
      </c>
    </row>
    <row r="1300" spans="1:25" x14ac:dyDescent="0.3">
      <c r="A1300" t="s">
        <v>3041</v>
      </c>
      <c r="B1300" t="s">
        <v>215</v>
      </c>
      <c r="C1300">
        <v>641.05999999999995</v>
      </c>
      <c r="D1300" s="1">
        <v>45271.673009259262</v>
      </c>
      <c r="E1300" t="s">
        <v>25</v>
      </c>
      <c r="F1300" t="s">
        <v>534</v>
      </c>
      <c r="G1300" t="s">
        <v>2667</v>
      </c>
      <c r="H1300" t="s">
        <v>2751</v>
      </c>
      <c r="I1300" t="s">
        <v>527</v>
      </c>
      <c r="J1300" t="s">
        <v>30</v>
      </c>
      <c r="K1300">
        <v>23</v>
      </c>
      <c r="L1300" t="s">
        <v>46</v>
      </c>
      <c r="M1300">
        <v>25</v>
      </c>
      <c r="N1300">
        <v>1</v>
      </c>
      <c r="O1300">
        <v>1602.13</v>
      </c>
      <c r="P1300" s="1">
        <v>45600.338437500002</v>
      </c>
      <c r="Q1300">
        <v>16</v>
      </c>
      <c r="R1300" t="s">
        <v>47</v>
      </c>
      <c r="S1300">
        <v>1.17647077131199</v>
      </c>
      <c r="T1300" t="b">
        <v>0</v>
      </c>
      <c r="U1300" t="b">
        <v>0</v>
      </c>
      <c r="V1300" t="b">
        <f t="shared" si="40"/>
        <v>1</v>
      </c>
      <c r="W1300">
        <v>0</v>
      </c>
      <c r="Y1300">
        <f t="shared" si="41"/>
        <v>0</v>
      </c>
    </row>
    <row r="1301" spans="1:25" x14ac:dyDescent="0.3">
      <c r="A1301" t="s">
        <v>3042</v>
      </c>
      <c r="B1301" t="s">
        <v>1040</v>
      </c>
      <c r="C1301">
        <v>314.55</v>
      </c>
      <c r="D1301" s="1">
        <v>45041.7190625</v>
      </c>
      <c r="E1301" t="s">
        <v>57</v>
      </c>
      <c r="F1301" t="s">
        <v>336</v>
      </c>
      <c r="G1301" t="s">
        <v>2303</v>
      </c>
      <c r="H1301" t="s">
        <v>910</v>
      </c>
      <c r="I1301" t="s">
        <v>366</v>
      </c>
      <c r="J1301" t="s">
        <v>81</v>
      </c>
      <c r="K1301">
        <v>27</v>
      </c>
      <c r="L1301" t="s">
        <v>46</v>
      </c>
      <c r="M1301">
        <v>19</v>
      </c>
      <c r="N1301">
        <v>2</v>
      </c>
      <c r="O1301">
        <v>1105.8900000000001</v>
      </c>
      <c r="P1301" s="1">
        <v>45600.338379629633</v>
      </c>
      <c r="Q1301">
        <v>17</v>
      </c>
      <c r="R1301" t="s">
        <v>32</v>
      </c>
      <c r="S1301">
        <v>5.8079946284997498E-2</v>
      </c>
      <c r="T1301" t="b">
        <v>0</v>
      </c>
      <c r="U1301" t="b">
        <v>1</v>
      </c>
      <c r="V1301" t="b">
        <f t="shared" si="40"/>
        <v>1</v>
      </c>
      <c r="W1301">
        <v>1</v>
      </c>
      <c r="Y1301">
        <f t="shared" si="41"/>
        <v>0</v>
      </c>
    </row>
    <row r="1302" spans="1:25" x14ac:dyDescent="0.3">
      <c r="A1302" t="s">
        <v>3043</v>
      </c>
      <c r="B1302" t="s">
        <v>2066</v>
      </c>
      <c r="C1302">
        <v>836.45</v>
      </c>
      <c r="D1302" s="1">
        <v>44984.668055555558</v>
      </c>
      <c r="E1302" t="s">
        <v>25</v>
      </c>
      <c r="F1302" t="s">
        <v>314</v>
      </c>
      <c r="G1302" t="s">
        <v>1813</v>
      </c>
      <c r="H1302" t="s">
        <v>2601</v>
      </c>
      <c r="I1302" t="s">
        <v>182</v>
      </c>
      <c r="J1302" t="s">
        <v>45</v>
      </c>
      <c r="K1302">
        <v>61</v>
      </c>
      <c r="L1302" t="s">
        <v>82</v>
      </c>
      <c r="M1302">
        <v>63</v>
      </c>
      <c r="N1302">
        <v>1</v>
      </c>
      <c r="O1302">
        <v>1731.89</v>
      </c>
      <c r="P1302" s="1">
        <v>45600.341805555552</v>
      </c>
      <c r="Q1302">
        <v>16</v>
      </c>
      <c r="R1302" t="s">
        <v>47</v>
      </c>
      <c r="S1302">
        <v>1.8457378176567401</v>
      </c>
      <c r="T1302" t="b">
        <v>0</v>
      </c>
      <c r="U1302" t="b">
        <v>0</v>
      </c>
      <c r="V1302" t="b">
        <f t="shared" si="40"/>
        <v>1</v>
      </c>
      <c r="W1302">
        <v>0</v>
      </c>
      <c r="Y1302">
        <f t="shared" si="41"/>
        <v>0</v>
      </c>
    </row>
    <row r="1303" spans="1:25" x14ac:dyDescent="0.3">
      <c r="A1303" t="s">
        <v>3044</v>
      </c>
      <c r="B1303" t="s">
        <v>582</v>
      </c>
      <c r="C1303">
        <v>1095.0899999999999</v>
      </c>
      <c r="D1303" s="1">
        <v>45033.727256944447</v>
      </c>
      <c r="E1303" t="s">
        <v>25</v>
      </c>
      <c r="F1303" t="s">
        <v>225</v>
      </c>
      <c r="G1303" t="s">
        <v>263</v>
      </c>
      <c r="H1303" t="s">
        <v>3045</v>
      </c>
      <c r="I1303" t="s">
        <v>605</v>
      </c>
      <c r="J1303" t="s">
        <v>30</v>
      </c>
      <c r="K1303">
        <v>29</v>
      </c>
      <c r="L1303" t="s">
        <v>89</v>
      </c>
      <c r="M1303">
        <v>52</v>
      </c>
      <c r="N1303">
        <v>1</v>
      </c>
      <c r="O1303">
        <v>8692.4699999999993</v>
      </c>
      <c r="P1303" s="1">
        <v>45600.341631944444</v>
      </c>
      <c r="Q1303">
        <v>17</v>
      </c>
      <c r="R1303" t="s">
        <v>47</v>
      </c>
      <c r="S1303">
        <v>2.73165433777858</v>
      </c>
      <c r="T1303" t="b">
        <v>1</v>
      </c>
      <c r="U1303" t="b">
        <v>0</v>
      </c>
      <c r="V1303" t="b">
        <f t="shared" si="40"/>
        <v>1</v>
      </c>
      <c r="W1303">
        <v>1</v>
      </c>
      <c r="Y1303">
        <f t="shared" si="41"/>
        <v>1</v>
      </c>
    </row>
    <row r="1304" spans="1:25" x14ac:dyDescent="0.3">
      <c r="A1304" t="s">
        <v>3046</v>
      </c>
      <c r="B1304" t="s">
        <v>1809</v>
      </c>
      <c r="C1304">
        <v>189.45</v>
      </c>
      <c r="D1304" s="1">
        <v>45006.71670138889</v>
      </c>
      <c r="E1304" t="s">
        <v>57</v>
      </c>
      <c r="F1304" t="s">
        <v>401</v>
      </c>
      <c r="G1304" t="s">
        <v>1482</v>
      </c>
      <c r="H1304" t="s">
        <v>1372</v>
      </c>
      <c r="I1304" t="s">
        <v>194</v>
      </c>
      <c r="J1304" t="s">
        <v>81</v>
      </c>
      <c r="K1304">
        <v>53</v>
      </c>
      <c r="L1304" t="s">
        <v>31</v>
      </c>
      <c r="M1304">
        <v>62</v>
      </c>
      <c r="N1304">
        <v>1</v>
      </c>
      <c r="O1304">
        <v>12578.75</v>
      </c>
      <c r="P1304" s="1">
        <v>45600.339942129627</v>
      </c>
      <c r="Q1304">
        <v>17</v>
      </c>
      <c r="R1304" t="s">
        <v>32</v>
      </c>
      <c r="S1304">
        <v>-0.37042359789703999</v>
      </c>
      <c r="T1304" t="b">
        <v>0</v>
      </c>
      <c r="U1304" t="b">
        <v>0</v>
      </c>
      <c r="V1304" t="b">
        <f t="shared" si="40"/>
        <v>1</v>
      </c>
      <c r="W1304">
        <v>0</v>
      </c>
      <c r="Y1304">
        <f t="shared" si="41"/>
        <v>0</v>
      </c>
    </row>
    <row r="1305" spans="1:25" x14ac:dyDescent="0.3">
      <c r="A1305" t="s">
        <v>3047</v>
      </c>
      <c r="B1305" t="s">
        <v>563</v>
      </c>
      <c r="C1305">
        <v>91.84</v>
      </c>
      <c r="D1305" s="1">
        <v>45112.723564814813</v>
      </c>
      <c r="E1305" t="s">
        <v>57</v>
      </c>
      <c r="F1305" t="s">
        <v>41</v>
      </c>
      <c r="G1305" t="s">
        <v>689</v>
      </c>
      <c r="H1305" t="s">
        <v>3048</v>
      </c>
      <c r="I1305" t="s">
        <v>295</v>
      </c>
      <c r="J1305" t="s">
        <v>81</v>
      </c>
      <c r="K1305">
        <v>67</v>
      </c>
      <c r="L1305" t="s">
        <v>82</v>
      </c>
      <c r="M1305">
        <v>80</v>
      </c>
      <c r="N1305">
        <v>1</v>
      </c>
      <c r="O1305">
        <v>1712.41</v>
      </c>
      <c r="P1305" s="1">
        <v>45600.339259259257</v>
      </c>
      <c r="Q1305">
        <v>17</v>
      </c>
      <c r="R1305" t="s">
        <v>74</v>
      </c>
      <c r="S1305">
        <v>-0.70476597157896503</v>
      </c>
      <c r="T1305" t="b">
        <v>0</v>
      </c>
      <c r="U1305" t="b">
        <v>0</v>
      </c>
      <c r="V1305" t="b">
        <f t="shared" si="40"/>
        <v>1</v>
      </c>
      <c r="W1305">
        <v>0</v>
      </c>
      <c r="Y1305">
        <f t="shared" si="41"/>
        <v>0</v>
      </c>
    </row>
    <row r="1306" spans="1:25" x14ac:dyDescent="0.3">
      <c r="A1306" t="s">
        <v>3049</v>
      </c>
      <c r="B1306" t="s">
        <v>1819</v>
      </c>
      <c r="C1306">
        <v>609.52</v>
      </c>
      <c r="D1306" s="1">
        <v>45135.669062499997</v>
      </c>
      <c r="E1306" t="s">
        <v>25</v>
      </c>
      <c r="F1306" t="s">
        <v>466</v>
      </c>
      <c r="G1306" t="s">
        <v>1471</v>
      </c>
      <c r="H1306" t="s">
        <v>365</v>
      </c>
      <c r="I1306" t="s">
        <v>605</v>
      </c>
      <c r="J1306" t="s">
        <v>30</v>
      </c>
      <c r="K1306">
        <v>78</v>
      </c>
      <c r="L1306" t="s">
        <v>82</v>
      </c>
      <c r="M1306">
        <v>169</v>
      </c>
      <c r="N1306">
        <v>1</v>
      </c>
      <c r="O1306">
        <v>3485.03</v>
      </c>
      <c r="P1306" s="1">
        <v>45600.339108796295</v>
      </c>
      <c r="Q1306">
        <v>16</v>
      </c>
      <c r="R1306" t="s">
        <v>54</v>
      </c>
      <c r="S1306">
        <v>1.0684371839139</v>
      </c>
      <c r="T1306" t="b">
        <v>0</v>
      </c>
      <c r="U1306" t="b">
        <v>0</v>
      </c>
      <c r="V1306" t="b">
        <f t="shared" si="40"/>
        <v>1</v>
      </c>
      <c r="W1306">
        <v>0</v>
      </c>
      <c r="Y1306">
        <f t="shared" si="41"/>
        <v>0</v>
      </c>
    </row>
    <row r="1307" spans="1:25" x14ac:dyDescent="0.3">
      <c r="A1307" t="s">
        <v>3050</v>
      </c>
      <c r="B1307" t="s">
        <v>909</v>
      </c>
      <c r="C1307">
        <v>859.3</v>
      </c>
      <c r="D1307" s="1">
        <v>45139.720879629633</v>
      </c>
      <c r="E1307" t="s">
        <v>57</v>
      </c>
      <c r="F1307" t="s">
        <v>534</v>
      </c>
      <c r="G1307" t="s">
        <v>3001</v>
      </c>
      <c r="H1307" t="s">
        <v>555</v>
      </c>
      <c r="I1307" t="s">
        <v>399</v>
      </c>
      <c r="J1307" t="s">
        <v>81</v>
      </c>
      <c r="K1307">
        <v>78</v>
      </c>
      <c r="L1307" t="s">
        <v>82</v>
      </c>
      <c r="M1307">
        <v>68</v>
      </c>
      <c r="N1307">
        <v>1</v>
      </c>
      <c r="O1307">
        <v>1146.78</v>
      </c>
      <c r="P1307" s="1">
        <v>45600.338148148148</v>
      </c>
      <c r="Q1307">
        <v>17</v>
      </c>
      <c r="R1307" t="s">
        <v>32</v>
      </c>
      <c r="S1307">
        <v>1.9240056512663299</v>
      </c>
      <c r="T1307" t="b">
        <v>0</v>
      </c>
      <c r="U1307" t="b">
        <v>0</v>
      </c>
      <c r="V1307" t="b">
        <f t="shared" si="40"/>
        <v>1</v>
      </c>
      <c r="W1307">
        <v>0</v>
      </c>
      <c r="Y1307">
        <f t="shared" si="41"/>
        <v>0</v>
      </c>
    </row>
    <row r="1308" spans="1:25" x14ac:dyDescent="0.3">
      <c r="A1308" t="s">
        <v>3051</v>
      </c>
      <c r="B1308" t="s">
        <v>3052</v>
      </c>
      <c r="C1308">
        <v>100.01</v>
      </c>
      <c r="D1308" s="1">
        <v>45106.671423611115</v>
      </c>
      <c r="E1308" t="s">
        <v>25</v>
      </c>
      <c r="F1308" t="s">
        <v>256</v>
      </c>
      <c r="G1308" t="s">
        <v>2295</v>
      </c>
      <c r="H1308" t="s">
        <v>2318</v>
      </c>
      <c r="I1308" t="s">
        <v>898</v>
      </c>
      <c r="J1308" t="s">
        <v>30</v>
      </c>
      <c r="K1308">
        <v>50</v>
      </c>
      <c r="L1308" t="s">
        <v>31</v>
      </c>
      <c r="M1308">
        <v>63</v>
      </c>
      <c r="N1308">
        <v>1</v>
      </c>
      <c r="O1308">
        <v>6393.12</v>
      </c>
      <c r="P1308" s="1">
        <v>45600.339895833335</v>
      </c>
      <c r="Q1308">
        <v>16</v>
      </c>
      <c r="R1308" t="s">
        <v>141</v>
      </c>
      <c r="S1308">
        <v>-0.676781367614398</v>
      </c>
      <c r="T1308" t="b">
        <v>0</v>
      </c>
      <c r="U1308" t="b">
        <v>0</v>
      </c>
      <c r="V1308" t="b">
        <f t="shared" si="40"/>
        <v>1</v>
      </c>
      <c r="W1308">
        <v>0</v>
      </c>
      <c r="Y1308">
        <f t="shared" si="41"/>
        <v>0</v>
      </c>
    </row>
    <row r="1309" spans="1:25" x14ac:dyDescent="0.3">
      <c r="A1309" t="s">
        <v>3053</v>
      </c>
      <c r="B1309" t="s">
        <v>2684</v>
      </c>
      <c r="C1309">
        <v>28.78</v>
      </c>
      <c r="D1309" s="1">
        <v>45145.672268518516</v>
      </c>
      <c r="E1309" t="s">
        <v>57</v>
      </c>
      <c r="F1309" t="s">
        <v>268</v>
      </c>
      <c r="G1309" t="s">
        <v>2160</v>
      </c>
      <c r="H1309" t="s">
        <v>289</v>
      </c>
      <c r="I1309" t="s">
        <v>1300</v>
      </c>
      <c r="J1309" t="s">
        <v>45</v>
      </c>
      <c r="K1309">
        <v>40</v>
      </c>
      <c r="L1309" t="s">
        <v>31</v>
      </c>
      <c r="M1309">
        <v>51</v>
      </c>
      <c r="N1309">
        <v>1</v>
      </c>
      <c r="O1309">
        <v>680.55</v>
      </c>
      <c r="P1309" s="1">
        <v>45600.341423611113</v>
      </c>
      <c r="Q1309">
        <v>16</v>
      </c>
      <c r="R1309" t="s">
        <v>47</v>
      </c>
      <c r="S1309">
        <v>-0.92076464061269203</v>
      </c>
      <c r="T1309" t="b">
        <v>0</v>
      </c>
      <c r="U1309" t="b">
        <v>0</v>
      </c>
      <c r="V1309" t="b">
        <f t="shared" si="40"/>
        <v>1</v>
      </c>
      <c r="W1309">
        <v>0</v>
      </c>
      <c r="Y1309">
        <f t="shared" si="41"/>
        <v>0</v>
      </c>
    </row>
    <row r="1310" spans="1:25" x14ac:dyDescent="0.3">
      <c r="A1310" t="s">
        <v>3054</v>
      </c>
      <c r="B1310" t="s">
        <v>1079</v>
      </c>
      <c r="C1310">
        <v>111.08</v>
      </c>
      <c r="D1310" s="1">
        <v>45061.740428240744</v>
      </c>
      <c r="E1310" t="s">
        <v>25</v>
      </c>
      <c r="F1310" t="s">
        <v>278</v>
      </c>
      <c r="G1310" t="s">
        <v>2216</v>
      </c>
      <c r="H1310" t="s">
        <v>503</v>
      </c>
      <c r="I1310" t="s">
        <v>344</v>
      </c>
      <c r="J1310" t="s">
        <v>45</v>
      </c>
      <c r="K1310">
        <v>70</v>
      </c>
      <c r="L1310" t="s">
        <v>31</v>
      </c>
      <c r="M1310">
        <v>83</v>
      </c>
      <c r="N1310">
        <v>1</v>
      </c>
      <c r="O1310">
        <v>7037.34</v>
      </c>
      <c r="P1310" s="1">
        <v>45600.340960648151</v>
      </c>
      <c r="Q1310">
        <v>17</v>
      </c>
      <c r="R1310" t="s">
        <v>47</v>
      </c>
      <c r="S1310">
        <v>-0.63886342809325403</v>
      </c>
      <c r="T1310" t="b">
        <v>0</v>
      </c>
      <c r="U1310" t="b">
        <v>0</v>
      </c>
      <c r="V1310" t="b">
        <f t="shared" si="40"/>
        <v>1</v>
      </c>
      <c r="W1310">
        <v>0</v>
      </c>
      <c r="Y1310">
        <f t="shared" si="41"/>
        <v>0</v>
      </c>
    </row>
    <row r="1311" spans="1:25" x14ac:dyDescent="0.3">
      <c r="A1311" t="s">
        <v>3055</v>
      </c>
      <c r="B1311" t="s">
        <v>1043</v>
      </c>
      <c r="C1311">
        <v>470.96</v>
      </c>
      <c r="D1311" s="1">
        <v>44995.682002314818</v>
      </c>
      <c r="E1311" t="s">
        <v>57</v>
      </c>
      <c r="F1311" t="s">
        <v>77</v>
      </c>
      <c r="G1311" t="s">
        <v>681</v>
      </c>
      <c r="H1311" t="s">
        <v>2267</v>
      </c>
      <c r="I1311" t="s">
        <v>321</v>
      </c>
      <c r="J1311" t="s">
        <v>45</v>
      </c>
      <c r="K1311">
        <v>69</v>
      </c>
      <c r="L1311" t="s">
        <v>31</v>
      </c>
      <c r="M1311">
        <v>124</v>
      </c>
      <c r="N1311">
        <v>2</v>
      </c>
      <c r="O1311">
        <v>12991.03</v>
      </c>
      <c r="P1311" s="1">
        <v>45600.341087962966</v>
      </c>
      <c r="Q1311">
        <v>16</v>
      </c>
      <c r="R1311" t="s">
        <v>54</v>
      </c>
      <c r="S1311">
        <v>0.59382926159684801</v>
      </c>
      <c r="T1311" t="b">
        <v>0</v>
      </c>
      <c r="U1311" t="b">
        <v>1</v>
      </c>
      <c r="V1311" t="b">
        <f t="shared" si="40"/>
        <v>1</v>
      </c>
      <c r="W1311">
        <v>1</v>
      </c>
      <c r="Y1311">
        <f t="shared" si="41"/>
        <v>0</v>
      </c>
    </row>
    <row r="1312" spans="1:25" x14ac:dyDescent="0.3">
      <c r="A1312" t="s">
        <v>3056</v>
      </c>
      <c r="B1312" t="s">
        <v>2005</v>
      </c>
      <c r="C1312">
        <v>52.23</v>
      </c>
      <c r="D1312" s="1">
        <v>45180.75577546296</v>
      </c>
      <c r="E1312" t="s">
        <v>57</v>
      </c>
      <c r="F1312" t="s">
        <v>225</v>
      </c>
      <c r="G1312" t="s">
        <v>1954</v>
      </c>
      <c r="H1312" t="s">
        <v>1711</v>
      </c>
      <c r="I1312" t="s">
        <v>1823</v>
      </c>
      <c r="J1312" t="s">
        <v>81</v>
      </c>
      <c r="K1312">
        <v>28</v>
      </c>
      <c r="L1312" t="s">
        <v>46</v>
      </c>
      <c r="M1312">
        <v>96</v>
      </c>
      <c r="N1312">
        <v>1</v>
      </c>
      <c r="O1312">
        <v>105.01</v>
      </c>
      <c r="P1312" s="1">
        <v>45600.339016203703</v>
      </c>
      <c r="Q1312">
        <v>18</v>
      </c>
      <c r="R1312" t="s">
        <v>47</v>
      </c>
      <c r="S1312">
        <v>-0.84044163412932904</v>
      </c>
      <c r="T1312" t="b">
        <v>0</v>
      </c>
      <c r="U1312" t="b">
        <v>0</v>
      </c>
      <c r="V1312" t="b">
        <f t="shared" si="40"/>
        <v>1</v>
      </c>
      <c r="W1312">
        <v>0</v>
      </c>
      <c r="Y1312">
        <f t="shared" si="41"/>
        <v>0</v>
      </c>
    </row>
    <row r="1313" spans="1:25" x14ac:dyDescent="0.3">
      <c r="A1313" t="s">
        <v>3057</v>
      </c>
      <c r="B1313" t="s">
        <v>1485</v>
      </c>
      <c r="C1313">
        <v>78.62</v>
      </c>
      <c r="D1313" s="1">
        <v>45138.698946759258</v>
      </c>
      <c r="E1313" t="s">
        <v>25</v>
      </c>
      <c r="F1313" t="s">
        <v>64</v>
      </c>
      <c r="G1313" t="s">
        <v>3058</v>
      </c>
      <c r="H1313" t="s">
        <v>2417</v>
      </c>
      <c r="I1313" t="s">
        <v>833</v>
      </c>
      <c r="J1313" t="s">
        <v>81</v>
      </c>
      <c r="K1313">
        <v>32</v>
      </c>
      <c r="L1313" t="s">
        <v>31</v>
      </c>
      <c r="M1313">
        <v>52</v>
      </c>
      <c r="N1313">
        <v>1</v>
      </c>
      <c r="O1313">
        <v>1360.85</v>
      </c>
      <c r="P1313" s="1">
        <v>45600.33902777778</v>
      </c>
      <c r="Q1313">
        <v>16</v>
      </c>
      <c r="R1313" t="s">
        <v>47</v>
      </c>
      <c r="S1313">
        <v>-0.75004828056446904</v>
      </c>
      <c r="T1313" t="b">
        <v>0</v>
      </c>
      <c r="U1313" t="b">
        <v>0</v>
      </c>
      <c r="V1313" t="b">
        <f t="shared" si="40"/>
        <v>1</v>
      </c>
      <c r="W1313">
        <v>0</v>
      </c>
      <c r="Y1313">
        <f t="shared" si="41"/>
        <v>0</v>
      </c>
    </row>
    <row r="1314" spans="1:25" x14ac:dyDescent="0.3">
      <c r="A1314" t="s">
        <v>3059</v>
      </c>
      <c r="B1314" t="s">
        <v>3060</v>
      </c>
      <c r="C1314">
        <v>47.79</v>
      </c>
      <c r="D1314" s="1">
        <v>45184.708564814813</v>
      </c>
      <c r="E1314" t="s">
        <v>25</v>
      </c>
      <c r="F1314" t="s">
        <v>126</v>
      </c>
      <c r="G1314" t="s">
        <v>1726</v>
      </c>
      <c r="H1314" t="s">
        <v>1348</v>
      </c>
      <c r="I1314" t="s">
        <v>652</v>
      </c>
      <c r="J1314" t="s">
        <v>81</v>
      </c>
      <c r="K1314">
        <v>25</v>
      </c>
      <c r="L1314" t="s">
        <v>46</v>
      </c>
      <c r="M1314">
        <v>37</v>
      </c>
      <c r="N1314">
        <v>1</v>
      </c>
      <c r="O1314">
        <v>1649.92</v>
      </c>
      <c r="P1314" s="1">
        <v>45600.341608796298</v>
      </c>
      <c r="Q1314">
        <v>17</v>
      </c>
      <c r="R1314" t="s">
        <v>54</v>
      </c>
      <c r="S1314">
        <v>-0.85564991339526197</v>
      </c>
      <c r="T1314" t="b">
        <v>0</v>
      </c>
      <c r="U1314" t="b">
        <v>0</v>
      </c>
      <c r="V1314" t="b">
        <f t="shared" si="40"/>
        <v>1</v>
      </c>
      <c r="W1314">
        <v>0</v>
      </c>
      <c r="Y1314">
        <f t="shared" si="41"/>
        <v>0</v>
      </c>
    </row>
    <row r="1315" spans="1:25" x14ac:dyDescent="0.3">
      <c r="A1315" t="s">
        <v>3061</v>
      </c>
      <c r="B1315" t="s">
        <v>1280</v>
      </c>
      <c r="C1315">
        <v>333.97</v>
      </c>
      <c r="D1315" s="1">
        <v>45007.679594907408</v>
      </c>
      <c r="E1315" t="s">
        <v>25</v>
      </c>
      <c r="F1315" t="s">
        <v>571</v>
      </c>
      <c r="G1315" t="s">
        <v>381</v>
      </c>
      <c r="H1315" t="s">
        <v>1125</v>
      </c>
      <c r="I1315" t="s">
        <v>1362</v>
      </c>
      <c r="J1315" t="s">
        <v>81</v>
      </c>
      <c r="K1315">
        <v>52</v>
      </c>
      <c r="L1315" t="s">
        <v>31</v>
      </c>
      <c r="M1315">
        <v>45</v>
      </c>
      <c r="N1315">
        <v>1</v>
      </c>
      <c r="O1315">
        <v>5237.3599999999997</v>
      </c>
      <c r="P1315" s="1">
        <v>45600.341527777775</v>
      </c>
      <c r="Q1315">
        <v>16</v>
      </c>
      <c r="R1315" t="s">
        <v>74</v>
      </c>
      <c r="S1315">
        <v>0.12459904163284</v>
      </c>
      <c r="T1315" t="b">
        <v>0</v>
      </c>
      <c r="U1315" t="b">
        <v>0</v>
      </c>
      <c r="V1315" t="b">
        <f t="shared" si="40"/>
        <v>1</v>
      </c>
      <c r="W1315">
        <v>0</v>
      </c>
      <c r="Y1315">
        <f t="shared" si="41"/>
        <v>0</v>
      </c>
    </row>
    <row r="1316" spans="1:25" x14ac:dyDescent="0.3">
      <c r="A1316" t="s">
        <v>3062</v>
      </c>
      <c r="B1316" t="s">
        <v>885</v>
      </c>
      <c r="C1316">
        <v>30.87</v>
      </c>
      <c r="D1316" s="1">
        <v>45119.701874999999</v>
      </c>
      <c r="E1316" t="s">
        <v>25</v>
      </c>
      <c r="F1316" t="s">
        <v>571</v>
      </c>
      <c r="G1316" t="s">
        <v>631</v>
      </c>
      <c r="H1316" t="s">
        <v>719</v>
      </c>
      <c r="I1316" t="s">
        <v>117</v>
      </c>
      <c r="J1316" t="s">
        <v>30</v>
      </c>
      <c r="K1316">
        <v>33</v>
      </c>
      <c r="L1316" t="s">
        <v>31</v>
      </c>
      <c r="M1316">
        <v>295</v>
      </c>
      <c r="N1316">
        <v>1</v>
      </c>
      <c r="O1316">
        <v>14348.65</v>
      </c>
      <c r="P1316" s="1">
        <v>45600.340775462966</v>
      </c>
      <c r="Q1316">
        <v>16</v>
      </c>
      <c r="R1316" t="s">
        <v>74</v>
      </c>
      <c r="S1316">
        <v>-0.91360578843571005</v>
      </c>
      <c r="T1316" t="b">
        <v>0</v>
      </c>
      <c r="U1316" t="b">
        <v>0</v>
      </c>
      <c r="V1316" t="b">
        <f t="shared" si="40"/>
        <v>1</v>
      </c>
      <c r="W1316">
        <v>0</v>
      </c>
      <c r="Y1316">
        <f t="shared" si="41"/>
        <v>0</v>
      </c>
    </row>
    <row r="1317" spans="1:25" x14ac:dyDescent="0.3">
      <c r="A1317" t="s">
        <v>3063</v>
      </c>
      <c r="B1317" t="s">
        <v>808</v>
      </c>
      <c r="C1317">
        <v>710.43</v>
      </c>
      <c r="D1317" s="1">
        <v>44993.713437500002</v>
      </c>
      <c r="E1317" t="s">
        <v>25</v>
      </c>
      <c r="F1317" t="s">
        <v>26</v>
      </c>
      <c r="G1317" t="s">
        <v>1286</v>
      </c>
      <c r="H1317" t="s">
        <v>1248</v>
      </c>
      <c r="I1317" t="s">
        <v>95</v>
      </c>
      <c r="J1317" t="s">
        <v>45</v>
      </c>
      <c r="K1317">
        <v>67</v>
      </c>
      <c r="L1317" t="s">
        <v>82</v>
      </c>
      <c r="M1317">
        <v>115</v>
      </c>
      <c r="N1317">
        <v>1</v>
      </c>
      <c r="O1317">
        <v>5625.55</v>
      </c>
      <c r="P1317" s="1">
        <v>45600.339375000003</v>
      </c>
      <c r="Q1317">
        <v>17</v>
      </c>
      <c r="R1317" t="s">
        <v>74</v>
      </c>
      <c r="S1317">
        <v>1.4140830084015801</v>
      </c>
      <c r="T1317" t="b">
        <v>0</v>
      </c>
      <c r="U1317" t="b">
        <v>0</v>
      </c>
      <c r="V1317" t="b">
        <f t="shared" si="40"/>
        <v>1</v>
      </c>
      <c r="W1317">
        <v>0</v>
      </c>
      <c r="Y1317">
        <f t="shared" si="41"/>
        <v>0</v>
      </c>
    </row>
    <row r="1318" spans="1:25" x14ac:dyDescent="0.3">
      <c r="A1318" t="s">
        <v>3064</v>
      </c>
      <c r="B1318" t="s">
        <v>1778</v>
      </c>
      <c r="C1318">
        <v>220.23</v>
      </c>
      <c r="D1318" s="1">
        <v>45187.774571759262</v>
      </c>
      <c r="E1318" t="s">
        <v>25</v>
      </c>
      <c r="F1318" t="s">
        <v>191</v>
      </c>
      <c r="G1318" t="s">
        <v>592</v>
      </c>
      <c r="H1318" t="s">
        <v>2340</v>
      </c>
      <c r="I1318" t="s">
        <v>140</v>
      </c>
      <c r="J1318" t="s">
        <v>30</v>
      </c>
      <c r="K1318">
        <v>41</v>
      </c>
      <c r="L1318" t="s">
        <v>89</v>
      </c>
      <c r="M1318">
        <v>48</v>
      </c>
      <c r="N1318">
        <v>1</v>
      </c>
      <c r="O1318">
        <v>3438.02</v>
      </c>
      <c r="P1318" s="1">
        <v>45600.337881944448</v>
      </c>
      <c r="Q1318">
        <v>18</v>
      </c>
      <c r="R1318" t="s">
        <v>47</v>
      </c>
      <c r="S1318">
        <v>-0.26499322947239501</v>
      </c>
      <c r="T1318" t="b">
        <v>0</v>
      </c>
      <c r="U1318" t="b">
        <v>0</v>
      </c>
      <c r="V1318" t="b">
        <f t="shared" si="40"/>
        <v>1</v>
      </c>
      <c r="W1318">
        <v>0</v>
      </c>
      <c r="Y1318">
        <f t="shared" si="41"/>
        <v>0</v>
      </c>
    </row>
    <row r="1319" spans="1:25" x14ac:dyDescent="0.3">
      <c r="A1319" t="s">
        <v>3065</v>
      </c>
      <c r="B1319" t="s">
        <v>670</v>
      </c>
      <c r="C1319">
        <v>27.28</v>
      </c>
      <c r="D1319" s="1">
        <v>45285.688020833331</v>
      </c>
      <c r="E1319" t="s">
        <v>25</v>
      </c>
      <c r="F1319" t="s">
        <v>58</v>
      </c>
      <c r="G1319" t="s">
        <v>865</v>
      </c>
      <c r="H1319" t="s">
        <v>499</v>
      </c>
      <c r="I1319" t="s">
        <v>285</v>
      </c>
      <c r="J1319" t="s">
        <v>30</v>
      </c>
      <c r="K1319">
        <v>29</v>
      </c>
      <c r="L1319" t="s">
        <v>31</v>
      </c>
      <c r="M1319">
        <v>96</v>
      </c>
      <c r="N1319">
        <v>1</v>
      </c>
      <c r="O1319">
        <v>10668.24</v>
      </c>
      <c r="P1319" s="1">
        <v>45600.340069444443</v>
      </c>
      <c r="Q1319">
        <v>16</v>
      </c>
      <c r="R1319" t="s">
        <v>47</v>
      </c>
      <c r="S1319">
        <v>-0.92590257279712895</v>
      </c>
      <c r="T1319" t="b">
        <v>0</v>
      </c>
      <c r="U1319" t="b">
        <v>0</v>
      </c>
      <c r="V1319" t="b">
        <f t="shared" si="40"/>
        <v>1</v>
      </c>
      <c r="W1319">
        <v>0</v>
      </c>
      <c r="Y1319">
        <f t="shared" si="41"/>
        <v>0</v>
      </c>
    </row>
    <row r="1320" spans="1:25" x14ac:dyDescent="0.3">
      <c r="A1320" t="s">
        <v>3066</v>
      </c>
      <c r="B1320" t="s">
        <v>114</v>
      </c>
      <c r="C1320">
        <v>101.52</v>
      </c>
      <c r="D1320" s="1">
        <v>45147.682233796295</v>
      </c>
      <c r="E1320" t="s">
        <v>25</v>
      </c>
      <c r="F1320" t="s">
        <v>268</v>
      </c>
      <c r="G1320" t="s">
        <v>1740</v>
      </c>
      <c r="H1320" t="s">
        <v>3067</v>
      </c>
      <c r="I1320" t="s">
        <v>585</v>
      </c>
      <c r="J1320" t="s">
        <v>30</v>
      </c>
      <c r="K1320">
        <v>49</v>
      </c>
      <c r="L1320" t="s">
        <v>89</v>
      </c>
      <c r="M1320">
        <v>98</v>
      </c>
      <c r="N1320">
        <v>1</v>
      </c>
      <c r="O1320">
        <v>2018.9</v>
      </c>
      <c r="P1320" s="1">
        <v>45600.339328703703</v>
      </c>
      <c r="Q1320">
        <v>16</v>
      </c>
      <c r="R1320" t="s">
        <v>74</v>
      </c>
      <c r="S1320">
        <v>-0.67160918254873203</v>
      </c>
      <c r="T1320" t="b">
        <v>0</v>
      </c>
      <c r="U1320" t="b">
        <v>0</v>
      </c>
      <c r="V1320" t="b">
        <f t="shared" si="40"/>
        <v>1</v>
      </c>
      <c r="W1320">
        <v>0</v>
      </c>
      <c r="Y1320">
        <f t="shared" si="41"/>
        <v>0</v>
      </c>
    </row>
    <row r="1321" spans="1:25" x14ac:dyDescent="0.3">
      <c r="A1321" t="s">
        <v>3068</v>
      </c>
      <c r="B1321" t="s">
        <v>2091</v>
      </c>
      <c r="C1321">
        <v>162.65</v>
      </c>
      <c r="D1321" s="1">
        <v>45057.718865740739</v>
      </c>
      <c r="E1321" t="s">
        <v>25</v>
      </c>
      <c r="F1321" t="s">
        <v>216</v>
      </c>
      <c r="G1321" t="s">
        <v>1193</v>
      </c>
      <c r="H1321" t="s">
        <v>1328</v>
      </c>
      <c r="I1321" t="s">
        <v>782</v>
      </c>
      <c r="J1321" t="s">
        <v>30</v>
      </c>
      <c r="K1321">
        <v>59</v>
      </c>
      <c r="L1321" t="s">
        <v>89</v>
      </c>
      <c r="M1321">
        <v>147</v>
      </c>
      <c r="N1321">
        <v>1</v>
      </c>
      <c r="O1321">
        <v>9500.9500000000007</v>
      </c>
      <c r="P1321" s="1">
        <v>45600.341203703705</v>
      </c>
      <c r="Q1321">
        <v>17</v>
      </c>
      <c r="R1321" t="s">
        <v>141</v>
      </c>
      <c r="S1321">
        <v>-0.462221319592313</v>
      </c>
      <c r="T1321" t="b">
        <v>0</v>
      </c>
      <c r="U1321" t="b">
        <v>0</v>
      </c>
      <c r="V1321" t="b">
        <f t="shared" si="40"/>
        <v>1</v>
      </c>
      <c r="W1321">
        <v>0</v>
      </c>
      <c r="Y1321">
        <f t="shared" si="41"/>
        <v>0</v>
      </c>
    </row>
    <row r="1322" spans="1:25" x14ac:dyDescent="0.3">
      <c r="A1322" t="s">
        <v>3069</v>
      </c>
      <c r="B1322" t="s">
        <v>784</v>
      </c>
      <c r="C1322">
        <v>10.52</v>
      </c>
      <c r="D1322" s="1">
        <v>45126.735300925924</v>
      </c>
      <c r="E1322" t="s">
        <v>25</v>
      </c>
      <c r="F1322" t="s">
        <v>304</v>
      </c>
      <c r="G1322" t="s">
        <v>1499</v>
      </c>
      <c r="H1322" t="s">
        <v>3070</v>
      </c>
      <c r="I1322" t="s">
        <v>73</v>
      </c>
      <c r="J1322" t="s">
        <v>30</v>
      </c>
      <c r="K1322">
        <v>55</v>
      </c>
      <c r="L1322" t="s">
        <v>82</v>
      </c>
      <c r="M1322">
        <v>30</v>
      </c>
      <c r="N1322">
        <v>1</v>
      </c>
      <c r="O1322">
        <v>2472.9899999999998</v>
      </c>
      <c r="P1322" s="1">
        <v>45600.341041666667</v>
      </c>
      <c r="Q1322">
        <v>17</v>
      </c>
      <c r="R1322" t="s">
        <v>74</v>
      </c>
      <c r="S1322">
        <v>-0.98331040173790396</v>
      </c>
      <c r="T1322" t="b">
        <v>0</v>
      </c>
      <c r="U1322" t="b">
        <v>0</v>
      </c>
      <c r="V1322" t="b">
        <f t="shared" si="40"/>
        <v>1</v>
      </c>
      <c r="W1322">
        <v>0</v>
      </c>
      <c r="Y1322">
        <f t="shared" si="41"/>
        <v>0</v>
      </c>
    </row>
    <row r="1323" spans="1:25" x14ac:dyDescent="0.3">
      <c r="A1323" t="s">
        <v>3071</v>
      </c>
      <c r="B1323" t="s">
        <v>533</v>
      </c>
      <c r="C1323">
        <v>270.72000000000003</v>
      </c>
      <c r="D1323" s="1">
        <v>45012.726064814815</v>
      </c>
      <c r="E1323" t="s">
        <v>25</v>
      </c>
      <c r="F1323" t="s">
        <v>153</v>
      </c>
      <c r="G1323" t="s">
        <v>1058</v>
      </c>
      <c r="H1323" t="s">
        <v>2067</v>
      </c>
      <c r="I1323" t="s">
        <v>1575</v>
      </c>
      <c r="J1323" t="s">
        <v>81</v>
      </c>
      <c r="K1323">
        <v>38</v>
      </c>
      <c r="L1323" t="s">
        <v>31</v>
      </c>
      <c r="M1323">
        <v>37</v>
      </c>
      <c r="N1323">
        <v>1</v>
      </c>
      <c r="O1323">
        <v>6522.47</v>
      </c>
      <c r="P1323" s="1">
        <v>45600.341782407406</v>
      </c>
      <c r="Q1323">
        <v>17</v>
      </c>
      <c r="R1323" t="s">
        <v>47</v>
      </c>
      <c r="S1323">
        <v>-9.2050432144248795E-2</v>
      </c>
      <c r="T1323" t="b">
        <v>0</v>
      </c>
      <c r="U1323" t="b">
        <v>0</v>
      </c>
      <c r="V1323" t="b">
        <f t="shared" si="40"/>
        <v>1</v>
      </c>
      <c r="W1323">
        <v>0</v>
      </c>
      <c r="Y1323">
        <f t="shared" si="41"/>
        <v>0</v>
      </c>
    </row>
    <row r="1324" spans="1:25" x14ac:dyDescent="0.3">
      <c r="A1324" t="s">
        <v>3072</v>
      </c>
      <c r="B1324" t="s">
        <v>3073</v>
      </c>
      <c r="C1324">
        <v>202.34</v>
      </c>
      <c r="D1324" s="1">
        <v>44936.688958333332</v>
      </c>
      <c r="E1324" t="s">
        <v>25</v>
      </c>
      <c r="F1324" t="s">
        <v>216</v>
      </c>
      <c r="G1324" t="s">
        <v>1868</v>
      </c>
      <c r="H1324" t="s">
        <v>3074</v>
      </c>
      <c r="I1324" t="s">
        <v>487</v>
      </c>
      <c r="J1324" t="s">
        <v>45</v>
      </c>
      <c r="K1324">
        <v>20</v>
      </c>
      <c r="L1324" t="s">
        <v>46</v>
      </c>
      <c r="M1324">
        <v>134</v>
      </c>
      <c r="N1324">
        <v>1</v>
      </c>
      <c r="O1324">
        <v>1223.45</v>
      </c>
      <c r="P1324" s="1">
        <v>45600.341261574074</v>
      </c>
      <c r="Q1324">
        <v>16</v>
      </c>
      <c r="R1324" t="s">
        <v>32</v>
      </c>
      <c r="S1324">
        <v>-0.32627163399211201</v>
      </c>
      <c r="T1324" t="b">
        <v>0</v>
      </c>
      <c r="U1324" t="b">
        <v>0</v>
      </c>
      <c r="V1324" t="b">
        <f t="shared" si="40"/>
        <v>1</v>
      </c>
      <c r="W1324">
        <v>0</v>
      </c>
      <c r="Y1324">
        <f t="shared" si="41"/>
        <v>0</v>
      </c>
    </row>
    <row r="1325" spans="1:25" x14ac:dyDescent="0.3">
      <c r="A1325" t="s">
        <v>3075</v>
      </c>
      <c r="B1325" t="s">
        <v>1404</v>
      </c>
      <c r="C1325">
        <v>247.58</v>
      </c>
      <c r="D1325" s="1">
        <v>45075.778148148151</v>
      </c>
      <c r="E1325" t="s">
        <v>25</v>
      </c>
      <c r="F1325" t="s">
        <v>250</v>
      </c>
      <c r="G1325" t="s">
        <v>618</v>
      </c>
      <c r="H1325" t="s">
        <v>828</v>
      </c>
      <c r="I1325" t="s">
        <v>1537</v>
      </c>
      <c r="J1325" t="s">
        <v>30</v>
      </c>
      <c r="K1325">
        <v>39</v>
      </c>
      <c r="L1325" t="s">
        <v>89</v>
      </c>
      <c r="M1325">
        <v>152</v>
      </c>
      <c r="N1325">
        <v>1</v>
      </c>
      <c r="O1325">
        <v>778.74</v>
      </c>
      <c r="P1325" s="1">
        <v>45600.338402777779</v>
      </c>
      <c r="Q1325">
        <v>18</v>
      </c>
      <c r="R1325" t="s">
        <v>47</v>
      </c>
      <c r="S1325">
        <v>-0.17131159930949499</v>
      </c>
      <c r="T1325" t="b">
        <v>0</v>
      </c>
      <c r="U1325" t="b">
        <v>0</v>
      </c>
      <c r="V1325" t="b">
        <f t="shared" si="40"/>
        <v>1</v>
      </c>
      <c r="W1325">
        <v>0</v>
      </c>
      <c r="Y1325">
        <f t="shared" si="41"/>
        <v>0</v>
      </c>
    </row>
    <row r="1326" spans="1:25" x14ac:dyDescent="0.3">
      <c r="A1326" t="s">
        <v>3076</v>
      </c>
      <c r="B1326" t="s">
        <v>308</v>
      </c>
      <c r="C1326">
        <v>686.17</v>
      </c>
      <c r="D1326" s="1">
        <v>45202.727372685185</v>
      </c>
      <c r="E1326" t="s">
        <v>25</v>
      </c>
      <c r="F1326" t="s">
        <v>126</v>
      </c>
      <c r="G1326" t="s">
        <v>283</v>
      </c>
      <c r="H1326" t="s">
        <v>3077</v>
      </c>
      <c r="I1326" t="s">
        <v>107</v>
      </c>
      <c r="J1326" t="s">
        <v>30</v>
      </c>
      <c r="K1326">
        <v>61</v>
      </c>
      <c r="L1326" t="s">
        <v>82</v>
      </c>
      <c r="M1326">
        <v>96</v>
      </c>
      <c r="N1326">
        <v>1</v>
      </c>
      <c r="O1326">
        <v>2246.15</v>
      </c>
      <c r="P1326" s="1">
        <v>45600.338622685187</v>
      </c>
      <c r="Q1326">
        <v>17</v>
      </c>
      <c r="R1326" t="s">
        <v>32</v>
      </c>
      <c r="S1326">
        <v>1.3309855185386199</v>
      </c>
      <c r="T1326" t="b">
        <v>0</v>
      </c>
      <c r="U1326" t="b">
        <v>0</v>
      </c>
      <c r="V1326" t="b">
        <f t="shared" si="40"/>
        <v>1</v>
      </c>
      <c r="W1326">
        <v>0</v>
      </c>
      <c r="Y1326">
        <f t="shared" si="41"/>
        <v>0</v>
      </c>
    </row>
    <row r="1327" spans="1:25" x14ac:dyDescent="0.3">
      <c r="A1327" t="s">
        <v>3078</v>
      </c>
      <c r="B1327" t="s">
        <v>889</v>
      </c>
      <c r="C1327">
        <v>359.65</v>
      </c>
      <c r="D1327" s="1">
        <v>44938.749259259261</v>
      </c>
      <c r="E1327" t="s">
        <v>57</v>
      </c>
      <c r="F1327" t="s">
        <v>405</v>
      </c>
      <c r="G1327" t="s">
        <v>2331</v>
      </c>
      <c r="H1327" t="s">
        <v>596</v>
      </c>
      <c r="I1327" t="s">
        <v>687</v>
      </c>
      <c r="J1327" t="s">
        <v>45</v>
      </c>
      <c r="K1327">
        <v>25</v>
      </c>
      <c r="L1327" t="s">
        <v>46</v>
      </c>
      <c r="M1327">
        <v>289</v>
      </c>
      <c r="N1327">
        <v>1</v>
      </c>
      <c r="O1327">
        <v>219.53</v>
      </c>
      <c r="P1327" s="1">
        <v>45600.339629629627</v>
      </c>
      <c r="Q1327">
        <v>17</v>
      </c>
      <c r="R1327" t="s">
        <v>141</v>
      </c>
      <c r="S1327">
        <v>0.2125604406304</v>
      </c>
      <c r="T1327" t="b">
        <v>0</v>
      </c>
      <c r="U1327" t="b">
        <v>0</v>
      </c>
      <c r="V1327" t="b">
        <f t="shared" si="40"/>
        <v>1</v>
      </c>
      <c r="W1327">
        <v>0</v>
      </c>
      <c r="Y1327">
        <f t="shared" si="41"/>
        <v>0</v>
      </c>
    </row>
    <row r="1328" spans="1:25" x14ac:dyDescent="0.3">
      <c r="A1328" t="s">
        <v>3079</v>
      </c>
      <c r="B1328" t="s">
        <v>169</v>
      </c>
      <c r="C1328">
        <v>109.91</v>
      </c>
      <c r="D1328" s="1">
        <v>45047.682893518519</v>
      </c>
      <c r="E1328" t="s">
        <v>25</v>
      </c>
      <c r="F1328" t="s">
        <v>70</v>
      </c>
      <c r="G1328" t="s">
        <v>927</v>
      </c>
      <c r="H1328" t="s">
        <v>270</v>
      </c>
      <c r="I1328" t="s">
        <v>239</v>
      </c>
      <c r="J1328" t="s">
        <v>81</v>
      </c>
      <c r="K1328">
        <v>38</v>
      </c>
      <c r="L1328" t="s">
        <v>31</v>
      </c>
      <c r="M1328">
        <v>90</v>
      </c>
      <c r="N1328">
        <v>1</v>
      </c>
      <c r="O1328">
        <v>12896.06</v>
      </c>
      <c r="P1328" s="1">
        <v>45600.340937499997</v>
      </c>
      <c r="Q1328">
        <v>16</v>
      </c>
      <c r="R1328" t="s">
        <v>47</v>
      </c>
      <c r="S1328">
        <v>-0.64287101519711498</v>
      </c>
      <c r="T1328" t="b">
        <v>0</v>
      </c>
      <c r="U1328" t="b">
        <v>0</v>
      </c>
      <c r="V1328" t="b">
        <f t="shared" si="40"/>
        <v>1</v>
      </c>
      <c r="W1328">
        <v>0</v>
      </c>
      <c r="Y1328">
        <f t="shared" si="41"/>
        <v>0</v>
      </c>
    </row>
    <row r="1329" spans="1:25" x14ac:dyDescent="0.3">
      <c r="A1329" t="s">
        <v>3080</v>
      </c>
      <c r="B1329" t="s">
        <v>205</v>
      </c>
      <c r="C1329">
        <v>215.72</v>
      </c>
      <c r="D1329" s="1">
        <v>45210.753229166665</v>
      </c>
      <c r="E1329" t="s">
        <v>57</v>
      </c>
      <c r="F1329" t="s">
        <v>137</v>
      </c>
      <c r="G1329" t="s">
        <v>2308</v>
      </c>
      <c r="H1329" t="s">
        <v>1429</v>
      </c>
      <c r="I1329" t="s">
        <v>431</v>
      </c>
      <c r="J1329" t="s">
        <v>81</v>
      </c>
      <c r="K1329">
        <v>30</v>
      </c>
      <c r="L1329" t="s">
        <v>89</v>
      </c>
      <c r="M1329">
        <v>137</v>
      </c>
      <c r="N1329">
        <v>1</v>
      </c>
      <c r="O1329">
        <v>8697.11</v>
      </c>
      <c r="P1329" s="1">
        <v>45600.341597222221</v>
      </c>
      <c r="Q1329">
        <v>18</v>
      </c>
      <c r="R1329" t="s">
        <v>74</v>
      </c>
      <c r="S1329">
        <v>-0.28044127890693499</v>
      </c>
      <c r="T1329" t="b">
        <v>0</v>
      </c>
      <c r="U1329" t="b">
        <v>0</v>
      </c>
      <c r="V1329" t="b">
        <f t="shared" si="40"/>
        <v>1</v>
      </c>
      <c r="W1329">
        <v>0</v>
      </c>
      <c r="Y1329">
        <f t="shared" si="41"/>
        <v>0</v>
      </c>
    </row>
    <row r="1330" spans="1:25" x14ac:dyDescent="0.3">
      <c r="A1330" t="s">
        <v>3081</v>
      </c>
      <c r="B1330" t="s">
        <v>1716</v>
      </c>
      <c r="C1330">
        <v>490.76</v>
      </c>
      <c r="D1330" s="1">
        <v>44945.686203703706</v>
      </c>
      <c r="E1330" t="s">
        <v>25</v>
      </c>
      <c r="F1330" t="s">
        <v>137</v>
      </c>
      <c r="G1330" t="s">
        <v>2824</v>
      </c>
      <c r="H1330" t="s">
        <v>3082</v>
      </c>
      <c r="I1330" t="s">
        <v>134</v>
      </c>
      <c r="J1330" t="s">
        <v>45</v>
      </c>
      <c r="K1330">
        <v>66</v>
      </c>
      <c r="L1330" t="s">
        <v>82</v>
      </c>
      <c r="M1330">
        <v>156</v>
      </c>
      <c r="N1330">
        <v>1</v>
      </c>
      <c r="O1330">
        <v>6414.11</v>
      </c>
      <c r="P1330" s="1">
        <v>45600.340092592596</v>
      </c>
      <c r="Q1330">
        <v>16</v>
      </c>
      <c r="R1330" t="s">
        <v>141</v>
      </c>
      <c r="S1330">
        <v>0.66164996643141505</v>
      </c>
      <c r="T1330" t="b">
        <v>0</v>
      </c>
      <c r="U1330" t="b">
        <v>0</v>
      </c>
      <c r="V1330" t="b">
        <f t="shared" si="40"/>
        <v>1</v>
      </c>
      <c r="W1330">
        <v>0</v>
      </c>
      <c r="Y1330">
        <f t="shared" si="41"/>
        <v>0</v>
      </c>
    </row>
    <row r="1331" spans="1:25" x14ac:dyDescent="0.3">
      <c r="A1331" t="s">
        <v>3083</v>
      </c>
      <c r="B1331" t="s">
        <v>404</v>
      </c>
      <c r="C1331">
        <v>224.28</v>
      </c>
      <c r="D1331" s="1">
        <v>44972.701539351852</v>
      </c>
      <c r="E1331" t="s">
        <v>25</v>
      </c>
      <c r="F1331" t="s">
        <v>278</v>
      </c>
      <c r="G1331" t="s">
        <v>3084</v>
      </c>
      <c r="H1331" t="s">
        <v>1412</v>
      </c>
      <c r="I1331" t="s">
        <v>1537</v>
      </c>
      <c r="J1331" t="s">
        <v>45</v>
      </c>
      <c r="K1331">
        <v>64</v>
      </c>
      <c r="L1331" t="s">
        <v>82</v>
      </c>
      <c r="M1331">
        <v>68</v>
      </c>
      <c r="N1331">
        <v>1</v>
      </c>
      <c r="O1331">
        <v>5767.51</v>
      </c>
      <c r="P1331" s="1">
        <v>45600.340879629628</v>
      </c>
      <c r="Q1331">
        <v>16</v>
      </c>
      <c r="R1331" t="s">
        <v>74</v>
      </c>
      <c r="S1331">
        <v>-0.25112081257441499</v>
      </c>
      <c r="T1331" t="b">
        <v>0</v>
      </c>
      <c r="U1331" t="b">
        <v>0</v>
      </c>
      <c r="V1331" t="b">
        <f t="shared" si="40"/>
        <v>1</v>
      </c>
      <c r="W1331">
        <v>0</v>
      </c>
      <c r="Y1331">
        <f t="shared" si="41"/>
        <v>0</v>
      </c>
    </row>
    <row r="1332" spans="1:25" x14ac:dyDescent="0.3">
      <c r="A1332" t="s">
        <v>3085</v>
      </c>
      <c r="B1332" t="s">
        <v>1940</v>
      </c>
      <c r="C1332">
        <v>614.03</v>
      </c>
      <c r="D1332" s="1">
        <v>45054.692523148151</v>
      </c>
      <c r="E1332" t="s">
        <v>25</v>
      </c>
      <c r="F1332" t="s">
        <v>336</v>
      </c>
      <c r="G1332" t="s">
        <v>1274</v>
      </c>
      <c r="H1332" t="s">
        <v>2871</v>
      </c>
      <c r="I1332" t="s">
        <v>585</v>
      </c>
      <c r="J1332" t="s">
        <v>30</v>
      </c>
      <c r="K1332">
        <v>68</v>
      </c>
      <c r="L1332" t="s">
        <v>82</v>
      </c>
      <c r="M1332">
        <v>51</v>
      </c>
      <c r="N1332">
        <v>1</v>
      </c>
      <c r="O1332">
        <v>2815.86</v>
      </c>
      <c r="P1332" s="1">
        <v>45600.33902777778</v>
      </c>
      <c r="Q1332">
        <v>16</v>
      </c>
      <c r="R1332" t="s">
        <v>47</v>
      </c>
      <c r="S1332">
        <v>1.0838852333484399</v>
      </c>
      <c r="T1332" t="b">
        <v>0</v>
      </c>
      <c r="U1332" t="b">
        <v>0</v>
      </c>
      <c r="V1332" t="b">
        <f t="shared" si="40"/>
        <v>1</v>
      </c>
      <c r="W1332">
        <v>0</v>
      </c>
      <c r="Y1332">
        <f t="shared" si="41"/>
        <v>0</v>
      </c>
    </row>
    <row r="1333" spans="1:25" x14ac:dyDescent="0.3">
      <c r="A1333" t="s">
        <v>3086</v>
      </c>
      <c r="B1333" t="s">
        <v>963</v>
      </c>
      <c r="C1333">
        <v>608.79</v>
      </c>
      <c r="D1333" s="1">
        <v>45233.775902777779</v>
      </c>
      <c r="E1333" t="s">
        <v>25</v>
      </c>
      <c r="F1333" t="s">
        <v>170</v>
      </c>
      <c r="G1333" t="s">
        <v>1278</v>
      </c>
      <c r="H1333" t="s">
        <v>3087</v>
      </c>
      <c r="I1333" t="s">
        <v>29</v>
      </c>
      <c r="J1333" t="s">
        <v>45</v>
      </c>
      <c r="K1333">
        <v>55</v>
      </c>
      <c r="L1333" t="s">
        <v>89</v>
      </c>
      <c r="M1333">
        <v>157</v>
      </c>
      <c r="N1333">
        <v>1</v>
      </c>
      <c r="O1333">
        <v>2991.17</v>
      </c>
      <c r="P1333" s="1">
        <v>45600.341874999998</v>
      </c>
      <c r="Q1333">
        <v>18</v>
      </c>
      <c r="R1333" t="s">
        <v>54</v>
      </c>
      <c r="S1333">
        <v>1.0659367235841399</v>
      </c>
      <c r="T1333" t="b">
        <v>0</v>
      </c>
      <c r="U1333" t="b">
        <v>0</v>
      </c>
      <c r="V1333" t="b">
        <f t="shared" si="40"/>
        <v>1</v>
      </c>
      <c r="W1333">
        <v>0</v>
      </c>
      <c r="Y1333">
        <f t="shared" si="41"/>
        <v>0</v>
      </c>
    </row>
    <row r="1334" spans="1:25" x14ac:dyDescent="0.3">
      <c r="A1334" t="s">
        <v>3088</v>
      </c>
      <c r="B1334" t="s">
        <v>1902</v>
      </c>
      <c r="C1334">
        <v>186.55</v>
      </c>
      <c r="D1334" s="1">
        <v>45098.700810185182</v>
      </c>
      <c r="E1334" t="s">
        <v>25</v>
      </c>
      <c r="F1334" t="s">
        <v>256</v>
      </c>
      <c r="G1334" t="s">
        <v>3089</v>
      </c>
      <c r="H1334" t="s">
        <v>1031</v>
      </c>
      <c r="I1334" t="s">
        <v>375</v>
      </c>
      <c r="J1334" t="s">
        <v>81</v>
      </c>
      <c r="K1334">
        <v>48</v>
      </c>
      <c r="L1334" t="s">
        <v>89</v>
      </c>
      <c r="M1334">
        <v>288</v>
      </c>
      <c r="N1334">
        <v>1</v>
      </c>
      <c r="O1334">
        <v>224.65</v>
      </c>
      <c r="P1334" s="1">
        <v>45600.338402777779</v>
      </c>
      <c r="Q1334">
        <v>16</v>
      </c>
      <c r="R1334" t="s">
        <v>74</v>
      </c>
      <c r="S1334">
        <v>-0.38035693345361798</v>
      </c>
      <c r="T1334" t="b">
        <v>0</v>
      </c>
      <c r="U1334" t="b">
        <v>0</v>
      </c>
      <c r="V1334" t="b">
        <f t="shared" si="40"/>
        <v>1</v>
      </c>
      <c r="W1334">
        <v>0</v>
      </c>
      <c r="Y1334">
        <f t="shared" si="41"/>
        <v>0</v>
      </c>
    </row>
    <row r="1335" spans="1:25" x14ac:dyDescent="0.3">
      <c r="A1335" t="s">
        <v>3090</v>
      </c>
      <c r="B1335" t="s">
        <v>3091</v>
      </c>
      <c r="C1335">
        <v>840.16</v>
      </c>
      <c r="D1335" s="1">
        <v>45005.69158564815</v>
      </c>
      <c r="E1335" t="s">
        <v>57</v>
      </c>
      <c r="F1335" t="s">
        <v>534</v>
      </c>
      <c r="G1335" t="s">
        <v>1919</v>
      </c>
      <c r="H1335" t="s">
        <v>2912</v>
      </c>
      <c r="I1335" t="s">
        <v>253</v>
      </c>
      <c r="J1335" t="s">
        <v>81</v>
      </c>
      <c r="K1335">
        <v>20</v>
      </c>
      <c r="L1335" t="s">
        <v>46</v>
      </c>
      <c r="M1335">
        <v>68</v>
      </c>
      <c r="N1335">
        <v>1</v>
      </c>
      <c r="O1335">
        <v>1236.76</v>
      </c>
      <c r="P1335" s="1">
        <v>45600.341805555552</v>
      </c>
      <c r="Q1335">
        <v>16</v>
      </c>
      <c r="R1335" t="s">
        <v>47</v>
      </c>
      <c r="S1335">
        <v>1.8584456365929201</v>
      </c>
      <c r="T1335" t="b">
        <v>0</v>
      </c>
      <c r="U1335" t="b">
        <v>0</v>
      </c>
      <c r="V1335" t="b">
        <f t="shared" si="40"/>
        <v>1</v>
      </c>
      <c r="W1335">
        <v>0</v>
      </c>
      <c r="Y1335">
        <f t="shared" si="41"/>
        <v>0</v>
      </c>
    </row>
    <row r="1336" spans="1:25" x14ac:dyDescent="0.3">
      <c r="A1336" t="s">
        <v>3092</v>
      </c>
      <c r="B1336" t="s">
        <v>1040</v>
      </c>
      <c r="C1336">
        <v>203.34</v>
      </c>
      <c r="D1336" s="1">
        <v>45280.717939814815</v>
      </c>
      <c r="E1336" t="s">
        <v>25</v>
      </c>
      <c r="F1336" t="s">
        <v>438</v>
      </c>
      <c r="G1336" t="s">
        <v>2667</v>
      </c>
      <c r="H1336" t="s">
        <v>600</v>
      </c>
      <c r="I1336" t="s">
        <v>898</v>
      </c>
      <c r="J1336" t="s">
        <v>30</v>
      </c>
      <c r="K1336">
        <v>60</v>
      </c>
      <c r="L1336" t="s">
        <v>31</v>
      </c>
      <c r="M1336">
        <v>66</v>
      </c>
      <c r="N1336">
        <v>1</v>
      </c>
      <c r="O1336">
        <v>13586.99</v>
      </c>
      <c r="P1336" s="1">
        <v>45600.340081018519</v>
      </c>
      <c r="Q1336">
        <v>17</v>
      </c>
      <c r="R1336" t="s">
        <v>74</v>
      </c>
      <c r="S1336">
        <v>-0.32284634586915401</v>
      </c>
      <c r="T1336" t="b">
        <v>0</v>
      </c>
      <c r="U1336" t="b">
        <v>0</v>
      </c>
      <c r="V1336" t="b">
        <f t="shared" si="40"/>
        <v>1</v>
      </c>
      <c r="W1336">
        <v>0</v>
      </c>
      <c r="Y1336">
        <f t="shared" si="41"/>
        <v>0</v>
      </c>
    </row>
    <row r="1337" spans="1:25" x14ac:dyDescent="0.3">
      <c r="A1337" t="s">
        <v>3093</v>
      </c>
      <c r="B1337" t="s">
        <v>416</v>
      </c>
      <c r="C1337">
        <v>90.88</v>
      </c>
      <c r="D1337" s="1">
        <v>45250.714270833334</v>
      </c>
      <c r="E1337" t="s">
        <v>25</v>
      </c>
      <c r="F1337" t="s">
        <v>534</v>
      </c>
      <c r="G1337" t="s">
        <v>2265</v>
      </c>
      <c r="H1337" t="s">
        <v>2404</v>
      </c>
      <c r="I1337" t="s">
        <v>371</v>
      </c>
      <c r="J1337" t="s">
        <v>30</v>
      </c>
      <c r="K1337">
        <v>26</v>
      </c>
      <c r="L1337" t="s">
        <v>89</v>
      </c>
      <c r="M1337">
        <v>284</v>
      </c>
      <c r="N1337">
        <v>1</v>
      </c>
      <c r="O1337">
        <v>7117.35</v>
      </c>
      <c r="P1337" s="1">
        <v>45600.340856481482</v>
      </c>
      <c r="Q1337">
        <v>17</v>
      </c>
      <c r="R1337" t="s">
        <v>47</v>
      </c>
      <c r="S1337">
        <v>-0.70805424817700402</v>
      </c>
      <c r="T1337" t="b">
        <v>0</v>
      </c>
      <c r="U1337" t="b">
        <v>0</v>
      </c>
      <c r="V1337" t="b">
        <f t="shared" si="40"/>
        <v>1</v>
      </c>
      <c r="W1337">
        <v>0</v>
      </c>
      <c r="Y1337">
        <f t="shared" si="41"/>
        <v>0</v>
      </c>
    </row>
    <row r="1338" spans="1:25" x14ac:dyDescent="0.3">
      <c r="A1338" t="s">
        <v>3094</v>
      </c>
      <c r="B1338" t="s">
        <v>2545</v>
      </c>
      <c r="C1338">
        <v>60.11</v>
      </c>
      <c r="D1338" s="1">
        <v>45257.735868055555</v>
      </c>
      <c r="E1338" t="s">
        <v>57</v>
      </c>
      <c r="F1338" t="s">
        <v>98</v>
      </c>
      <c r="G1338" t="s">
        <v>3095</v>
      </c>
      <c r="H1338" t="s">
        <v>468</v>
      </c>
      <c r="I1338" t="s">
        <v>665</v>
      </c>
      <c r="J1338" t="s">
        <v>81</v>
      </c>
      <c r="K1338">
        <v>61</v>
      </c>
      <c r="L1338" t="s">
        <v>82</v>
      </c>
      <c r="M1338">
        <v>122</v>
      </c>
      <c r="N1338">
        <v>1</v>
      </c>
      <c r="O1338">
        <v>7235.87</v>
      </c>
      <c r="P1338" s="1">
        <v>45600.338993055557</v>
      </c>
      <c r="Q1338">
        <v>17</v>
      </c>
      <c r="R1338" t="s">
        <v>47</v>
      </c>
      <c r="S1338">
        <v>-0.81345036372042001</v>
      </c>
      <c r="T1338" t="b">
        <v>0</v>
      </c>
      <c r="U1338" t="b">
        <v>0</v>
      </c>
      <c r="V1338" t="b">
        <f t="shared" si="40"/>
        <v>1</v>
      </c>
      <c r="W1338">
        <v>0</v>
      </c>
      <c r="Y1338">
        <f t="shared" si="41"/>
        <v>0</v>
      </c>
    </row>
    <row r="1339" spans="1:25" x14ac:dyDescent="0.3">
      <c r="A1339" t="s">
        <v>3096</v>
      </c>
      <c r="B1339" t="s">
        <v>1812</v>
      </c>
      <c r="C1339">
        <v>393.92</v>
      </c>
      <c r="D1339" s="1">
        <v>45062.706655092596</v>
      </c>
      <c r="E1339" t="s">
        <v>25</v>
      </c>
      <c r="F1339" t="s">
        <v>104</v>
      </c>
      <c r="G1339" t="s">
        <v>1327</v>
      </c>
      <c r="H1339" t="s">
        <v>3097</v>
      </c>
      <c r="I1339" t="s">
        <v>898</v>
      </c>
      <c r="J1339" t="s">
        <v>81</v>
      </c>
      <c r="K1339">
        <v>72</v>
      </c>
      <c r="L1339" t="s">
        <v>82</v>
      </c>
      <c r="M1339">
        <v>47</v>
      </c>
      <c r="N1339">
        <v>1</v>
      </c>
      <c r="O1339">
        <v>7318.64</v>
      </c>
      <c r="P1339" s="1">
        <v>45600.341747685183</v>
      </c>
      <c r="Q1339">
        <v>16</v>
      </c>
      <c r="R1339" t="s">
        <v>32</v>
      </c>
      <c r="S1339">
        <v>0.329945064604169</v>
      </c>
      <c r="T1339" t="b">
        <v>0</v>
      </c>
      <c r="U1339" t="b">
        <v>0</v>
      </c>
      <c r="V1339" t="b">
        <f t="shared" si="40"/>
        <v>1</v>
      </c>
      <c r="W1339">
        <v>0</v>
      </c>
      <c r="Y1339">
        <f t="shared" si="41"/>
        <v>0</v>
      </c>
    </row>
    <row r="1340" spans="1:25" x14ac:dyDescent="0.3">
      <c r="A1340" t="s">
        <v>3098</v>
      </c>
      <c r="B1340" t="s">
        <v>404</v>
      </c>
      <c r="C1340">
        <v>19.39</v>
      </c>
      <c r="D1340" s="1">
        <v>45247.693981481483</v>
      </c>
      <c r="E1340" t="s">
        <v>25</v>
      </c>
      <c r="F1340" t="s">
        <v>534</v>
      </c>
      <c r="G1340" t="s">
        <v>2516</v>
      </c>
      <c r="H1340" t="s">
        <v>1966</v>
      </c>
      <c r="I1340" t="s">
        <v>632</v>
      </c>
      <c r="J1340" t="s">
        <v>30</v>
      </c>
      <c r="K1340">
        <v>43</v>
      </c>
      <c r="L1340" t="s">
        <v>31</v>
      </c>
      <c r="M1340">
        <v>45</v>
      </c>
      <c r="N1340">
        <v>1</v>
      </c>
      <c r="O1340">
        <v>9847.6</v>
      </c>
      <c r="P1340" s="1">
        <v>45600.341249999998</v>
      </c>
      <c r="Q1340">
        <v>16</v>
      </c>
      <c r="R1340" t="s">
        <v>54</v>
      </c>
      <c r="S1340">
        <v>-0.95292809608726703</v>
      </c>
      <c r="T1340" t="b">
        <v>0</v>
      </c>
      <c r="U1340" t="b">
        <v>0</v>
      </c>
      <c r="V1340" t="b">
        <f t="shared" si="40"/>
        <v>1</v>
      </c>
      <c r="W1340">
        <v>0</v>
      </c>
      <c r="Y1340">
        <f t="shared" si="41"/>
        <v>0</v>
      </c>
    </row>
    <row r="1341" spans="1:25" x14ac:dyDescent="0.3">
      <c r="A1341" t="s">
        <v>3099</v>
      </c>
      <c r="B1341" t="s">
        <v>987</v>
      </c>
      <c r="C1341">
        <v>557.41</v>
      </c>
      <c r="D1341" s="1">
        <v>45030.703043981484</v>
      </c>
      <c r="E1341" t="s">
        <v>57</v>
      </c>
      <c r="F1341" t="s">
        <v>466</v>
      </c>
      <c r="G1341" t="s">
        <v>402</v>
      </c>
      <c r="H1341" t="s">
        <v>3100</v>
      </c>
      <c r="I1341" t="s">
        <v>356</v>
      </c>
      <c r="J1341" t="s">
        <v>45</v>
      </c>
      <c r="K1341">
        <v>80</v>
      </c>
      <c r="L1341" t="s">
        <v>82</v>
      </c>
      <c r="M1341">
        <v>49</v>
      </c>
      <c r="N1341">
        <v>1</v>
      </c>
      <c r="O1341">
        <v>2968.75</v>
      </c>
      <c r="P1341" s="1">
        <v>45600.340208333335</v>
      </c>
      <c r="Q1341">
        <v>16</v>
      </c>
      <c r="R1341" t="s">
        <v>54</v>
      </c>
      <c r="S1341">
        <v>0.88994541982656195</v>
      </c>
      <c r="T1341" t="b">
        <v>0</v>
      </c>
      <c r="U1341" t="b">
        <v>0</v>
      </c>
      <c r="V1341" t="b">
        <f t="shared" si="40"/>
        <v>1</v>
      </c>
      <c r="W1341">
        <v>0</v>
      </c>
      <c r="Y1341">
        <f t="shared" si="41"/>
        <v>0</v>
      </c>
    </row>
    <row r="1342" spans="1:25" x14ac:dyDescent="0.3">
      <c r="A1342" t="s">
        <v>3101</v>
      </c>
      <c r="B1342" t="s">
        <v>2991</v>
      </c>
      <c r="C1342">
        <v>57.07</v>
      </c>
      <c r="D1342" s="1">
        <v>45163.687523148146</v>
      </c>
      <c r="E1342" t="s">
        <v>57</v>
      </c>
      <c r="F1342" t="s">
        <v>401</v>
      </c>
      <c r="G1342" t="s">
        <v>233</v>
      </c>
      <c r="H1342" t="s">
        <v>106</v>
      </c>
      <c r="I1342" t="s">
        <v>1575</v>
      </c>
      <c r="J1342" t="s">
        <v>45</v>
      </c>
      <c r="K1342">
        <v>31</v>
      </c>
      <c r="L1342" t="s">
        <v>31</v>
      </c>
      <c r="M1342">
        <v>99</v>
      </c>
      <c r="N1342">
        <v>1</v>
      </c>
      <c r="O1342">
        <v>9323.7099999999991</v>
      </c>
      <c r="P1342" s="1">
        <v>45600.341377314813</v>
      </c>
      <c r="Q1342">
        <v>16</v>
      </c>
      <c r="R1342" t="s">
        <v>54</v>
      </c>
      <c r="S1342">
        <v>-0.82386323961421204</v>
      </c>
      <c r="T1342" t="b">
        <v>0</v>
      </c>
      <c r="U1342" t="b">
        <v>0</v>
      </c>
      <c r="V1342" t="b">
        <f t="shared" si="40"/>
        <v>1</v>
      </c>
      <c r="W1342">
        <v>0</v>
      </c>
      <c r="Y1342">
        <f t="shared" si="41"/>
        <v>0</v>
      </c>
    </row>
    <row r="1343" spans="1:25" x14ac:dyDescent="0.3">
      <c r="A1343" t="s">
        <v>3102</v>
      </c>
      <c r="B1343" t="s">
        <v>670</v>
      </c>
      <c r="C1343">
        <v>395.27</v>
      </c>
      <c r="D1343" s="1">
        <v>45145.693657407406</v>
      </c>
      <c r="E1343" t="s">
        <v>57</v>
      </c>
      <c r="F1343" t="s">
        <v>185</v>
      </c>
      <c r="G1343" t="s">
        <v>1343</v>
      </c>
      <c r="H1343" t="s">
        <v>1208</v>
      </c>
      <c r="I1343" t="s">
        <v>687</v>
      </c>
      <c r="J1343" t="s">
        <v>45</v>
      </c>
      <c r="K1343">
        <v>18</v>
      </c>
      <c r="L1343" t="s">
        <v>46</v>
      </c>
      <c r="M1343">
        <v>167</v>
      </c>
      <c r="N1343">
        <v>1</v>
      </c>
      <c r="O1343">
        <v>1764.08</v>
      </c>
      <c r="P1343" s="1">
        <v>45600.339131944442</v>
      </c>
      <c r="Q1343">
        <v>16</v>
      </c>
      <c r="R1343" t="s">
        <v>47</v>
      </c>
      <c r="S1343">
        <v>0.33456920357016201</v>
      </c>
      <c r="T1343" t="b">
        <v>0</v>
      </c>
      <c r="U1343" t="b">
        <v>0</v>
      </c>
      <c r="V1343" t="b">
        <f t="shared" si="40"/>
        <v>1</v>
      </c>
      <c r="W1343">
        <v>0</v>
      </c>
      <c r="Y1343">
        <f t="shared" si="41"/>
        <v>0</v>
      </c>
    </row>
    <row r="1344" spans="1:25" x14ac:dyDescent="0.3">
      <c r="A1344" t="s">
        <v>3103</v>
      </c>
      <c r="B1344" t="s">
        <v>2703</v>
      </c>
      <c r="C1344">
        <v>289.05</v>
      </c>
      <c r="D1344" s="1">
        <v>45086.748611111114</v>
      </c>
      <c r="E1344" t="s">
        <v>25</v>
      </c>
      <c r="F1344" t="s">
        <v>216</v>
      </c>
      <c r="G1344" t="s">
        <v>2216</v>
      </c>
      <c r="H1344" t="s">
        <v>544</v>
      </c>
      <c r="I1344" t="s">
        <v>782</v>
      </c>
      <c r="J1344" t="s">
        <v>30</v>
      </c>
      <c r="K1344">
        <v>75</v>
      </c>
      <c r="L1344" t="s">
        <v>82</v>
      </c>
      <c r="M1344">
        <v>116</v>
      </c>
      <c r="N1344">
        <v>1</v>
      </c>
      <c r="O1344">
        <v>5683.49</v>
      </c>
      <c r="P1344" s="1">
        <v>45600.341643518521</v>
      </c>
      <c r="Q1344">
        <v>17</v>
      </c>
      <c r="R1344" t="s">
        <v>54</v>
      </c>
      <c r="S1344">
        <v>-2.9264900850429799E-2</v>
      </c>
      <c r="T1344" t="b">
        <v>0</v>
      </c>
      <c r="U1344" t="b">
        <v>0</v>
      </c>
      <c r="V1344" t="b">
        <f t="shared" si="40"/>
        <v>1</v>
      </c>
      <c r="W1344">
        <v>0</v>
      </c>
      <c r="Y1344">
        <f t="shared" si="41"/>
        <v>0</v>
      </c>
    </row>
    <row r="1345" spans="1:25" x14ac:dyDescent="0.3">
      <c r="A1345" t="s">
        <v>3104</v>
      </c>
      <c r="B1345" t="s">
        <v>3105</v>
      </c>
      <c r="C1345">
        <v>46.11</v>
      </c>
      <c r="D1345" s="1">
        <v>45012.713425925926</v>
      </c>
      <c r="E1345" t="s">
        <v>25</v>
      </c>
      <c r="F1345" t="s">
        <v>225</v>
      </c>
      <c r="G1345" t="s">
        <v>2045</v>
      </c>
      <c r="H1345" t="s">
        <v>1004</v>
      </c>
      <c r="I1345" t="s">
        <v>134</v>
      </c>
      <c r="J1345" t="s">
        <v>45</v>
      </c>
      <c r="K1345">
        <v>33</v>
      </c>
      <c r="L1345" t="s">
        <v>31</v>
      </c>
      <c r="M1345">
        <v>233</v>
      </c>
      <c r="N1345">
        <v>1</v>
      </c>
      <c r="O1345">
        <v>5225.7299999999996</v>
      </c>
      <c r="P1345" s="1">
        <v>45600.340787037036</v>
      </c>
      <c r="Q1345">
        <v>17</v>
      </c>
      <c r="R1345" t="s">
        <v>47</v>
      </c>
      <c r="S1345">
        <v>-0.86140439744183095</v>
      </c>
      <c r="T1345" t="b">
        <v>0</v>
      </c>
      <c r="U1345" t="b">
        <v>0</v>
      </c>
      <c r="V1345" t="b">
        <f t="shared" si="40"/>
        <v>1</v>
      </c>
      <c r="W1345">
        <v>0</v>
      </c>
      <c r="Y1345">
        <f t="shared" si="41"/>
        <v>0</v>
      </c>
    </row>
    <row r="1346" spans="1:25" x14ac:dyDescent="0.3">
      <c r="A1346" t="s">
        <v>3106</v>
      </c>
      <c r="B1346" t="s">
        <v>1185</v>
      </c>
      <c r="C1346">
        <v>335.5</v>
      </c>
      <c r="D1346" s="1">
        <v>45152.667384259257</v>
      </c>
      <c r="E1346" t="s">
        <v>25</v>
      </c>
      <c r="F1346" t="s">
        <v>298</v>
      </c>
      <c r="G1346" t="s">
        <v>3107</v>
      </c>
      <c r="H1346" t="s">
        <v>992</v>
      </c>
      <c r="I1346" t="s">
        <v>375</v>
      </c>
      <c r="J1346" t="s">
        <v>30</v>
      </c>
      <c r="K1346">
        <v>63</v>
      </c>
      <c r="L1346" t="s">
        <v>82</v>
      </c>
      <c r="M1346">
        <v>47</v>
      </c>
      <c r="N1346">
        <v>1</v>
      </c>
      <c r="O1346">
        <v>6445.4</v>
      </c>
      <c r="P1346" s="1">
        <v>45600.341932870368</v>
      </c>
      <c r="Q1346">
        <v>16</v>
      </c>
      <c r="R1346" t="s">
        <v>47</v>
      </c>
      <c r="S1346">
        <v>0.129839732460966</v>
      </c>
      <c r="T1346" t="b">
        <v>0</v>
      </c>
      <c r="U1346" t="b">
        <v>0</v>
      </c>
      <c r="V1346" t="b">
        <f t="shared" si="40"/>
        <v>1</v>
      </c>
      <c r="W1346">
        <v>0</v>
      </c>
      <c r="Y1346">
        <f t="shared" si="41"/>
        <v>0</v>
      </c>
    </row>
    <row r="1347" spans="1:25" x14ac:dyDescent="0.3">
      <c r="A1347" t="s">
        <v>3108</v>
      </c>
      <c r="B1347" t="s">
        <v>2663</v>
      </c>
      <c r="C1347">
        <v>388.07</v>
      </c>
      <c r="D1347" s="1">
        <v>45174.732037037036</v>
      </c>
      <c r="E1347" t="s">
        <v>25</v>
      </c>
      <c r="F1347" t="s">
        <v>70</v>
      </c>
      <c r="G1347" t="s">
        <v>1635</v>
      </c>
      <c r="H1347" t="s">
        <v>560</v>
      </c>
      <c r="I1347" t="s">
        <v>665</v>
      </c>
      <c r="J1347" t="s">
        <v>45</v>
      </c>
      <c r="K1347">
        <v>24</v>
      </c>
      <c r="L1347" t="s">
        <v>46</v>
      </c>
      <c r="M1347">
        <v>68</v>
      </c>
      <c r="N1347">
        <v>1</v>
      </c>
      <c r="O1347">
        <v>289.70999999999998</v>
      </c>
      <c r="P1347" s="1">
        <v>45600.34070601852</v>
      </c>
      <c r="Q1347">
        <v>17</v>
      </c>
      <c r="R1347" t="s">
        <v>32</v>
      </c>
      <c r="S1347">
        <v>0.30990712908486501</v>
      </c>
      <c r="T1347" t="b">
        <v>0</v>
      </c>
      <c r="U1347" t="b">
        <v>0</v>
      </c>
      <c r="V1347" t="b">
        <f t="shared" ref="V1347:V1410" si="42">ISLOGICAL(T1347)</f>
        <v>1</v>
      </c>
      <c r="W1347">
        <v>0</v>
      </c>
      <c r="Y1347">
        <f t="shared" ref="Y1347:Y1410" si="43">--T1347</f>
        <v>0</v>
      </c>
    </row>
    <row r="1348" spans="1:25" x14ac:dyDescent="0.3">
      <c r="A1348" t="s">
        <v>3109</v>
      </c>
      <c r="B1348" t="s">
        <v>1827</v>
      </c>
      <c r="C1348">
        <v>520.86</v>
      </c>
      <c r="D1348" s="1">
        <v>45005.686828703707</v>
      </c>
      <c r="E1348" t="s">
        <v>57</v>
      </c>
      <c r="F1348" t="s">
        <v>298</v>
      </c>
      <c r="G1348" t="s">
        <v>121</v>
      </c>
      <c r="H1348" t="s">
        <v>2422</v>
      </c>
      <c r="I1348" t="s">
        <v>123</v>
      </c>
      <c r="J1348" t="s">
        <v>45</v>
      </c>
      <c r="K1348">
        <v>51</v>
      </c>
      <c r="L1348" t="s">
        <v>89</v>
      </c>
      <c r="M1348">
        <v>66</v>
      </c>
      <c r="N1348">
        <v>1</v>
      </c>
      <c r="O1348">
        <v>9200.74</v>
      </c>
      <c r="P1348" s="1">
        <v>45600.339432870373</v>
      </c>
      <c r="Q1348">
        <v>16</v>
      </c>
      <c r="R1348" t="s">
        <v>47</v>
      </c>
      <c r="S1348">
        <v>0.76475113893244995</v>
      </c>
      <c r="T1348" t="b">
        <v>0</v>
      </c>
      <c r="U1348" t="b">
        <v>0</v>
      </c>
      <c r="V1348" t="b">
        <f t="shared" si="42"/>
        <v>1</v>
      </c>
      <c r="W1348">
        <v>0</v>
      </c>
      <c r="Y1348">
        <f t="shared" si="43"/>
        <v>0</v>
      </c>
    </row>
    <row r="1349" spans="1:25" x14ac:dyDescent="0.3">
      <c r="A1349" t="s">
        <v>3110</v>
      </c>
      <c r="B1349" t="s">
        <v>34</v>
      </c>
      <c r="C1349">
        <v>787.41</v>
      </c>
      <c r="D1349" s="1">
        <v>45096.682268518518</v>
      </c>
      <c r="E1349" t="s">
        <v>25</v>
      </c>
      <c r="F1349" t="s">
        <v>104</v>
      </c>
      <c r="G1349" t="s">
        <v>1254</v>
      </c>
      <c r="H1349" t="s">
        <v>3111</v>
      </c>
      <c r="I1349" t="s">
        <v>440</v>
      </c>
      <c r="J1349" t="s">
        <v>45</v>
      </c>
      <c r="K1349">
        <v>25</v>
      </c>
      <c r="L1349" t="s">
        <v>46</v>
      </c>
      <c r="M1349">
        <v>39</v>
      </c>
      <c r="N1349">
        <v>1</v>
      </c>
      <c r="O1349">
        <v>300.87</v>
      </c>
      <c r="P1349" s="1">
        <v>45600.338009259256</v>
      </c>
      <c r="Q1349">
        <v>16</v>
      </c>
      <c r="R1349" t="s">
        <v>47</v>
      </c>
      <c r="S1349">
        <v>1.67776168810688</v>
      </c>
      <c r="T1349" t="b">
        <v>0</v>
      </c>
      <c r="U1349" t="b">
        <v>0</v>
      </c>
      <c r="V1349" t="b">
        <f t="shared" si="42"/>
        <v>1</v>
      </c>
      <c r="W1349">
        <v>0</v>
      </c>
      <c r="Y1349">
        <f t="shared" si="43"/>
        <v>0</v>
      </c>
    </row>
    <row r="1350" spans="1:25" x14ac:dyDescent="0.3">
      <c r="A1350" t="s">
        <v>3112</v>
      </c>
      <c r="B1350" t="s">
        <v>2433</v>
      </c>
      <c r="C1350">
        <v>31.7</v>
      </c>
      <c r="D1350" s="1">
        <v>45078.705937500003</v>
      </c>
      <c r="E1350" t="s">
        <v>57</v>
      </c>
      <c r="F1350" t="s">
        <v>50</v>
      </c>
      <c r="G1350" t="s">
        <v>3113</v>
      </c>
      <c r="H1350" t="s">
        <v>3114</v>
      </c>
      <c r="I1350" t="s">
        <v>239</v>
      </c>
      <c r="J1350" t="s">
        <v>30</v>
      </c>
      <c r="K1350">
        <v>48</v>
      </c>
      <c r="L1350" t="s">
        <v>31</v>
      </c>
      <c r="M1350">
        <v>121</v>
      </c>
      <c r="N1350">
        <v>1</v>
      </c>
      <c r="O1350">
        <v>743.9</v>
      </c>
      <c r="P1350" s="1">
        <v>45600.338912037034</v>
      </c>
      <c r="Q1350">
        <v>16</v>
      </c>
      <c r="R1350" t="s">
        <v>141</v>
      </c>
      <c r="S1350">
        <v>-0.910762799293655</v>
      </c>
      <c r="T1350" t="b">
        <v>0</v>
      </c>
      <c r="U1350" t="b">
        <v>0</v>
      </c>
      <c r="V1350" t="b">
        <f t="shared" si="42"/>
        <v>1</v>
      </c>
      <c r="W1350">
        <v>0</v>
      </c>
      <c r="Y1350">
        <f t="shared" si="43"/>
        <v>0</v>
      </c>
    </row>
    <row r="1351" spans="1:25" x14ac:dyDescent="0.3">
      <c r="A1351" t="s">
        <v>3115</v>
      </c>
      <c r="B1351" t="s">
        <v>2379</v>
      </c>
      <c r="C1351">
        <v>22.3</v>
      </c>
      <c r="D1351" s="1">
        <v>45047.706446759257</v>
      </c>
      <c r="E1351" t="s">
        <v>25</v>
      </c>
      <c r="F1351" t="s">
        <v>256</v>
      </c>
      <c r="G1351" t="s">
        <v>2474</v>
      </c>
      <c r="H1351" t="s">
        <v>166</v>
      </c>
      <c r="I1351" t="s">
        <v>107</v>
      </c>
      <c r="J1351" t="s">
        <v>30</v>
      </c>
      <c r="K1351">
        <v>21</v>
      </c>
      <c r="L1351" t="s">
        <v>46</v>
      </c>
      <c r="M1351">
        <v>90</v>
      </c>
      <c r="N1351">
        <v>1</v>
      </c>
      <c r="O1351">
        <v>1200.3499999999999</v>
      </c>
      <c r="P1351" s="1">
        <v>45600.341874999998</v>
      </c>
      <c r="Q1351">
        <v>16</v>
      </c>
      <c r="R1351" t="s">
        <v>47</v>
      </c>
      <c r="S1351">
        <v>-0.94296050764946004</v>
      </c>
      <c r="T1351" t="b">
        <v>0</v>
      </c>
      <c r="U1351" t="b">
        <v>0</v>
      </c>
      <c r="V1351" t="b">
        <f t="shared" si="42"/>
        <v>1</v>
      </c>
      <c r="W1351">
        <v>0</v>
      </c>
      <c r="Y1351">
        <f t="shared" si="43"/>
        <v>0</v>
      </c>
    </row>
    <row r="1352" spans="1:25" x14ac:dyDescent="0.3">
      <c r="A1352" t="s">
        <v>3116</v>
      </c>
      <c r="B1352" t="s">
        <v>1560</v>
      </c>
      <c r="C1352">
        <v>203.12</v>
      </c>
      <c r="D1352" s="1">
        <v>44944.708194444444</v>
      </c>
      <c r="E1352" t="s">
        <v>25</v>
      </c>
      <c r="F1352" t="s">
        <v>236</v>
      </c>
      <c r="G1352" t="s">
        <v>1378</v>
      </c>
      <c r="H1352" t="s">
        <v>628</v>
      </c>
      <c r="I1352" t="s">
        <v>316</v>
      </c>
      <c r="J1352" t="s">
        <v>30</v>
      </c>
      <c r="K1352">
        <v>56</v>
      </c>
      <c r="L1352" t="s">
        <v>82</v>
      </c>
      <c r="M1352">
        <v>181</v>
      </c>
      <c r="N1352">
        <v>1</v>
      </c>
      <c r="O1352">
        <v>1562.39</v>
      </c>
      <c r="P1352" s="1">
        <v>45600.339756944442</v>
      </c>
      <c r="Q1352">
        <v>16</v>
      </c>
      <c r="R1352" t="s">
        <v>74</v>
      </c>
      <c r="S1352">
        <v>-0.32359990925620502</v>
      </c>
      <c r="T1352" t="b">
        <v>0</v>
      </c>
      <c r="U1352" t="b">
        <v>0</v>
      </c>
      <c r="V1352" t="b">
        <f t="shared" si="42"/>
        <v>1</v>
      </c>
      <c r="W1352">
        <v>0</v>
      </c>
      <c r="Y1352">
        <f t="shared" si="43"/>
        <v>0</v>
      </c>
    </row>
    <row r="1353" spans="1:25" x14ac:dyDescent="0.3">
      <c r="A1353" t="s">
        <v>3117</v>
      </c>
      <c r="B1353" t="s">
        <v>3118</v>
      </c>
      <c r="C1353">
        <v>315.94</v>
      </c>
      <c r="D1353" s="1">
        <v>44984.713159722225</v>
      </c>
      <c r="E1353" t="s">
        <v>57</v>
      </c>
      <c r="F1353" t="s">
        <v>50</v>
      </c>
      <c r="G1353" t="s">
        <v>3119</v>
      </c>
      <c r="H1353" t="s">
        <v>895</v>
      </c>
      <c r="I1353" t="s">
        <v>1222</v>
      </c>
      <c r="J1353" t="s">
        <v>81</v>
      </c>
      <c r="K1353">
        <v>49</v>
      </c>
      <c r="L1353" t="s">
        <v>31</v>
      </c>
      <c r="M1353">
        <v>172</v>
      </c>
      <c r="N1353">
        <v>1</v>
      </c>
      <c r="O1353">
        <v>7719.71</v>
      </c>
      <c r="P1353" s="1">
        <v>45600.341770833336</v>
      </c>
      <c r="Q1353">
        <v>17</v>
      </c>
      <c r="R1353" t="s">
        <v>47</v>
      </c>
      <c r="S1353">
        <v>6.2841096775909003E-2</v>
      </c>
      <c r="T1353" t="b">
        <v>0</v>
      </c>
      <c r="U1353" t="b">
        <v>0</v>
      </c>
      <c r="V1353" t="b">
        <f t="shared" si="42"/>
        <v>1</v>
      </c>
      <c r="W1353">
        <v>0</v>
      </c>
      <c r="Y1353">
        <f t="shared" si="43"/>
        <v>0</v>
      </c>
    </row>
    <row r="1354" spans="1:25" x14ac:dyDescent="0.3">
      <c r="A1354" t="s">
        <v>3120</v>
      </c>
      <c r="B1354" t="s">
        <v>3019</v>
      </c>
      <c r="C1354">
        <v>192.23</v>
      </c>
      <c r="D1354" s="1">
        <v>45288.690879629627</v>
      </c>
      <c r="E1354" t="s">
        <v>25</v>
      </c>
      <c r="F1354" t="s">
        <v>98</v>
      </c>
      <c r="G1354" t="s">
        <v>2119</v>
      </c>
      <c r="H1354" t="s">
        <v>1516</v>
      </c>
      <c r="I1354" t="s">
        <v>720</v>
      </c>
      <c r="J1354" t="s">
        <v>45</v>
      </c>
      <c r="K1354">
        <v>54</v>
      </c>
      <c r="L1354" t="s">
        <v>89</v>
      </c>
      <c r="M1354">
        <v>39</v>
      </c>
      <c r="N1354">
        <v>3</v>
      </c>
      <c r="O1354">
        <v>2610.67</v>
      </c>
      <c r="P1354" s="1">
        <v>45600.33797453704</v>
      </c>
      <c r="Q1354">
        <v>16</v>
      </c>
      <c r="R1354" t="s">
        <v>141</v>
      </c>
      <c r="S1354">
        <v>-0.360901296915217</v>
      </c>
      <c r="T1354" t="b">
        <v>0</v>
      </c>
      <c r="U1354" t="b">
        <v>1</v>
      </c>
      <c r="V1354" t="b">
        <f t="shared" si="42"/>
        <v>1</v>
      </c>
      <c r="W1354">
        <v>1</v>
      </c>
      <c r="Y1354">
        <f t="shared" si="43"/>
        <v>0</v>
      </c>
    </row>
    <row r="1355" spans="1:25" x14ac:dyDescent="0.3">
      <c r="A1355" t="s">
        <v>3121</v>
      </c>
      <c r="B1355" t="s">
        <v>1928</v>
      </c>
      <c r="C1355">
        <v>1510.71</v>
      </c>
      <c r="D1355" s="1">
        <v>45092.700335648151</v>
      </c>
      <c r="E1355" t="s">
        <v>25</v>
      </c>
      <c r="F1355" t="s">
        <v>64</v>
      </c>
      <c r="G1355" t="s">
        <v>1408</v>
      </c>
      <c r="H1355" t="s">
        <v>3122</v>
      </c>
      <c r="I1355" t="s">
        <v>419</v>
      </c>
      <c r="J1355" t="s">
        <v>45</v>
      </c>
      <c r="K1355">
        <v>66</v>
      </c>
      <c r="L1355" t="s">
        <v>82</v>
      </c>
      <c r="M1355">
        <v>51</v>
      </c>
      <c r="N1355">
        <v>1</v>
      </c>
      <c r="O1355">
        <v>2060.02</v>
      </c>
      <c r="P1355" s="1">
        <v>45600.33971064815</v>
      </c>
      <c r="Q1355">
        <v>16</v>
      </c>
      <c r="R1355" t="s">
        <v>141</v>
      </c>
      <c r="S1355">
        <v>4.1552725874423597</v>
      </c>
      <c r="T1355" t="b">
        <v>1</v>
      </c>
      <c r="U1355" t="b">
        <v>0</v>
      </c>
      <c r="V1355" t="b">
        <f t="shared" si="42"/>
        <v>1</v>
      </c>
      <c r="W1355">
        <v>1</v>
      </c>
      <c r="Y1355">
        <f t="shared" si="43"/>
        <v>1</v>
      </c>
    </row>
    <row r="1356" spans="1:25" x14ac:dyDescent="0.3">
      <c r="A1356" t="s">
        <v>3123</v>
      </c>
      <c r="B1356" t="s">
        <v>2927</v>
      </c>
      <c r="C1356">
        <v>0.26</v>
      </c>
      <c r="D1356" s="1">
        <v>45253.676944444444</v>
      </c>
      <c r="E1356" t="s">
        <v>25</v>
      </c>
      <c r="F1356" t="s">
        <v>64</v>
      </c>
      <c r="G1356" t="s">
        <v>3038</v>
      </c>
      <c r="H1356" t="s">
        <v>3124</v>
      </c>
      <c r="I1356" t="s">
        <v>290</v>
      </c>
      <c r="J1356" t="s">
        <v>45</v>
      </c>
      <c r="K1356">
        <v>20</v>
      </c>
      <c r="L1356" t="s">
        <v>46</v>
      </c>
      <c r="M1356">
        <v>173</v>
      </c>
      <c r="N1356">
        <v>1</v>
      </c>
      <c r="O1356">
        <v>1833.67</v>
      </c>
      <c r="P1356" s="1">
        <v>45600.33871527778</v>
      </c>
      <c r="Q1356">
        <v>16</v>
      </c>
      <c r="R1356" t="s">
        <v>141</v>
      </c>
      <c r="S1356">
        <v>-1.01845385787945</v>
      </c>
      <c r="T1356" t="b">
        <v>0</v>
      </c>
      <c r="U1356" t="b">
        <v>0</v>
      </c>
      <c r="V1356" t="b">
        <f t="shared" si="42"/>
        <v>1</v>
      </c>
      <c r="W1356">
        <v>0</v>
      </c>
      <c r="Y1356">
        <f t="shared" si="43"/>
        <v>0</v>
      </c>
    </row>
    <row r="1357" spans="1:25" x14ac:dyDescent="0.3">
      <c r="A1357" t="s">
        <v>3125</v>
      </c>
      <c r="B1357" t="s">
        <v>2018</v>
      </c>
      <c r="C1357">
        <v>210.77</v>
      </c>
      <c r="D1357" s="1">
        <v>45077.701620370368</v>
      </c>
      <c r="E1357" t="s">
        <v>25</v>
      </c>
      <c r="F1357" t="s">
        <v>41</v>
      </c>
      <c r="G1357" t="s">
        <v>2176</v>
      </c>
      <c r="H1357" t="s">
        <v>1792</v>
      </c>
      <c r="I1357" t="s">
        <v>222</v>
      </c>
      <c r="J1357" t="s">
        <v>30</v>
      </c>
      <c r="K1357">
        <v>71</v>
      </c>
      <c r="L1357" t="s">
        <v>82</v>
      </c>
      <c r="M1357">
        <v>161</v>
      </c>
      <c r="N1357">
        <v>1</v>
      </c>
      <c r="O1357">
        <v>5396.65</v>
      </c>
      <c r="P1357" s="1">
        <v>45600.341215277775</v>
      </c>
      <c r="Q1357">
        <v>16</v>
      </c>
      <c r="R1357" t="s">
        <v>74</v>
      </c>
      <c r="S1357">
        <v>-0.297396455115577</v>
      </c>
      <c r="T1357" t="b">
        <v>0</v>
      </c>
      <c r="U1357" t="b">
        <v>0</v>
      </c>
      <c r="V1357" t="b">
        <f t="shared" si="42"/>
        <v>1</v>
      </c>
      <c r="W1357">
        <v>0</v>
      </c>
      <c r="Y1357">
        <f t="shared" si="43"/>
        <v>0</v>
      </c>
    </row>
    <row r="1358" spans="1:25" x14ac:dyDescent="0.3">
      <c r="A1358" t="s">
        <v>3126</v>
      </c>
      <c r="B1358" t="s">
        <v>1567</v>
      </c>
      <c r="C1358">
        <v>406.65</v>
      </c>
      <c r="D1358" s="1">
        <v>45238.772731481484</v>
      </c>
      <c r="E1358" t="s">
        <v>25</v>
      </c>
      <c r="F1358" t="s">
        <v>41</v>
      </c>
      <c r="G1358" t="s">
        <v>328</v>
      </c>
      <c r="H1358" t="s">
        <v>636</v>
      </c>
      <c r="I1358" t="s">
        <v>632</v>
      </c>
      <c r="J1358" t="s">
        <v>30</v>
      </c>
      <c r="K1358">
        <v>57</v>
      </c>
      <c r="L1358" t="s">
        <v>31</v>
      </c>
      <c r="M1358">
        <v>107</v>
      </c>
      <c r="N1358">
        <v>1</v>
      </c>
      <c r="O1358">
        <v>12995.7</v>
      </c>
      <c r="P1358" s="1">
        <v>45600.340983796297</v>
      </c>
      <c r="Q1358">
        <v>18</v>
      </c>
      <c r="R1358" t="s">
        <v>74</v>
      </c>
      <c r="S1358">
        <v>0.37354898240942302</v>
      </c>
      <c r="T1358" t="b">
        <v>0</v>
      </c>
      <c r="U1358" t="b">
        <v>0</v>
      </c>
      <c r="V1358" t="b">
        <f t="shared" si="42"/>
        <v>1</v>
      </c>
      <c r="W1358">
        <v>0</v>
      </c>
      <c r="Y1358">
        <f t="shared" si="43"/>
        <v>0</v>
      </c>
    </row>
    <row r="1359" spans="1:25" x14ac:dyDescent="0.3">
      <c r="A1359" t="s">
        <v>3127</v>
      </c>
      <c r="B1359" t="s">
        <v>1098</v>
      </c>
      <c r="C1359">
        <v>422.9</v>
      </c>
      <c r="D1359" s="1">
        <v>44984.67769675926</v>
      </c>
      <c r="E1359" t="s">
        <v>25</v>
      </c>
      <c r="F1359" t="s">
        <v>268</v>
      </c>
      <c r="G1359" t="s">
        <v>3128</v>
      </c>
      <c r="H1359" t="s">
        <v>1443</v>
      </c>
      <c r="I1359" t="s">
        <v>1575</v>
      </c>
      <c r="J1359" t="s">
        <v>30</v>
      </c>
      <c r="K1359">
        <v>40</v>
      </c>
      <c r="L1359" t="s">
        <v>89</v>
      </c>
      <c r="M1359">
        <v>111</v>
      </c>
      <c r="N1359">
        <v>1</v>
      </c>
      <c r="O1359">
        <v>7616.43</v>
      </c>
      <c r="P1359" s="1">
        <v>45600.340879629628</v>
      </c>
      <c r="Q1359">
        <v>16</v>
      </c>
      <c r="R1359" t="s">
        <v>47</v>
      </c>
      <c r="S1359">
        <v>0.42920991440749001</v>
      </c>
      <c r="T1359" t="b">
        <v>0</v>
      </c>
      <c r="U1359" t="b">
        <v>0</v>
      </c>
      <c r="V1359" t="b">
        <f t="shared" si="42"/>
        <v>1</v>
      </c>
      <c r="W1359">
        <v>0</v>
      </c>
      <c r="Y1359">
        <f t="shared" si="43"/>
        <v>0</v>
      </c>
    </row>
    <row r="1360" spans="1:25" x14ac:dyDescent="0.3">
      <c r="A1360" t="s">
        <v>3129</v>
      </c>
      <c r="B1360" t="s">
        <v>817</v>
      </c>
      <c r="C1360">
        <v>20.62</v>
      </c>
      <c r="D1360" s="1">
        <v>45098.715486111112</v>
      </c>
      <c r="E1360" t="s">
        <v>57</v>
      </c>
      <c r="F1360" t="s">
        <v>256</v>
      </c>
      <c r="G1360" t="s">
        <v>257</v>
      </c>
      <c r="H1360" t="s">
        <v>786</v>
      </c>
      <c r="I1360" t="s">
        <v>253</v>
      </c>
      <c r="J1360" t="s">
        <v>30</v>
      </c>
      <c r="K1360">
        <v>35</v>
      </c>
      <c r="L1360" t="s">
        <v>31</v>
      </c>
      <c r="M1360">
        <v>225</v>
      </c>
      <c r="N1360">
        <v>1</v>
      </c>
      <c r="O1360">
        <v>12500.8</v>
      </c>
      <c r="P1360" s="1">
        <v>45600.339456018519</v>
      </c>
      <c r="Q1360">
        <v>17</v>
      </c>
      <c r="R1360" t="s">
        <v>74</v>
      </c>
      <c r="S1360">
        <v>-0.94871499169602902</v>
      </c>
      <c r="T1360" t="b">
        <v>0</v>
      </c>
      <c r="U1360" t="b">
        <v>0</v>
      </c>
      <c r="V1360" t="b">
        <f t="shared" si="42"/>
        <v>1</v>
      </c>
      <c r="W1360">
        <v>0</v>
      </c>
      <c r="Y1360">
        <f t="shared" si="43"/>
        <v>0</v>
      </c>
    </row>
    <row r="1361" spans="1:25" x14ac:dyDescent="0.3">
      <c r="A1361" t="s">
        <v>3130</v>
      </c>
      <c r="B1361" t="s">
        <v>839</v>
      </c>
      <c r="C1361">
        <v>174.39</v>
      </c>
      <c r="D1361" s="1">
        <v>44935.672824074078</v>
      </c>
      <c r="E1361" t="s">
        <v>25</v>
      </c>
      <c r="F1361" t="s">
        <v>225</v>
      </c>
      <c r="G1361" t="s">
        <v>535</v>
      </c>
      <c r="H1361" t="s">
        <v>588</v>
      </c>
      <c r="I1361" t="s">
        <v>29</v>
      </c>
      <c r="J1361" t="s">
        <v>30</v>
      </c>
      <c r="K1361">
        <v>19</v>
      </c>
      <c r="L1361" t="s">
        <v>46</v>
      </c>
      <c r="M1361">
        <v>36</v>
      </c>
      <c r="N1361">
        <v>1</v>
      </c>
      <c r="O1361">
        <v>1127.08</v>
      </c>
      <c r="P1361" s="1">
        <v>45600.340983796297</v>
      </c>
      <c r="Q1361">
        <v>16</v>
      </c>
      <c r="R1361" t="s">
        <v>47</v>
      </c>
      <c r="S1361">
        <v>-0.42200843702878699</v>
      </c>
      <c r="T1361" t="b">
        <v>0</v>
      </c>
      <c r="U1361" t="b">
        <v>0</v>
      </c>
      <c r="V1361" t="b">
        <f t="shared" si="42"/>
        <v>1</v>
      </c>
      <c r="W1361">
        <v>0</v>
      </c>
      <c r="Y1361">
        <f t="shared" si="43"/>
        <v>0</v>
      </c>
    </row>
    <row r="1362" spans="1:25" x14ac:dyDescent="0.3">
      <c r="A1362" t="s">
        <v>3131</v>
      </c>
      <c r="B1362" t="s">
        <v>940</v>
      </c>
      <c r="C1362">
        <v>7.86</v>
      </c>
      <c r="D1362" s="1">
        <v>45215.699479166666</v>
      </c>
      <c r="E1362" t="s">
        <v>57</v>
      </c>
      <c r="F1362" t="s">
        <v>298</v>
      </c>
      <c r="G1362" t="s">
        <v>1978</v>
      </c>
      <c r="H1362" t="s">
        <v>1259</v>
      </c>
      <c r="I1362" t="s">
        <v>213</v>
      </c>
      <c r="J1362" t="s">
        <v>81</v>
      </c>
      <c r="K1362">
        <v>76</v>
      </c>
      <c r="L1362" t="s">
        <v>82</v>
      </c>
      <c r="M1362">
        <v>91</v>
      </c>
      <c r="N1362">
        <v>1</v>
      </c>
      <c r="O1362">
        <v>3621.98</v>
      </c>
      <c r="P1362" s="1">
        <v>45600.338784722226</v>
      </c>
      <c r="Q1362">
        <v>16</v>
      </c>
      <c r="R1362" t="s">
        <v>47</v>
      </c>
      <c r="S1362">
        <v>-0.99242166814497201</v>
      </c>
      <c r="T1362" t="b">
        <v>0</v>
      </c>
      <c r="U1362" t="b">
        <v>0</v>
      </c>
      <c r="V1362" t="b">
        <f t="shared" si="42"/>
        <v>1</v>
      </c>
      <c r="W1362">
        <v>0</v>
      </c>
      <c r="Y1362">
        <f t="shared" si="43"/>
        <v>0</v>
      </c>
    </row>
    <row r="1363" spans="1:25" x14ac:dyDescent="0.3">
      <c r="A1363" t="s">
        <v>3132</v>
      </c>
      <c r="B1363" t="s">
        <v>1485</v>
      </c>
      <c r="C1363">
        <v>61.98</v>
      </c>
      <c r="D1363" s="1">
        <v>44929.762662037036</v>
      </c>
      <c r="E1363" t="s">
        <v>25</v>
      </c>
      <c r="F1363" t="s">
        <v>126</v>
      </c>
      <c r="G1363" t="s">
        <v>2617</v>
      </c>
      <c r="H1363" t="s">
        <v>1487</v>
      </c>
      <c r="I1363" t="s">
        <v>871</v>
      </c>
      <c r="J1363" t="s">
        <v>45</v>
      </c>
      <c r="K1363">
        <v>49</v>
      </c>
      <c r="L1363" t="s">
        <v>89</v>
      </c>
      <c r="M1363">
        <v>44</v>
      </c>
      <c r="N1363">
        <v>1</v>
      </c>
      <c r="O1363">
        <v>5212.28</v>
      </c>
      <c r="P1363" s="1">
        <v>45600.339525462965</v>
      </c>
      <c r="Q1363">
        <v>18</v>
      </c>
      <c r="R1363" t="s">
        <v>32</v>
      </c>
      <c r="S1363">
        <v>-0.80704507493048905</v>
      </c>
      <c r="T1363" t="b">
        <v>0</v>
      </c>
      <c r="U1363" t="b">
        <v>0</v>
      </c>
      <c r="V1363" t="b">
        <f t="shared" si="42"/>
        <v>1</v>
      </c>
      <c r="W1363">
        <v>0</v>
      </c>
      <c r="Y1363">
        <f t="shared" si="43"/>
        <v>0</v>
      </c>
    </row>
    <row r="1364" spans="1:25" x14ac:dyDescent="0.3">
      <c r="A1364" t="s">
        <v>3133</v>
      </c>
      <c r="B1364" t="s">
        <v>2663</v>
      </c>
      <c r="C1364">
        <v>54.85</v>
      </c>
      <c r="D1364" s="1">
        <v>45174.670810185184</v>
      </c>
      <c r="E1364" t="s">
        <v>57</v>
      </c>
      <c r="F1364" t="s">
        <v>225</v>
      </c>
      <c r="G1364" t="s">
        <v>1454</v>
      </c>
      <c r="H1364" t="s">
        <v>1650</v>
      </c>
      <c r="I1364" t="s">
        <v>371</v>
      </c>
      <c r="J1364" t="s">
        <v>81</v>
      </c>
      <c r="K1364">
        <v>58</v>
      </c>
      <c r="L1364" t="s">
        <v>82</v>
      </c>
      <c r="M1364">
        <v>40</v>
      </c>
      <c r="N1364">
        <v>1</v>
      </c>
      <c r="O1364">
        <v>2727.45</v>
      </c>
      <c r="P1364" s="1">
        <v>45600.34</v>
      </c>
      <c r="Q1364">
        <v>16</v>
      </c>
      <c r="R1364" t="s">
        <v>32</v>
      </c>
      <c r="S1364">
        <v>-0.83146737924717895</v>
      </c>
      <c r="T1364" t="b">
        <v>0</v>
      </c>
      <c r="U1364" t="b">
        <v>0</v>
      </c>
      <c r="V1364" t="b">
        <f t="shared" si="42"/>
        <v>1</v>
      </c>
      <c r="W1364">
        <v>0</v>
      </c>
      <c r="Y1364">
        <f t="shared" si="43"/>
        <v>0</v>
      </c>
    </row>
    <row r="1365" spans="1:25" x14ac:dyDescent="0.3">
      <c r="A1365" t="s">
        <v>3134</v>
      </c>
      <c r="B1365" t="s">
        <v>2720</v>
      </c>
      <c r="C1365">
        <v>204.7</v>
      </c>
      <c r="D1365" s="1">
        <v>45190.672222222223</v>
      </c>
      <c r="E1365" t="s">
        <v>25</v>
      </c>
      <c r="F1365" t="s">
        <v>64</v>
      </c>
      <c r="G1365" t="s">
        <v>1952</v>
      </c>
      <c r="H1365" t="s">
        <v>1594</v>
      </c>
      <c r="I1365" t="s">
        <v>431</v>
      </c>
      <c r="J1365" t="s">
        <v>81</v>
      </c>
      <c r="K1365">
        <v>49</v>
      </c>
      <c r="L1365" t="s">
        <v>31</v>
      </c>
      <c r="M1365">
        <v>95</v>
      </c>
      <c r="N1365">
        <v>5</v>
      </c>
      <c r="O1365">
        <v>5117.03</v>
      </c>
      <c r="P1365" s="1">
        <v>45600.340578703705</v>
      </c>
      <c r="Q1365">
        <v>16</v>
      </c>
      <c r="R1365" t="s">
        <v>141</v>
      </c>
      <c r="S1365">
        <v>-0.31818795402193201</v>
      </c>
      <c r="T1365" t="b">
        <v>0</v>
      </c>
      <c r="U1365" t="b">
        <v>1</v>
      </c>
      <c r="V1365" t="b">
        <f t="shared" si="42"/>
        <v>1</v>
      </c>
      <c r="W1365">
        <v>1</v>
      </c>
      <c r="Y1365">
        <f t="shared" si="43"/>
        <v>0</v>
      </c>
    </row>
    <row r="1366" spans="1:25" x14ac:dyDescent="0.3">
      <c r="A1366" t="s">
        <v>3135</v>
      </c>
      <c r="B1366" t="s">
        <v>1657</v>
      </c>
      <c r="C1366">
        <v>16.55</v>
      </c>
      <c r="D1366" s="1">
        <v>45180.712384259263</v>
      </c>
      <c r="E1366" t="s">
        <v>25</v>
      </c>
      <c r="F1366" t="s">
        <v>268</v>
      </c>
      <c r="G1366" t="s">
        <v>564</v>
      </c>
      <c r="H1366" t="s">
        <v>2548</v>
      </c>
      <c r="I1366" t="s">
        <v>44</v>
      </c>
      <c r="J1366" t="s">
        <v>81</v>
      </c>
      <c r="K1366">
        <v>26</v>
      </c>
      <c r="L1366" t="s">
        <v>89</v>
      </c>
      <c r="M1366">
        <v>159</v>
      </c>
      <c r="N1366">
        <v>1</v>
      </c>
      <c r="O1366">
        <v>6089.79</v>
      </c>
      <c r="P1366" s="1">
        <v>45600.339016203703</v>
      </c>
      <c r="Q1366">
        <v>17</v>
      </c>
      <c r="R1366" t="s">
        <v>47</v>
      </c>
      <c r="S1366">
        <v>-0.96265591435646802</v>
      </c>
      <c r="T1366" t="b">
        <v>0</v>
      </c>
      <c r="U1366" t="b">
        <v>0</v>
      </c>
      <c r="V1366" t="b">
        <f t="shared" si="42"/>
        <v>1</v>
      </c>
      <c r="W1366">
        <v>0</v>
      </c>
      <c r="Y1366">
        <f t="shared" si="43"/>
        <v>0</v>
      </c>
    </row>
    <row r="1367" spans="1:25" x14ac:dyDescent="0.3">
      <c r="A1367" t="s">
        <v>3136</v>
      </c>
      <c r="B1367" t="s">
        <v>1082</v>
      </c>
      <c r="C1367">
        <v>91.32</v>
      </c>
      <c r="D1367" s="1">
        <v>45240.697048611109</v>
      </c>
      <c r="E1367" t="s">
        <v>25</v>
      </c>
      <c r="F1367" t="s">
        <v>191</v>
      </c>
      <c r="G1367" t="s">
        <v>1884</v>
      </c>
      <c r="H1367" t="s">
        <v>243</v>
      </c>
      <c r="I1367" t="s">
        <v>695</v>
      </c>
      <c r="J1367" t="s">
        <v>81</v>
      </c>
      <c r="K1367">
        <v>58</v>
      </c>
      <c r="L1367" t="s">
        <v>89</v>
      </c>
      <c r="M1367">
        <v>77</v>
      </c>
      <c r="N1367">
        <v>1</v>
      </c>
      <c r="O1367">
        <v>2618.1</v>
      </c>
      <c r="P1367" s="1">
        <v>45600.339143518519</v>
      </c>
      <c r="Q1367">
        <v>16</v>
      </c>
      <c r="R1367" t="s">
        <v>54</v>
      </c>
      <c r="S1367">
        <v>-0.70654712140290299</v>
      </c>
      <c r="T1367" t="b">
        <v>0</v>
      </c>
      <c r="U1367" t="b">
        <v>0</v>
      </c>
      <c r="V1367" t="b">
        <f t="shared" si="42"/>
        <v>1</v>
      </c>
      <c r="W1367">
        <v>0</v>
      </c>
      <c r="Y1367">
        <f t="shared" si="43"/>
        <v>0</v>
      </c>
    </row>
    <row r="1368" spans="1:25" x14ac:dyDescent="0.3">
      <c r="A1368" t="s">
        <v>3137</v>
      </c>
      <c r="B1368" t="s">
        <v>777</v>
      </c>
      <c r="C1368">
        <v>195.49</v>
      </c>
      <c r="D1368" s="1">
        <v>45089.690960648149</v>
      </c>
      <c r="E1368" t="s">
        <v>25</v>
      </c>
      <c r="F1368" t="s">
        <v>104</v>
      </c>
      <c r="G1368" t="s">
        <v>2374</v>
      </c>
      <c r="H1368" t="s">
        <v>1518</v>
      </c>
      <c r="I1368" t="s">
        <v>1823</v>
      </c>
      <c r="J1368" t="s">
        <v>30</v>
      </c>
      <c r="K1368">
        <v>31</v>
      </c>
      <c r="L1368" t="s">
        <v>31</v>
      </c>
      <c r="M1368">
        <v>212</v>
      </c>
      <c r="N1368">
        <v>1</v>
      </c>
      <c r="O1368">
        <v>11988.12</v>
      </c>
      <c r="P1368" s="1">
        <v>45600.33929398148</v>
      </c>
      <c r="Q1368">
        <v>16</v>
      </c>
      <c r="R1368" t="s">
        <v>47</v>
      </c>
      <c r="S1368">
        <v>-0.34973485763437401</v>
      </c>
      <c r="T1368" t="b">
        <v>0</v>
      </c>
      <c r="U1368" t="b">
        <v>0</v>
      </c>
      <c r="V1368" t="b">
        <f t="shared" si="42"/>
        <v>1</v>
      </c>
      <c r="W1368">
        <v>0</v>
      </c>
      <c r="Y1368">
        <f t="shared" si="43"/>
        <v>0</v>
      </c>
    </row>
    <row r="1369" spans="1:25" x14ac:dyDescent="0.3">
      <c r="A1369" t="s">
        <v>3138</v>
      </c>
      <c r="B1369" t="s">
        <v>794</v>
      </c>
      <c r="C1369">
        <v>49.62</v>
      </c>
      <c r="D1369" s="1">
        <v>45267.679942129631</v>
      </c>
      <c r="E1369" t="s">
        <v>25</v>
      </c>
      <c r="F1369" t="s">
        <v>608</v>
      </c>
      <c r="G1369" t="s">
        <v>3139</v>
      </c>
      <c r="H1369" t="s">
        <v>2124</v>
      </c>
      <c r="I1369" t="s">
        <v>301</v>
      </c>
      <c r="J1369" t="s">
        <v>30</v>
      </c>
      <c r="K1369">
        <v>55</v>
      </c>
      <c r="L1369" t="s">
        <v>89</v>
      </c>
      <c r="M1369">
        <v>111</v>
      </c>
      <c r="N1369">
        <v>1</v>
      </c>
      <c r="O1369">
        <v>3841.42</v>
      </c>
      <c r="P1369" s="1">
        <v>45600.338460648149</v>
      </c>
      <c r="Q1369">
        <v>16</v>
      </c>
      <c r="R1369" t="s">
        <v>141</v>
      </c>
      <c r="S1369">
        <v>-0.84938163613024897</v>
      </c>
      <c r="T1369" t="b">
        <v>0</v>
      </c>
      <c r="U1369" t="b">
        <v>0</v>
      </c>
      <c r="V1369" t="b">
        <f t="shared" si="42"/>
        <v>1</v>
      </c>
      <c r="W1369">
        <v>0</v>
      </c>
      <c r="Y1369">
        <f t="shared" si="43"/>
        <v>0</v>
      </c>
    </row>
    <row r="1370" spans="1:25" x14ac:dyDescent="0.3">
      <c r="A1370" t="s">
        <v>3140</v>
      </c>
      <c r="B1370" t="s">
        <v>1269</v>
      </c>
      <c r="C1370">
        <v>487.16</v>
      </c>
      <c r="D1370" s="1">
        <v>44928.667523148149</v>
      </c>
      <c r="E1370" t="s">
        <v>57</v>
      </c>
      <c r="F1370" t="s">
        <v>153</v>
      </c>
      <c r="G1370" t="s">
        <v>3141</v>
      </c>
      <c r="H1370" t="s">
        <v>2026</v>
      </c>
      <c r="I1370" t="s">
        <v>556</v>
      </c>
      <c r="J1370" t="s">
        <v>81</v>
      </c>
      <c r="K1370">
        <v>28</v>
      </c>
      <c r="L1370" t="s">
        <v>46</v>
      </c>
      <c r="M1370">
        <v>84</v>
      </c>
      <c r="N1370">
        <v>1</v>
      </c>
      <c r="O1370">
        <v>321.20999999999998</v>
      </c>
      <c r="P1370" s="1">
        <v>45600.341921296298</v>
      </c>
      <c r="Q1370">
        <v>16</v>
      </c>
      <c r="R1370" t="s">
        <v>47</v>
      </c>
      <c r="S1370">
        <v>0.64931892918876699</v>
      </c>
      <c r="T1370" t="b">
        <v>0</v>
      </c>
      <c r="U1370" t="b">
        <v>0</v>
      </c>
      <c r="V1370" t="b">
        <f t="shared" si="42"/>
        <v>1</v>
      </c>
      <c r="W1370">
        <v>0</v>
      </c>
      <c r="Y1370">
        <f t="shared" si="43"/>
        <v>0</v>
      </c>
    </row>
    <row r="1371" spans="1:25" x14ac:dyDescent="0.3">
      <c r="A1371" t="s">
        <v>3142</v>
      </c>
      <c r="B1371" t="s">
        <v>1716</v>
      </c>
      <c r="C1371">
        <v>405.6</v>
      </c>
      <c r="D1371" s="1">
        <v>45146.737280092595</v>
      </c>
      <c r="E1371" t="s">
        <v>25</v>
      </c>
      <c r="F1371" t="s">
        <v>268</v>
      </c>
      <c r="G1371" t="s">
        <v>1950</v>
      </c>
      <c r="H1371" t="s">
        <v>2835</v>
      </c>
      <c r="I1371" t="s">
        <v>1013</v>
      </c>
      <c r="J1371" t="s">
        <v>45</v>
      </c>
      <c r="K1371">
        <v>37</v>
      </c>
      <c r="L1371" t="s">
        <v>89</v>
      </c>
      <c r="M1371">
        <v>44</v>
      </c>
      <c r="N1371">
        <v>1</v>
      </c>
      <c r="O1371">
        <v>9754.73</v>
      </c>
      <c r="P1371" s="1">
        <v>45600.339861111112</v>
      </c>
      <c r="Q1371">
        <v>17</v>
      </c>
      <c r="R1371" t="s">
        <v>32</v>
      </c>
      <c r="S1371">
        <v>0.36995242988031701</v>
      </c>
      <c r="T1371" t="b">
        <v>0</v>
      </c>
      <c r="U1371" t="b">
        <v>0</v>
      </c>
      <c r="V1371" t="b">
        <f t="shared" si="42"/>
        <v>1</v>
      </c>
      <c r="W1371">
        <v>0</v>
      </c>
      <c r="Y1371">
        <f t="shared" si="43"/>
        <v>0</v>
      </c>
    </row>
    <row r="1372" spans="1:25" x14ac:dyDescent="0.3">
      <c r="A1372" t="s">
        <v>3143</v>
      </c>
      <c r="B1372" t="s">
        <v>245</v>
      </c>
      <c r="C1372">
        <v>512.95000000000005</v>
      </c>
      <c r="D1372" s="1">
        <v>45215.714305555557</v>
      </c>
      <c r="E1372" t="s">
        <v>25</v>
      </c>
      <c r="F1372" t="s">
        <v>137</v>
      </c>
      <c r="G1372" t="s">
        <v>2819</v>
      </c>
      <c r="H1372" t="s">
        <v>252</v>
      </c>
      <c r="I1372" t="s">
        <v>399</v>
      </c>
      <c r="J1372" t="s">
        <v>81</v>
      </c>
      <c r="K1372">
        <v>57</v>
      </c>
      <c r="L1372" t="s">
        <v>89</v>
      </c>
      <c r="M1372">
        <v>143</v>
      </c>
      <c r="N1372">
        <v>1</v>
      </c>
      <c r="O1372">
        <v>9584.52</v>
      </c>
      <c r="P1372" s="1">
        <v>45600.34033564815</v>
      </c>
      <c r="Q1372">
        <v>17</v>
      </c>
      <c r="R1372" t="s">
        <v>47</v>
      </c>
      <c r="S1372">
        <v>0.737657109879852</v>
      </c>
      <c r="T1372" t="b">
        <v>0</v>
      </c>
      <c r="U1372" t="b">
        <v>0</v>
      </c>
      <c r="V1372" t="b">
        <f t="shared" si="42"/>
        <v>1</v>
      </c>
      <c r="W1372">
        <v>0</v>
      </c>
      <c r="Y1372">
        <f t="shared" si="43"/>
        <v>0</v>
      </c>
    </row>
    <row r="1373" spans="1:25" x14ac:dyDescent="0.3">
      <c r="A1373" t="s">
        <v>3144</v>
      </c>
      <c r="B1373" t="s">
        <v>455</v>
      </c>
      <c r="C1373">
        <v>345.94</v>
      </c>
      <c r="D1373" s="1">
        <v>45208.731215277781</v>
      </c>
      <c r="E1373" t="s">
        <v>25</v>
      </c>
      <c r="F1373" t="s">
        <v>608</v>
      </c>
      <c r="G1373" t="s">
        <v>1747</v>
      </c>
      <c r="H1373" t="s">
        <v>961</v>
      </c>
      <c r="I1373" t="s">
        <v>753</v>
      </c>
      <c r="J1373" t="s">
        <v>30</v>
      </c>
      <c r="K1373">
        <v>31</v>
      </c>
      <c r="L1373" t="s">
        <v>31</v>
      </c>
      <c r="M1373">
        <v>163</v>
      </c>
      <c r="N1373">
        <v>1</v>
      </c>
      <c r="O1373">
        <v>7624.56</v>
      </c>
      <c r="P1373" s="1">
        <v>45600.341435185182</v>
      </c>
      <c r="Q1373">
        <v>17</v>
      </c>
      <c r="R1373" t="s">
        <v>47</v>
      </c>
      <c r="S1373">
        <v>0.16559974046464701</v>
      </c>
      <c r="T1373" t="b">
        <v>0</v>
      </c>
      <c r="U1373" t="b">
        <v>0</v>
      </c>
      <c r="V1373" t="b">
        <f t="shared" si="42"/>
        <v>1</v>
      </c>
      <c r="W1373">
        <v>0</v>
      </c>
      <c r="Y1373">
        <f t="shared" si="43"/>
        <v>0</v>
      </c>
    </row>
    <row r="1374" spans="1:25" x14ac:dyDescent="0.3">
      <c r="A1374" t="s">
        <v>3145</v>
      </c>
      <c r="B1374" t="s">
        <v>1438</v>
      </c>
      <c r="C1374">
        <v>356.56</v>
      </c>
      <c r="D1374" s="1">
        <v>45208.724548611113</v>
      </c>
      <c r="E1374" t="s">
        <v>25</v>
      </c>
      <c r="F1374" t="s">
        <v>216</v>
      </c>
      <c r="G1374" t="s">
        <v>1278</v>
      </c>
      <c r="H1374" t="s">
        <v>1272</v>
      </c>
      <c r="I1374" t="s">
        <v>753</v>
      </c>
      <c r="J1374" t="s">
        <v>45</v>
      </c>
      <c r="K1374">
        <v>47</v>
      </c>
      <c r="L1374" t="s">
        <v>89</v>
      </c>
      <c r="M1374">
        <v>52</v>
      </c>
      <c r="N1374">
        <v>1</v>
      </c>
      <c r="O1374">
        <v>2485.73</v>
      </c>
      <c r="P1374" s="1">
        <v>45600.341631944444</v>
      </c>
      <c r="Q1374">
        <v>17</v>
      </c>
      <c r="R1374" t="s">
        <v>47</v>
      </c>
      <c r="S1374">
        <v>0.20197630033045999</v>
      </c>
      <c r="T1374" t="b">
        <v>0</v>
      </c>
      <c r="U1374" t="b">
        <v>0</v>
      </c>
      <c r="V1374" t="b">
        <f t="shared" si="42"/>
        <v>1</v>
      </c>
      <c r="W1374">
        <v>0</v>
      </c>
      <c r="Y1374">
        <f t="shared" si="43"/>
        <v>0</v>
      </c>
    </row>
    <row r="1375" spans="1:25" x14ac:dyDescent="0.3">
      <c r="A1375" t="s">
        <v>3146</v>
      </c>
      <c r="B1375" t="s">
        <v>228</v>
      </c>
      <c r="C1375">
        <v>10.31</v>
      </c>
      <c r="D1375" s="1">
        <v>44939.683287037034</v>
      </c>
      <c r="E1375" t="s">
        <v>25</v>
      </c>
      <c r="F1375" t="s">
        <v>120</v>
      </c>
      <c r="G1375" t="s">
        <v>1318</v>
      </c>
      <c r="H1375" t="s">
        <v>1494</v>
      </c>
      <c r="I1375" t="s">
        <v>67</v>
      </c>
      <c r="J1375" t="s">
        <v>45</v>
      </c>
      <c r="K1375">
        <v>36</v>
      </c>
      <c r="L1375" t="s">
        <v>89</v>
      </c>
      <c r="M1375">
        <v>280</v>
      </c>
      <c r="N1375">
        <v>1</v>
      </c>
      <c r="O1375">
        <v>2137.9</v>
      </c>
      <c r="P1375" s="1">
        <v>45600.341134259259</v>
      </c>
      <c r="Q1375">
        <v>16</v>
      </c>
      <c r="R1375" t="s">
        <v>54</v>
      </c>
      <c r="S1375">
        <v>-0.98402971224372504</v>
      </c>
      <c r="T1375" t="b">
        <v>0</v>
      </c>
      <c r="U1375" t="b">
        <v>0</v>
      </c>
      <c r="V1375" t="b">
        <f t="shared" si="42"/>
        <v>1</v>
      </c>
      <c r="W1375">
        <v>0</v>
      </c>
      <c r="Y1375">
        <f t="shared" si="43"/>
        <v>0</v>
      </c>
    </row>
    <row r="1376" spans="1:25" x14ac:dyDescent="0.3">
      <c r="A1376" t="s">
        <v>3147</v>
      </c>
      <c r="B1376" t="s">
        <v>2018</v>
      </c>
      <c r="C1376">
        <v>211.69</v>
      </c>
      <c r="D1376" s="1">
        <v>45219.668136574073</v>
      </c>
      <c r="E1376" t="s">
        <v>25</v>
      </c>
      <c r="F1376" t="s">
        <v>58</v>
      </c>
      <c r="G1376" t="s">
        <v>2183</v>
      </c>
      <c r="H1376" t="s">
        <v>52</v>
      </c>
      <c r="I1376" t="s">
        <v>399</v>
      </c>
      <c r="J1376" t="s">
        <v>81</v>
      </c>
      <c r="K1376">
        <v>30</v>
      </c>
      <c r="L1376" t="s">
        <v>31</v>
      </c>
      <c r="M1376">
        <v>111</v>
      </c>
      <c r="N1376">
        <v>1</v>
      </c>
      <c r="O1376">
        <v>6412.85</v>
      </c>
      <c r="P1376" s="1">
        <v>45600.338773148149</v>
      </c>
      <c r="Q1376">
        <v>16</v>
      </c>
      <c r="R1376" t="s">
        <v>54</v>
      </c>
      <c r="S1376">
        <v>-0.29424519004245597</v>
      </c>
      <c r="T1376" t="b">
        <v>0</v>
      </c>
      <c r="U1376" t="b">
        <v>0</v>
      </c>
      <c r="V1376" t="b">
        <f t="shared" si="42"/>
        <v>1</v>
      </c>
      <c r="W1376">
        <v>0</v>
      </c>
      <c r="Y1376">
        <f t="shared" si="43"/>
        <v>0</v>
      </c>
    </row>
    <row r="1377" spans="1:25" x14ac:dyDescent="0.3">
      <c r="A1377" t="s">
        <v>3148</v>
      </c>
      <c r="B1377" t="s">
        <v>3149</v>
      </c>
      <c r="C1377">
        <v>221.49</v>
      </c>
      <c r="D1377" s="1">
        <v>45182.757893518516</v>
      </c>
      <c r="E1377" t="s">
        <v>57</v>
      </c>
      <c r="F1377" t="s">
        <v>64</v>
      </c>
      <c r="G1377" t="s">
        <v>941</v>
      </c>
      <c r="H1377" t="s">
        <v>1322</v>
      </c>
      <c r="I1377" t="s">
        <v>38</v>
      </c>
      <c r="J1377" t="s">
        <v>81</v>
      </c>
      <c r="K1377">
        <v>23</v>
      </c>
      <c r="L1377" t="s">
        <v>46</v>
      </c>
      <c r="M1377">
        <v>196</v>
      </c>
      <c r="N1377">
        <v>1</v>
      </c>
      <c r="O1377">
        <v>707.25</v>
      </c>
      <c r="P1377" s="1">
        <v>45600.341550925928</v>
      </c>
      <c r="Q1377">
        <v>18</v>
      </c>
      <c r="R1377" t="s">
        <v>74</v>
      </c>
      <c r="S1377">
        <v>-0.26067736643746803</v>
      </c>
      <c r="T1377" t="b">
        <v>0</v>
      </c>
      <c r="U1377" t="b">
        <v>0</v>
      </c>
      <c r="V1377" t="b">
        <f t="shared" si="42"/>
        <v>1</v>
      </c>
      <c r="W1377">
        <v>0</v>
      </c>
      <c r="Y1377">
        <f t="shared" si="43"/>
        <v>0</v>
      </c>
    </row>
    <row r="1378" spans="1:25" x14ac:dyDescent="0.3">
      <c r="A1378" t="s">
        <v>3150</v>
      </c>
      <c r="B1378" t="s">
        <v>1612</v>
      </c>
      <c r="C1378">
        <v>278.23</v>
      </c>
      <c r="D1378" s="1">
        <v>45050.742743055554</v>
      </c>
      <c r="E1378" t="s">
        <v>25</v>
      </c>
      <c r="F1378" t="s">
        <v>571</v>
      </c>
      <c r="G1378" t="s">
        <v>144</v>
      </c>
      <c r="H1378" t="s">
        <v>2751</v>
      </c>
      <c r="I1378" t="s">
        <v>73</v>
      </c>
      <c r="J1378" t="s">
        <v>45</v>
      </c>
      <c r="K1378">
        <v>48</v>
      </c>
      <c r="L1378" t="s">
        <v>89</v>
      </c>
      <c r="M1378">
        <v>83</v>
      </c>
      <c r="N1378">
        <v>1</v>
      </c>
      <c r="O1378">
        <v>8300.5400000000009</v>
      </c>
      <c r="P1378" s="1">
        <v>45600.340115740742</v>
      </c>
      <c r="Q1378">
        <v>17</v>
      </c>
      <c r="R1378" t="s">
        <v>141</v>
      </c>
      <c r="S1378">
        <v>-6.6326518340834695E-2</v>
      </c>
      <c r="T1378" t="b">
        <v>0</v>
      </c>
      <c r="U1378" t="b">
        <v>0</v>
      </c>
      <c r="V1378" t="b">
        <f t="shared" si="42"/>
        <v>1</v>
      </c>
      <c r="W1378">
        <v>0</v>
      </c>
      <c r="Y1378">
        <f t="shared" si="43"/>
        <v>0</v>
      </c>
    </row>
    <row r="1379" spans="1:25" x14ac:dyDescent="0.3">
      <c r="A1379" t="s">
        <v>3151</v>
      </c>
      <c r="B1379" t="s">
        <v>1356</v>
      </c>
      <c r="C1379">
        <v>116.88</v>
      </c>
      <c r="D1379" s="1">
        <v>45203.715300925927</v>
      </c>
      <c r="E1379" t="s">
        <v>25</v>
      </c>
      <c r="F1379" t="s">
        <v>104</v>
      </c>
      <c r="G1379" t="s">
        <v>1710</v>
      </c>
      <c r="H1379" t="s">
        <v>2912</v>
      </c>
      <c r="I1379" t="s">
        <v>620</v>
      </c>
      <c r="J1379" t="s">
        <v>30</v>
      </c>
      <c r="K1379">
        <v>45</v>
      </c>
      <c r="L1379" t="s">
        <v>31</v>
      </c>
      <c r="M1379">
        <v>263</v>
      </c>
      <c r="N1379">
        <v>1</v>
      </c>
      <c r="O1379">
        <v>7717.34</v>
      </c>
      <c r="P1379" s="1">
        <v>45600.340300925927</v>
      </c>
      <c r="Q1379">
        <v>17</v>
      </c>
      <c r="R1379" t="s">
        <v>74</v>
      </c>
      <c r="S1379">
        <v>-0.61899675698009804</v>
      </c>
      <c r="T1379" t="b">
        <v>0</v>
      </c>
      <c r="U1379" t="b">
        <v>0</v>
      </c>
      <c r="V1379" t="b">
        <f t="shared" si="42"/>
        <v>1</v>
      </c>
      <c r="W1379">
        <v>0</v>
      </c>
      <c r="Y1379">
        <f t="shared" si="43"/>
        <v>0</v>
      </c>
    </row>
    <row r="1380" spans="1:25" x14ac:dyDescent="0.3">
      <c r="A1380" t="s">
        <v>3152</v>
      </c>
      <c r="B1380" t="s">
        <v>119</v>
      </c>
      <c r="C1380">
        <v>328.77</v>
      </c>
      <c r="D1380" s="1">
        <v>45019.749571759261</v>
      </c>
      <c r="E1380" t="s">
        <v>57</v>
      </c>
      <c r="F1380" t="s">
        <v>26</v>
      </c>
      <c r="G1380" t="s">
        <v>2331</v>
      </c>
      <c r="H1380" t="s">
        <v>2349</v>
      </c>
      <c r="I1380" t="s">
        <v>463</v>
      </c>
      <c r="J1380" t="s">
        <v>45</v>
      </c>
      <c r="K1380">
        <v>39</v>
      </c>
      <c r="L1380" t="s">
        <v>31</v>
      </c>
      <c r="M1380">
        <v>247</v>
      </c>
      <c r="N1380">
        <v>1</v>
      </c>
      <c r="O1380">
        <v>6967.03</v>
      </c>
      <c r="P1380" s="1">
        <v>45600.340243055558</v>
      </c>
      <c r="Q1380">
        <v>17</v>
      </c>
      <c r="R1380" t="s">
        <v>47</v>
      </c>
      <c r="S1380">
        <v>0.106787543393459</v>
      </c>
      <c r="T1380" t="b">
        <v>0</v>
      </c>
      <c r="U1380" t="b">
        <v>0</v>
      </c>
      <c r="V1380" t="b">
        <f t="shared" si="42"/>
        <v>1</v>
      </c>
      <c r="W1380">
        <v>0</v>
      </c>
      <c r="Y1380">
        <f t="shared" si="43"/>
        <v>0</v>
      </c>
    </row>
    <row r="1381" spans="1:25" x14ac:dyDescent="0.3">
      <c r="A1381" t="s">
        <v>3153</v>
      </c>
      <c r="B1381" t="s">
        <v>1036</v>
      </c>
      <c r="C1381">
        <v>77.53</v>
      </c>
      <c r="D1381" s="1">
        <v>45132.750289351854</v>
      </c>
      <c r="E1381" t="s">
        <v>25</v>
      </c>
      <c r="F1381" t="s">
        <v>120</v>
      </c>
      <c r="G1381" t="s">
        <v>674</v>
      </c>
      <c r="H1381" t="s">
        <v>3154</v>
      </c>
      <c r="I1381" t="s">
        <v>38</v>
      </c>
      <c r="J1381" t="s">
        <v>81</v>
      </c>
      <c r="K1381">
        <v>54</v>
      </c>
      <c r="L1381" t="s">
        <v>82</v>
      </c>
      <c r="M1381">
        <v>55</v>
      </c>
      <c r="N1381">
        <v>1</v>
      </c>
      <c r="O1381">
        <v>5158.6000000000004</v>
      </c>
      <c r="P1381" s="1">
        <v>45600.338333333333</v>
      </c>
      <c r="Q1381">
        <v>18</v>
      </c>
      <c r="R1381" t="s">
        <v>32</v>
      </c>
      <c r="S1381">
        <v>-0.75378184461849296</v>
      </c>
      <c r="T1381" t="b">
        <v>0</v>
      </c>
      <c r="U1381" t="b">
        <v>0</v>
      </c>
      <c r="V1381" t="b">
        <f t="shared" si="42"/>
        <v>1</v>
      </c>
      <c r="W1381">
        <v>0</v>
      </c>
      <c r="Y1381">
        <f t="shared" si="43"/>
        <v>0</v>
      </c>
    </row>
    <row r="1382" spans="1:25" x14ac:dyDescent="0.3">
      <c r="A1382" t="s">
        <v>3155</v>
      </c>
      <c r="B1382" t="s">
        <v>297</v>
      </c>
      <c r="C1382">
        <v>421.74</v>
      </c>
      <c r="D1382" s="1">
        <v>45097.713252314818</v>
      </c>
      <c r="E1382" t="s">
        <v>25</v>
      </c>
      <c r="F1382" t="s">
        <v>236</v>
      </c>
      <c r="G1382" t="s">
        <v>643</v>
      </c>
      <c r="H1382" t="s">
        <v>238</v>
      </c>
      <c r="I1382" t="s">
        <v>253</v>
      </c>
      <c r="J1382" t="s">
        <v>45</v>
      </c>
      <c r="K1382">
        <v>67</v>
      </c>
      <c r="L1382" t="s">
        <v>31</v>
      </c>
      <c r="M1382">
        <v>103</v>
      </c>
      <c r="N1382">
        <v>1</v>
      </c>
      <c r="O1382">
        <v>12031.14</v>
      </c>
      <c r="P1382" s="1">
        <v>45600.340486111112</v>
      </c>
      <c r="Q1382">
        <v>17</v>
      </c>
      <c r="R1382" t="s">
        <v>32</v>
      </c>
      <c r="S1382">
        <v>0.42523658018485899</v>
      </c>
      <c r="T1382" t="b">
        <v>0</v>
      </c>
      <c r="U1382" t="b">
        <v>0</v>
      </c>
      <c r="V1382" t="b">
        <f t="shared" si="42"/>
        <v>1</v>
      </c>
      <c r="W1382">
        <v>0</v>
      </c>
      <c r="Y1382">
        <f t="shared" si="43"/>
        <v>0</v>
      </c>
    </row>
    <row r="1383" spans="1:25" x14ac:dyDescent="0.3">
      <c r="A1383" t="s">
        <v>3156</v>
      </c>
      <c r="B1383" t="s">
        <v>1040</v>
      </c>
      <c r="C1383">
        <v>313.69</v>
      </c>
      <c r="D1383" s="1">
        <v>44995.691354166665</v>
      </c>
      <c r="E1383" t="s">
        <v>25</v>
      </c>
      <c r="F1383" t="s">
        <v>64</v>
      </c>
      <c r="G1383" t="s">
        <v>2561</v>
      </c>
      <c r="H1383" t="s">
        <v>2158</v>
      </c>
      <c r="I1383" t="s">
        <v>652</v>
      </c>
      <c r="J1383" t="s">
        <v>81</v>
      </c>
      <c r="K1383">
        <v>73</v>
      </c>
      <c r="L1383" t="s">
        <v>82</v>
      </c>
      <c r="M1383">
        <v>152</v>
      </c>
      <c r="N1383">
        <v>1</v>
      </c>
      <c r="O1383">
        <v>7093.68</v>
      </c>
      <c r="P1383" s="1">
        <v>45600.340543981481</v>
      </c>
      <c r="Q1383">
        <v>16</v>
      </c>
      <c r="R1383" t="s">
        <v>54</v>
      </c>
      <c r="S1383">
        <v>5.5134198499253599E-2</v>
      </c>
      <c r="T1383" t="b">
        <v>0</v>
      </c>
      <c r="U1383" t="b">
        <v>0</v>
      </c>
      <c r="V1383" t="b">
        <f t="shared" si="42"/>
        <v>1</v>
      </c>
      <c r="W1383">
        <v>0</v>
      </c>
      <c r="Y1383">
        <f t="shared" si="43"/>
        <v>0</v>
      </c>
    </row>
    <row r="1384" spans="1:25" x14ac:dyDescent="0.3">
      <c r="A1384" t="s">
        <v>3157</v>
      </c>
      <c r="B1384" t="s">
        <v>143</v>
      </c>
      <c r="C1384">
        <v>411.72</v>
      </c>
      <c r="D1384" s="1">
        <v>45097.780451388891</v>
      </c>
      <c r="E1384" t="s">
        <v>25</v>
      </c>
      <c r="F1384" t="s">
        <v>466</v>
      </c>
      <c r="G1384" t="s">
        <v>2526</v>
      </c>
      <c r="H1384" t="s">
        <v>1584</v>
      </c>
      <c r="I1384" t="s">
        <v>253</v>
      </c>
      <c r="J1384" t="s">
        <v>81</v>
      </c>
      <c r="K1384">
        <v>29</v>
      </c>
      <c r="L1384" t="s">
        <v>31</v>
      </c>
      <c r="M1384">
        <v>153</v>
      </c>
      <c r="N1384">
        <v>1</v>
      </c>
      <c r="O1384">
        <v>8539.86</v>
      </c>
      <c r="P1384" s="1">
        <v>45600.341469907406</v>
      </c>
      <c r="Q1384">
        <v>18</v>
      </c>
      <c r="R1384" t="s">
        <v>32</v>
      </c>
      <c r="S1384">
        <v>0.39091519319281998</v>
      </c>
      <c r="T1384" t="b">
        <v>0</v>
      </c>
      <c r="U1384" t="b">
        <v>0</v>
      </c>
      <c r="V1384" t="b">
        <f t="shared" si="42"/>
        <v>1</v>
      </c>
      <c r="W1384">
        <v>0</v>
      </c>
      <c r="Y1384">
        <f t="shared" si="43"/>
        <v>0</v>
      </c>
    </row>
    <row r="1385" spans="1:25" x14ac:dyDescent="0.3">
      <c r="A1385" t="s">
        <v>3158</v>
      </c>
      <c r="B1385" t="s">
        <v>1340</v>
      </c>
      <c r="C1385">
        <v>508.73</v>
      </c>
      <c r="D1385" s="1">
        <v>45121.682569444441</v>
      </c>
      <c r="E1385" t="s">
        <v>25</v>
      </c>
      <c r="F1385" t="s">
        <v>278</v>
      </c>
      <c r="G1385" t="s">
        <v>3084</v>
      </c>
      <c r="H1385" t="s">
        <v>3159</v>
      </c>
      <c r="I1385" t="s">
        <v>371</v>
      </c>
      <c r="J1385" t="s">
        <v>81</v>
      </c>
      <c r="K1385">
        <v>59</v>
      </c>
      <c r="L1385" t="s">
        <v>82</v>
      </c>
      <c r="M1385">
        <v>89</v>
      </c>
      <c r="N1385">
        <v>1</v>
      </c>
      <c r="O1385">
        <v>7640.57</v>
      </c>
      <c r="P1385" s="1">
        <v>45600.33966435185</v>
      </c>
      <c r="Q1385">
        <v>16</v>
      </c>
      <c r="R1385" t="s">
        <v>54</v>
      </c>
      <c r="S1385">
        <v>0.72320239400096997</v>
      </c>
      <c r="T1385" t="b">
        <v>0</v>
      </c>
      <c r="U1385" t="b">
        <v>0</v>
      </c>
      <c r="V1385" t="b">
        <f t="shared" si="42"/>
        <v>1</v>
      </c>
      <c r="W1385">
        <v>0</v>
      </c>
      <c r="Y1385">
        <f t="shared" si="43"/>
        <v>0</v>
      </c>
    </row>
    <row r="1386" spans="1:25" x14ac:dyDescent="0.3">
      <c r="A1386" t="s">
        <v>3160</v>
      </c>
      <c r="B1386" t="s">
        <v>1082</v>
      </c>
      <c r="C1386">
        <v>153.08000000000001</v>
      </c>
      <c r="D1386" s="1">
        <v>45257.706342592595</v>
      </c>
      <c r="E1386" t="s">
        <v>25</v>
      </c>
      <c r="F1386" t="s">
        <v>309</v>
      </c>
      <c r="G1386" t="s">
        <v>930</v>
      </c>
      <c r="H1386" t="s">
        <v>2742</v>
      </c>
      <c r="I1386" t="s">
        <v>112</v>
      </c>
      <c r="J1386" t="s">
        <v>30</v>
      </c>
      <c r="K1386">
        <v>24</v>
      </c>
      <c r="L1386" t="s">
        <v>46</v>
      </c>
      <c r="M1386">
        <v>201</v>
      </c>
      <c r="N1386">
        <v>1</v>
      </c>
      <c r="O1386">
        <v>1292.21</v>
      </c>
      <c r="P1386" s="1">
        <v>45600.339918981481</v>
      </c>
      <c r="Q1386">
        <v>16</v>
      </c>
      <c r="R1386" t="s">
        <v>47</v>
      </c>
      <c r="S1386">
        <v>-0.49500132692901999</v>
      </c>
      <c r="T1386" t="b">
        <v>0</v>
      </c>
      <c r="U1386" t="b">
        <v>0</v>
      </c>
      <c r="V1386" t="b">
        <f t="shared" si="42"/>
        <v>1</v>
      </c>
      <c r="W1386">
        <v>0</v>
      </c>
      <c r="Y1386">
        <f t="shared" si="43"/>
        <v>0</v>
      </c>
    </row>
    <row r="1387" spans="1:25" x14ac:dyDescent="0.3">
      <c r="A1387" t="s">
        <v>3161</v>
      </c>
      <c r="B1387" t="s">
        <v>1465</v>
      </c>
      <c r="C1387">
        <v>23.01</v>
      </c>
      <c r="D1387" s="1">
        <v>45086.772962962961</v>
      </c>
      <c r="E1387" t="s">
        <v>25</v>
      </c>
      <c r="F1387" t="s">
        <v>159</v>
      </c>
      <c r="G1387" t="s">
        <v>422</v>
      </c>
      <c r="H1387" t="s">
        <v>187</v>
      </c>
      <c r="I1387" t="s">
        <v>290</v>
      </c>
      <c r="J1387" t="s">
        <v>81</v>
      </c>
      <c r="K1387">
        <v>63</v>
      </c>
      <c r="L1387" t="s">
        <v>82</v>
      </c>
      <c r="M1387">
        <v>166</v>
      </c>
      <c r="N1387">
        <v>1</v>
      </c>
      <c r="O1387">
        <v>5958.75</v>
      </c>
      <c r="P1387" s="1">
        <v>45600.339745370373</v>
      </c>
      <c r="Q1387">
        <v>18</v>
      </c>
      <c r="R1387" t="s">
        <v>54</v>
      </c>
      <c r="S1387">
        <v>-0.94052855308215999</v>
      </c>
      <c r="T1387" t="b">
        <v>0</v>
      </c>
      <c r="U1387" t="b">
        <v>0</v>
      </c>
      <c r="V1387" t="b">
        <f t="shared" si="42"/>
        <v>1</v>
      </c>
      <c r="W1387">
        <v>0</v>
      </c>
      <c r="Y1387">
        <f t="shared" si="43"/>
        <v>0</v>
      </c>
    </row>
    <row r="1388" spans="1:25" x14ac:dyDescent="0.3">
      <c r="A1388" t="s">
        <v>3162</v>
      </c>
      <c r="B1388" t="s">
        <v>2684</v>
      </c>
      <c r="C1388">
        <v>69.28</v>
      </c>
      <c r="D1388" s="1">
        <v>45229.691944444443</v>
      </c>
      <c r="E1388" t="s">
        <v>25</v>
      </c>
      <c r="F1388" t="s">
        <v>153</v>
      </c>
      <c r="G1388" t="s">
        <v>1925</v>
      </c>
      <c r="H1388" t="s">
        <v>2402</v>
      </c>
      <c r="I1388" t="s">
        <v>285</v>
      </c>
      <c r="J1388" t="s">
        <v>45</v>
      </c>
      <c r="K1388">
        <v>25</v>
      </c>
      <c r="L1388" t="s">
        <v>46</v>
      </c>
      <c r="M1388">
        <v>129</v>
      </c>
      <c r="N1388">
        <v>1</v>
      </c>
      <c r="O1388">
        <v>708.74</v>
      </c>
      <c r="P1388" s="1">
        <v>45600.340983796297</v>
      </c>
      <c r="Q1388">
        <v>16</v>
      </c>
      <c r="R1388" t="s">
        <v>47</v>
      </c>
      <c r="S1388">
        <v>-0.78204047163289603</v>
      </c>
      <c r="T1388" t="b">
        <v>0</v>
      </c>
      <c r="U1388" t="b">
        <v>0</v>
      </c>
      <c r="V1388" t="b">
        <f t="shared" si="42"/>
        <v>1</v>
      </c>
      <c r="W1388">
        <v>0</v>
      </c>
      <c r="Y1388">
        <f t="shared" si="43"/>
        <v>0</v>
      </c>
    </row>
    <row r="1389" spans="1:25" x14ac:dyDescent="0.3">
      <c r="A1389" t="s">
        <v>3163</v>
      </c>
      <c r="B1389" t="s">
        <v>184</v>
      </c>
      <c r="C1389">
        <v>51.25</v>
      </c>
      <c r="D1389" s="1">
        <v>45167.677951388891</v>
      </c>
      <c r="E1389" t="s">
        <v>57</v>
      </c>
      <c r="F1389" t="s">
        <v>131</v>
      </c>
      <c r="G1389" t="s">
        <v>1392</v>
      </c>
      <c r="H1389" t="s">
        <v>478</v>
      </c>
      <c r="I1389" t="s">
        <v>265</v>
      </c>
      <c r="J1389" t="s">
        <v>81</v>
      </c>
      <c r="K1389">
        <v>28</v>
      </c>
      <c r="L1389" t="s">
        <v>46</v>
      </c>
      <c r="M1389">
        <v>66</v>
      </c>
      <c r="N1389">
        <v>1</v>
      </c>
      <c r="O1389">
        <v>1744.4</v>
      </c>
      <c r="P1389" s="1">
        <v>45600.341574074075</v>
      </c>
      <c r="Q1389">
        <v>16</v>
      </c>
      <c r="R1389" t="s">
        <v>32</v>
      </c>
      <c r="S1389">
        <v>-0.84379841648982701</v>
      </c>
      <c r="T1389" t="b">
        <v>0</v>
      </c>
      <c r="U1389" t="b">
        <v>0</v>
      </c>
      <c r="V1389" t="b">
        <f t="shared" si="42"/>
        <v>1</v>
      </c>
      <c r="W1389">
        <v>0</v>
      </c>
      <c r="Y1389">
        <f t="shared" si="43"/>
        <v>0</v>
      </c>
    </row>
    <row r="1390" spans="1:25" x14ac:dyDescent="0.3">
      <c r="A1390" t="s">
        <v>3164</v>
      </c>
      <c r="B1390" t="s">
        <v>2385</v>
      </c>
      <c r="C1390">
        <v>407.65</v>
      </c>
      <c r="D1390" s="1">
        <v>45145.720532407409</v>
      </c>
      <c r="E1390" t="s">
        <v>25</v>
      </c>
      <c r="F1390" t="s">
        <v>126</v>
      </c>
      <c r="G1390" t="s">
        <v>328</v>
      </c>
      <c r="H1390" t="s">
        <v>3165</v>
      </c>
      <c r="I1390" t="s">
        <v>325</v>
      </c>
      <c r="J1390" t="s">
        <v>30</v>
      </c>
      <c r="K1390">
        <v>25</v>
      </c>
      <c r="L1390" t="s">
        <v>46</v>
      </c>
      <c r="M1390">
        <v>263</v>
      </c>
      <c r="N1390">
        <v>1</v>
      </c>
      <c r="O1390">
        <v>273.77999999999997</v>
      </c>
      <c r="P1390" s="1">
        <v>45600.339317129627</v>
      </c>
      <c r="Q1390">
        <v>17</v>
      </c>
      <c r="R1390" t="s">
        <v>47</v>
      </c>
      <c r="S1390">
        <v>0.37697427053238097</v>
      </c>
      <c r="T1390" t="b">
        <v>0</v>
      </c>
      <c r="U1390" t="b">
        <v>0</v>
      </c>
      <c r="V1390" t="b">
        <f t="shared" si="42"/>
        <v>1</v>
      </c>
      <c r="W1390">
        <v>0</v>
      </c>
      <c r="Y1390">
        <f t="shared" si="43"/>
        <v>0</v>
      </c>
    </row>
    <row r="1391" spans="1:25" x14ac:dyDescent="0.3">
      <c r="A1391" t="s">
        <v>3166</v>
      </c>
      <c r="B1391" t="s">
        <v>3167</v>
      </c>
      <c r="C1391">
        <v>459.25</v>
      </c>
      <c r="D1391" s="1">
        <v>45069.697604166664</v>
      </c>
      <c r="E1391" t="s">
        <v>25</v>
      </c>
      <c r="F1391" t="s">
        <v>268</v>
      </c>
      <c r="G1391" t="s">
        <v>919</v>
      </c>
      <c r="H1391" t="s">
        <v>934</v>
      </c>
      <c r="I1391" t="s">
        <v>182</v>
      </c>
      <c r="J1391" t="s">
        <v>81</v>
      </c>
      <c r="K1391">
        <v>25</v>
      </c>
      <c r="L1391" t="s">
        <v>46</v>
      </c>
      <c r="M1391">
        <v>59</v>
      </c>
      <c r="N1391">
        <v>1</v>
      </c>
      <c r="O1391">
        <v>130.76</v>
      </c>
      <c r="P1391" s="1">
        <v>45600.341516203705</v>
      </c>
      <c r="Q1391">
        <v>16</v>
      </c>
      <c r="R1391" t="s">
        <v>32</v>
      </c>
      <c r="S1391">
        <v>0.55371913767701098</v>
      </c>
      <c r="T1391" t="b">
        <v>0</v>
      </c>
      <c r="U1391" t="b">
        <v>0</v>
      </c>
      <c r="V1391" t="b">
        <f t="shared" si="42"/>
        <v>1</v>
      </c>
      <c r="W1391">
        <v>0</v>
      </c>
      <c r="Y1391">
        <f t="shared" si="43"/>
        <v>0</v>
      </c>
    </row>
    <row r="1392" spans="1:25" x14ac:dyDescent="0.3">
      <c r="A1392" t="s">
        <v>3168</v>
      </c>
      <c r="B1392" t="s">
        <v>261</v>
      </c>
      <c r="C1392">
        <v>301.56</v>
      </c>
      <c r="D1392" s="1">
        <v>44966.740844907406</v>
      </c>
      <c r="E1392" t="s">
        <v>25</v>
      </c>
      <c r="F1392" t="s">
        <v>70</v>
      </c>
      <c r="G1392" t="s">
        <v>875</v>
      </c>
      <c r="H1392" t="s">
        <v>792</v>
      </c>
      <c r="I1392" t="s">
        <v>1362</v>
      </c>
      <c r="J1392" t="s">
        <v>81</v>
      </c>
      <c r="K1392">
        <v>49</v>
      </c>
      <c r="L1392" t="s">
        <v>31</v>
      </c>
      <c r="M1392">
        <v>118</v>
      </c>
      <c r="N1392">
        <v>1</v>
      </c>
      <c r="O1392">
        <v>10389.6</v>
      </c>
      <c r="P1392" s="1">
        <v>45600.340543981481</v>
      </c>
      <c r="Q1392">
        <v>17</v>
      </c>
      <c r="R1392" t="s">
        <v>141</v>
      </c>
      <c r="S1392">
        <v>1.35854535677739E-2</v>
      </c>
      <c r="T1392" t="b">
        <v>0</v>
      </c>
      <c r="U1392" t="b">
        <v>0</v>
      </c>
      <c r="V1392" t="b">
        <f t="shared" si="42"/>
        <v>1</v>
      </c>
      <c r="W1392">
        <v>0</v>
      </c>
      <c r="Y1392">
        <f t="shared" si="43"/>
        <v>0</v>
      </c>
    </row>
    <row r="1393" spans="1:25" x14ac:dyDescent="0.3">
      <c r="A1393" t="s">
        <v>3169</v>
      </c>
      <c r="B1393" t="s">
        <v>2141</v>
      </c>
      <c r="C1393">
        <v>17.670000000000002</v>
      </c>
      <c r="D1393" s="1">
        <v>45104.743298611109</v>
      </c>
      <c r="E1393" t="s">
        <v>25</v>
      </c>
      <c r="F1393" t="s">
        <v>26</v>
      </c>
      <c r="G1393" t="s">
        <v>1266</v>
      </c>
      <c r="H1393" t="s">
        <v>444</v>
      </c>
      <c r="I1393" t="s">
        <v>898</v>
      </c>
      <c r="J1393" t="s">
        <v>45</v>
      </c>
      <c r="K1393">
        <v>63</v>
      </c>
      <c r="L1393" t="s">
        <v>31</v>
      </c>
      <c r="M1393">
        <v>91</v>
      </c>
      <c r="N1393">
        <v>1</v>
      </c>
      <c r="O1393">
        <v>1048.18</v>
      </c>
      <c r="P1393" s="1">
        <v>45600.340914351851</v>
      </c>
      <c r="Q1393">
        <v>17</v>
      </c>
      <c r="R1393" t="s">
        <v>32</v>
      </c>
      <c r="S1393">
        <v>-0.95881959165875497</v>
      </c>
      <c r="T1393" t="b">
        <v>0</v>
      </c>
      <c r="U1393" t="b">
        <v>0</v>
      </c>
      <c r="V1393" t="b">
        <f t="shared" si="42"/>
        <v>1</v>
      </c>
      <c r="W1393">
        <v>0</v>
      </c>
      <c r="Y1393">
        <f t="shared" si="43"/>
        <v>0</v>
      </c>
    </row>
    <row r="1394" spans="1:25" x14ac:dyDescent="0.3">
      <c r="A1394" t="s">
        <v>3170</v>
      </c>
      <c r="B1394" t="s">
        <v>2238</v>
      </c>
      <c r="C1394">
        <v>5.29</v>
      </c>
      <c r="D1394" s="1">
        <v>44998.766898148147</v>
      </c>
      <c r="E1394" t="s">
        <v>57</v>
      </c>
      <c r="F1394" t="s">
        <v>225</v>
      </c>
      <c r="G1394" t="s">
        <v>3171</v>
      </c>
      <c r="H1394" t="s">
        <v>953</v>
      </c>
      <c r="I1394" t="s">
        <v>194</v>
      </c>
      <c r="J1394" t="s">
        <v>45</v>
      </c>
      <c r="K1394">
        <v>32</v>
      </c>
      <c r="L1394" t="s">
        <v>31</v>
      </c>
      <c r="M1394">
        <v>132</v>
      </c>
      <c r="N1394">
        <v>1</v>
      </c>
      <c r="O1394">
        <v>12896.68</v>
      </c>
      <c r="P1394" s="1">
        <v>45600.34101851852</v>
      </c>
      <c r="Q1394">
        <v>18</v>
      </c>
      <c r="R1394" t="s">
        <v>47</v>
      </c>
      <c r="S1394">
        <v>-1.0012246586209701</v>
      </c>
      <c r="T1394" t="b">
        <v>0</v>
      </c>
      <c r="U1394" t="b">
        <v>0</v>
      </c>
      <c r="V1394" t="b">
        <f t="shared" si="42"/>
        <v>1</v>
      </c>
      <c r="W1394">
        <v>0</v>
      </c>
      <c r="Y1394">
        <f t="shared" si="43"/>
        <v>0</v>
      </c>
    </row>
    <row r="1395" spans="1:25" x14ac:dyDescent="0.3">
      <c r="A1395" t="s">
        <v>3172</v>
      </c>
      <c r="B1395" t="s">
        <v>1672</v>
      </c>
      <c r="C1395">
        <v>401.37</v>
      </c>
      <c r="D1395" s="1">
        <v>45187.679386574076</v>
      </c>
      <c r="E1395" t="s">
        <v>25</v>
      </c>
      <c r="F1395" t="s">
        <v>153</v>
      </c>
      <c r="G1395" t="s">
        <v>1825</v>
      </c>
      <c r="H1395" t="s">
        <v>333</v>
      </c>
      <c r="I1395" t="s">
        <v>1013</v>
      </c>
      <c r="J1395" t="s">
        <v>81</v>
      </c>
      <c r="K1395">
        <v>43</v>
      </c>
      <c r="L1395" t="s">
        <v>89</v>
      </c>
      <c r="M1395">
        <v>251</v>
      </c>
      <c r="N1395">
        <v>1</v>
      </c>
      <c r="O1395">
        <v>8208.5400000000009</v>
      </c>
      <c r="P1395" s="1">
        <v>45600.341446759259</v>
      </c>
      <c r="Q1395">
        <v>16</v>
      </c>
      <c r="R1395" t="s">
        <v>47</v>
      </c>
      <c r="S1395">
        <v>0.35546346112020499</v>
      </c>
      <c r="T1395" t="b">
        <v>0</v>
      </c>
      <c r="U1395" t="b">
        <v>0</v>
      </c>
      <c r="V1395" t="b">
        <f t="shared" si="42"/>
        <v>1</v>
      </c>
      <c r="W1395">
        <v>0</v>
      </c>
      <c r="Y1395">
        <f t="shared" si="43"/>
        <v>0</v>
      </c>
    </row>
    <row r="1396" spans="1:25" x14ac:dyDescent="0.3">
      <c r="A1396" t="s">
        <v>3173</v>
      </c>
      <c r="B1396" t="s">
        <v>350</v>
      </c>
      <c r="C1396">
        <v>145.4</v>
      </c>
      <c r="D1396" s="1">
        <v>45113.745578703703</v>
      </c>
      <c r="E1396" t="s">
        <v>25</v>
      </c>
      <c r="F1396" t="s">
        <v>268</v>
      </c>
      <c r="G1396" t="s">
        <v>2412</v>
      </c>
      <c r="H1396" t="s">
        <v>2180</v>
      </c>
      <c r="I1396" t="s">
        <v>265</v>
      </c>
      <c r="J1396" t="s">
        <v>45</v>
      </c>
      <c r="K1396">
        <v>38</v>
      </c>
      <c r="L1396" t="s">
        <v>89</v>
      </c>
      <c r="M1396">
        <v>24</v>
      </c>
      <c r="N1396">
        <v>1</v>
      </c>
      <c r="O1396">
        <v>5244.49</v>
      </c>
      <c r="P1396" s="1">
        <v>45600.340185185189</v>
      </c>
      <c r="Q1396">
        <v>17</v>
      </c>
      <c r="R1396" t="s">
        <v>141</v>
      </c>
      <c r="S1396">
        <v>-0.52130753971333699</v>
      </c>
      <c r="T1396" t="b">
        <v>0</v>
      </c>
      <c r="U1396" t="b">
        <v>0</v>
      </c>
      <c r="V1396" t="b">
        <f t="shared" si="42"/>
        <v>1</v>
      </c>
      <c r="W1396">
        <v>0</v>
      </c>
      <c r="Y1396">
        <f t="shared" si="43"/>
        <v>0</v>
      </c>
    </row>
    <row r="1397" spans="1:25" x14ac:dyDescent="0.3">
      <c r="A1397" t="s">
        <v>3174</v>
      </c>
      <c r="B1397" t="s">
        <v>1418</v>
      </c>
      <c r="C1397">
        <v>556.34</v>
      </c>
      <c r="D1397" s="1">
        <v>45218.690532407411</v>
      </c>
      <c r="E1397" t="s">
        <v>25</v>
      </c>
      <c r="F1397" t="s">
        <v>70</v>
      </c>
      <c r="G1397" t="s">
        <v>2368</v>
      </c>
      <c r="H1397" t="s">
        <v>1536</v>
      </c>
      <c r="I1397" t="s">
        <v>1013</v>
      </c>
      <c r="J1397" t="s">
        <v>45</v>
      </c>
      <c r="K1397">
        <v>37</v>
      </c>
      <c r="L1397" t="s">
        <v>31</v>
      </c>
      <c r="M1397">
        <v>46</v>
      </c>
      <c r="N1397">
        <v>1</v>
      </c>
      <c r="O1397">
        <v>11935.14</v>
      </c>
      <c r="P1397" s="1">
        <v>45600.338333333333</v>
      </c>
      <c r="Q1397">
        <v>16</v>
      </c>
      <c r="R1397" t="s">
        <v>141</v>
      </c>
      <c r="S1397">
        <v>0.88628036153499701</v>
      </c>
      <c r="T1397" t="b">
        <v>0</v>
      </c>
      <c r="U1397" t="b">
        <v>0</v>
      </c>
      <c r="V1397" t="b">
        <f t="shared" si="42"/>
        <v>1</v>
      </c>
      <c r="W1397">
        <v>0</v>
      </c>
      <c r="Y1397">
        <f t="shared" si="43"/>
        <v>0</v>
      </c>
    </row>
    <row r="1398" spans="1:25" x14ac:dyDescent="0.3">
      <c r="A1398" t="s">
        <v>3175</v>
      </c>
      <c r="B1398" t="s">
        <v>180</v>
      </c>
      <c r="C1398">
        <v>34.31</v>
      </c>
      <c r="D1398" s="1">
        <v>45044.705185185187</v>
      </c>
      <c r="E1398" t="s">
        <v>25</v>
      </c>
      <c r="F1398" t="s">
        <v>256</v>
      </c>
      <c r="G1398" t="s">
        <v>1884</v>
      </c>
      <c r="H1398" t="s">
        <v>2391</v>
      </c>
      <c r="I1398" t="s">
        <v>222</v>
      </c>
      <c r="J1398" t="s">
        <v>30</v>
      </c>
      <c r="K1398">
        <v>24</v>
      </c>
      <c r="L1398" t="s">
        <v>46</v>
      </c>
      <c r="M1398">
        <v>251</v>
      </c>
      <c r="N1398">
        <v>1</v>
      </c>
      <c r="O1398">
        <v>1484.76</v>
      </c>
      <c r="P1398" s="1">
        <v>45600.341273148151</v>
      </c>
      <c r="Q1398">
        <v>16</v>
      </c>
      <c r="R1398" t="s">
        <v>54</v>
      </c>
      <c r="S1398">
        <v>-0.90182279729273496</v>
      </c>
      <c r="T1398" t="b">
        <v>0</v>
      </c>
      <c r="U1398" t="b">
        <v>0</v>
      </c>
      <c r="V1398" t="b">
        <f t="shared" si="42"/>
        <v>1</v>
      </c>
      <c r="W1398">
        <v>0</v>
      </c>
      <c r="Y1398">
        <f t="shared" si="43"/>
        <v>0</v>
      </c>
    </row>
    <row r="1399" spans="1:25" x14ac:dyDescent="0.3">
      <c r="A1399" t="s">
        <v>3176</v>
      </c>
      <c r="B1399" t="s">
        <v>1285</v>
      </c>
      <c r="C1399">
        <v>780.59</v>
      </c>
      <c r="D1399" s="1">
        <v>45105.749166666668</v>
      </c>
      <c r="E1399" t="s">
        <v>57</v>
      </c>
      <c r="F1399" t="s">
        <v>268</v>
      </c>
      <c r="G1399" t="s">
        <v>1492</v>
      </c>
      <c r="H1399" t="s">
        <v>2051</v>
      </c>
      <c r="I1399" t="s">
        <v>720</v>
      </c>
      <c r="J1399" t="s">
        <v>45</v>
      </c>
      <c r="K1399">
        <v>23</v>
      </c>
      <c r="L1399" t="s">
        <v>46</v>
      </c>
      <c r="M1399">
        <v>145</v>
      </c>
      <c r="N1399">
        <v>1</v>
      </c>
      <c r="O1399">
        <v>6513.34</v>
      </c>
      <c r="P1399" s="1">
        <v>45600.338206018518</v>
      </c>
      <c r="Q1399">
        <v>17</v>
      </c>
      <c r="R1399" t="s">
        <v>74</v>
      </c>
      <c r="S1399">
        <v>1.6544012231083101</v>
      </c>
      <c r="T1399" t="b">
        <v>0</v>
      </c>
      <c r="U1399" t="b">
        <v>0</v>
      </c>
      <c r="V1399" t="b">
        <f t="shared" si="42"/>
        <v>1</v>
      </c>
      <c r="W1399">
        <v>0</v>
      </c>
      <c r="Y1399">
        <f t="shared" si="43"/>
        <v>0</v>
      </c>
    </row>
    <row r="1400" spans="1:25" x14ac:dyDescent="0.3">
      <c r="A1400" t="s">
        <v>3177</v>
      </c>
      <c r="B1400" t="s">
        <v>1398</v>
      </c>
      <c r="C1400">
        <v>282.64999999999998</v>
      </c>
      <c r="D1400" s="1">
        <v>44993.737916666665</v>
      </c>
      <c r="E1400" t="s">
        <v>25</v>
      </c>
      <c r="F1400" t="s">
        <v>170</v>
      </c>
      <c r="G1400" t="s">
        <v>820</v>
      </c>
      <c r="H1400" t="s">
        <v>2163</v>
      </c>
      <c r="I1400" t="s">
        <v>458</v>
      </c>
      <c r="J1400" t="s">
        <v>30</v>
      </c>
      <c r="K1400">
        <v>35</v>
      </c>
      <c r="L1400" t="s">
        <v>31</v>
      </c>
      <c r="M1400">
        <v>161</v>
      </c>
      <c r="N1400">
        <v>1</v>
      </c>
      <c r="O1400">
        <v>13801.15</v>
      </c>
      <c r="P1400" s="1">
        <v>45600.339479166665</v>
      </c>
      <c r="Q1400">
        <v>17</v>
      </c>
      <c r="R1400" t="s">
        <v>74</v>
      </c>
      <c r="S1400">
        <v>-5.1186744837360798E-2</v>
      </c>
      <c r="T1400" t="b">
        <v>0</v>
      </c>
      <c r="U1400" t="b">
        <v>0</v>
      </c>
      <c r="V1400" t="b">
        <f t="shared" si="42"/>
        <v>1</v>
      </c>
      <c r="W1400">
        <v>0</v>
      </c>
      <c r="Y1400">
        <f t="shared" si="43"/>
        <v>0</v>
      </c>
    </row>
    <row r="1401" spans="1:25" x14ac:dyDescent="0.3">
      <c r="A1401" t="s">
        <v>3178</v>
      </c>
      <c r="B1401" t="s">
        <v>1127</v>
      </c>
      <c r="C1401">
        <v>305.27</v>
      </c>
      <c r="D1401" s="1">
        <v>45196.684467592589</v>
      </c>
      <c r="E1401" t="s">
        <v>25</v>
      </c>
      <c r="F1401" t="s">
        <v>159</v>
      </c>
      <c r="G1401" t="s">
        <v>894</v>
      </c>
      <c r="H1401" t="s">
        <v>1388</v>
      </c>
      <c r="I1401" t="s">
        <v>140</v>
      </c>
      <c r="J1401" t="s">
        <v>45</v>
      </c>
      <c r="K1401">
        <v>68</v>
      </c>
      <c r="L1401" t="s">
        <v>31</v>
      </c>
      <c r="M1401">
        <v>147</v>
      </c>
      <c r="N1401">
        <v>1</v>
      </c>
      <c r="O1401">
        <v>12958.65</v>
      </c>
      <c r="P1401" s="1">
        <v>45600.339942129627</v>
      </c>
      <c r="Q1401">
        <v>16</v>
      </c>
      <c r="R1401" t="s">
        <v>74</v>
      </c>
      <c r="S1401">
        <v>2.6293272503947699E-2</v>
      </c>
      <c r="T1401" t="b">
        <v>0</v>
      </c>
      <c r="U1401" t="b">
        <v>0</v>
      </c>
      <c r="V1401" t="b">
        <f t="shared" si="42"/>
        <v>1</v>
      </c>
      <c r="W1401">
        <v>0</v>
      </c>
      <c r="Y1401">
        <f t="shared" si="43"/>
        <v>0</v>
      </c>
    </row>
    <row r="1402" spans="1:25" x14ac:dyDescent="0.3">
      <c r="A1402" t="s">
        <v>3179</v>
      </c>
      <c r="B1402" t="s">
        <v>3167</v>
      </c>
      <c r="C1402">
        <v>185.81</v>
      </c>
      <c r="D1402" s="1">
        <v>45189.687569444446</v>
      </c>
      <c r="E1402" t="s">
        <v>25</v>
      </c>
      <c r="F1402" t="s">
        <v>131</v>
      </c>
      <c r="G1402" t="s">
        <v>3180</v>
      </c>
      <c r="H1402" t="s">
        <v>1066</v>
      </c>
      <c r="I1402" t="s">
        <v>463</v>
      </c>
      <c r="J1402" t="s">
        <v>45</v>
      </c>
      <c r="K1402">
        <v>32</v>
      </c>
      <c r="L1402" t="s">
        <v>31</v>
      </c>
      <c r="M1402">
        <v>116</v>
      </c>
      <c r="N1402">
        <v>1</v>
      </c>
      <c r="O1402">
        <v>9588.7099999999991</v>
      </c>
      <c r="P1402" s="1">
        <v>45600.340451388889</v>
      </c>
      <c r="Q1402">
        <v>16</v>
      </c>
      <c r="R1402" t="s">
        <v>74</v>
      </c>
      <c r="S1402">
        <v>-0.38289164666460701</v>
      </c>
      <c r="T1402" t="b">
        <v>0</v>
      </c>
      <c r="U1402" t="b">
        <v>0</v>
      </c>
      <c r="V1402" t="b">
        <f t="shared" si="42"/>
        <v>1</v>
      </c>
      <c r="W1402">
        <v>0</v>
      </c>
      <c r="Y1402">
        <f t="shared" si="43"/>
        <v>0</v>
      </c>
    </row>
    <row r="1403" spans="1:25" x14ac:dyDescent="0.3">
      <c r="A1403" t="s">
        <v>3181</v>
      </c>
      <c r="B1403" t="s">
        <v>591</v>
      </c>
      <c r="C1403">
        <v>66.010000000000005</v>
      </c>
      <c r="D1403" s="1">
        <v>45205.77753472222</v>
      </c>
      <c r="E1403" t="s">
        <v>25</v>
      </c>
      <c r="F1403" t="s">
        <v>191</v>
      </c>
      <c r="G1403" t="s">
        <v>1552</v>
      </c>
      <c r="H1403" t="s">
        <v>1528</v>
      </c>
      <c r="I1403" t="s">
        <v>577</v>
      </c>
      <c r="J1403" t="s">
        <v>45</v>
      </c>
      <c r="K1403">
        <v>49</v>
      </c>
      <c r="L1403" t="s">
        <v>89</v>
      </c>
      <c r="M1403">
        <v>179</v>
      </c>
      <c r="N1403">
        <v>1</v>
      </c>
      <c r="O1403">
        <v>3475.99</v>
      </c>
      <c r="P1403" s="1">
        <v>45600.338252314818</v>
      </c>
      <c r="Q1403">
        <v>18</v>
      </c>
      <c r="R1403" t="s">
        <v>54</v>
      </c>
      <c r="S1403">
        <v>-0.79324116379496801</v>
      </c>
      <c r="T1403" t="b">
        <v>0</v>
      </c>
      <c r="U1403" t="b">
        <v>0</v>
      </c>
      <c r="V1403" t="b">
        <f t="shared" si="42"/>
        <v>1</v>
      </c>
      <c r="W1403">
        <v>0</v>
      </c>
      <c r="Y1403">
        <f t="shared" si="43"/>
        <v>0</v>
      </c>
    </row>
    <row r="1404" spans="1:25" x14ac:dyDescent="0.3">
      <c r="A1404" t="s">
        <v>3182</v>
      </c>
      <c r="B1404" t="s">
        <v>1124</v>
      </c>
      <c r="C1404">
        <v>447.95</v>
      </c>
      <c r="D1404" s="1">
        <v>44937.727731481478</v>
      </c>
      <c r="E1404" t="s">
        <v>25</v>
      </c>
      <c r="F1404" t="s">
        <v>268</v>
      </c>
      <c r="G1404" t="s">
        <v>319</v>
      </c>
      <c r="H1404" t="s">
        <v>2340</v>
      </c>
      <c r="I1404" t="s">
        <v>53</v>
      </c>
      <c r="J1404" t="s">
        <v>81</v>
      </c>
      <c r="K1404">
        <v>29</v>
      </c>
      <c r="L1404" t="s">
        <v>89</v>
      </c>
      <c r="M1404">
        <v>75</v>
      </c>
      <c r="N1404">
        <v>1</v>
      </c>
      <c r="O1404">
        <v>7544.4</v>
      </c>
      <c r="P1404" s="1">
        <v>45600.339814814812</v>
      </c>
      <c r="Q1404">
        <v>17</v>
      </c>
      <c r="R1404" t="s">
        <v>74</v>
      </c>
      <c r="S1404">
        <v>0.51501338188758605</v>
      </c>
      <c r="T1404" t="b">
        <v>0</v>
      </c>
      <c r="U1404" t="b">
        <v>0</v>
      </c>
      <c r="V1404" t="b">
        <f t="shared" si="42"/>
        <v>1</v>
      </c>
      <c r="W1404">
        <v>0</v>
      </c>
      <c r="Y1404">
        <f t="shared" si="43"/>
        <v>0</v>
      </c>
    </row>
    <row r="1405" spans="1:25" x14ac:dyDescent="0.3">
      <c r="A1405" t="s">
        <v>3183</v>
      </c>
      <c r="B1405" t="s">
        <v>76</v>
      </c>
      <c r="C1405">
        <v>279.3</v>
      </c>
      <c r="D1405" s="1">
        <v>45099.727800925924</v>
      </c>
      <c r="E1405" t="s">
        <v>25</v>
      </c>
      <c r="F1405" t="s">
        <v>64</v>
      </c>
      <c r="G1405" t="s">
        <v>2183</v>
      </c>
      <c r="H1405" t="s">
        <v>628</v>
      </c>
      <c r="I1405" t="s">
        <v>1294</v>
      </c>
      <c r="J1405" t="s">
        <v>30</v>
      </c>
      <c r="K1405">
        <v>19</v>
      </c>
      <c r="L1405" t="s">
        <v>46</v>
      </c>
      <c r="M1405">
        <v>48</v>
      </c>
      <c r="N1405">
        <v>1</v>
      </c>
      <c r="O1405">
        <v>1193.6099999999999</v>
      </c>
      <c r="P1405" s="1">
        <v>45600.338425925926</v>
      </c>
      <c r="Q1405">
        <v>17</v>
      </c>
      <c r="R1405" t="s">
        <v>141</v>
      </c>
      <c r="S1405">
        <v>-6.2661460049269702E-2</v>
      </c>
      <c r="T1405" t="b">
        <v>0</v>
      </c>
      <c r="U1405" t="b">
        <v>0</v>
      </c>
      <c r="V1405" t="b">
        <f t="shared" si="42"/>
        <v>1</v>
      </c>
      <c r="W1405">
        <v>0</v>
      </c>
      <c r="Y1405">
        <f t="shared" si="43"/>
        <v>0</v>
      </c>
    </row>
    <row r="1406" spans="1:25" x14ac:dyDescent="0.3">
      <c r="A1406" t="s">
        <v>3184</v>
      </c>
      <c r="B1406" t="s">
        <v>582</v>
      </c>
      <c r="C1406">
        <v>26.75</v>
      </c>
      <c r="D1406" s="1">
        <v>45054.684062499997</v>
      </c>
      <c r="E1406" t="s">
        <v>25</v>
      </c>
      <c r="F1406" t="s">
        <v>77</v>
      </c>
      <c r="G1406" t="s">
        <v>903</v>
      </c>
      <c r="H1406" t="s">
        <v>382</v>
      </c>
      <c r="I1406" t="s">
        <v>1300</v>
      </c>
      <c r="J1406" t="s">
        <v>45</v>
      </c>
      <c r="K1406">
        <v>33</v>
      </c>
      <c r="L1406" t="s">
        <v>31</v>
      </c>
      <c r="M1406">
        <v>27</v>
      </c>
      <c r="N1406">
        <v>1</v>
      </c>
      <c r="O1406">
        <v>12063.77</v>
      </c>
      <c r="P1406" s="1">
        <v>45600.338194444441</v>
      </c>
      <c r="Q1406">
        <v>16</v>
      </c>
      <c r="R1406" t="s">
        <v>47</v>
      </c>
      <c r="S1406">
        <v>-0.92771797550229695</v>
      </c>
      <c r="T1406" t="b">
        <v>0</v>
      </c>
      <c r="U1406" t="b">
        <v>0</v>
      </c>
      <c r="V1406" t="b">
        <f t="shared" si="42"/>
        <v>1</v>
      </c>
      <c r="W1406">
        <v>0</v>
      </c>
      <c r="Y1406">
        <f t="shared" si="43"/>
        <v>0</v>
      </c>
    </row>
    <row r="1407" spans="1:25" x14ac:dyDescent="0.3">
      <c r="A1407" t="s">
        <v>3185</v>
      </c>
      <c r="B1407" t="s">
        <v>922</v>
      </c>
      <c r="C1407">
        <v>611.15</v>
      </c>
      <c r="D1407" s="1">
        <v>45149.717013888891</v>
      </c>
      <c r="E1407" t="s">
        <v>25</v>
      </c>
      <c r="F1407" t="s">
        <v>85</v>
      </c>
      <c r="G1407" t="s">
        <v>2460</v>
      </c>
      <c r="H1407" t="s">
        <v>2862</v>
      </c>
      <c r="I1407" t="s">
        <v>44</v>
      </c>
      <c r="J1407" t="s">
        <v>30</v>
      </c>
      <c r="K1407">
        <v>27</v>
      </c>
      <c r="L1407" t="s">
        <v>46</v>
      </c>
      <c r="M1407">
        <v>121</v>
      </c>
      <c r="N1407">
        <v>1</v>
      </c>
      <c r="O1407">
        <v>892.83</v>
      </c>
      <c r="P1407" s="1">
        <v>45600.339849537035</v>
      </c>
      <c r="Q1407">
        <v>17</v>
      </c>
      <c r="R1407" t="s">
        <v>54</v>
      </c>
      <c r="S1407">
        <v>1.0740204035543199</v>
      </c>
      <c r="T1407" t="b">
        <v>0</v>
      </c>
      <c r="U1407" t="b">
        <v>0</v>
      </c>
      <c r="V1407" t="b">
        <f t="shared" si="42"/>
        <v>1</v>
      </c>
      <c r="W1407">
        <v>0</v>
      </c>
      <c r="Y1407">
        <f t="shared" si="43"/>
        <v>0</v>
      </c>
    </row>
    <row r="1408" spans="1:25" x14ac:dyDescent="0.3">
      <c r="A1408" t="s">
        <v>3186</v>
      </c>
      <c r="B1408" t="s">
        <v>3187</v>
      </c>
      <c r="C1408">
        <v>275.2</v>
      </c>
      <c r="D1408" s="1">
        <v>45162.717800925922</v>
      </c>
      <c r="E1408" t="s">
        <v>25</v>
      </c>
      <c r="F1408" t="s">
        <v>216</v>
      </c>
      <c r="G1408" t="s">
        <v>2243</v>
      </c>
      <c r="H1408" t="s">
        <v>1348</v>
      </c>
      <c r="I1408" t="s">
        <v>720</v>
      </c>
      <c r="J1408" t="s">
        <v>45</v>
      </c>
      <c r="K1408">
        <v>54</v>
      </c>
      <c r="L1408" t="s">
        <v>89</v>
      </c>
      <c r="M1408">
        <v>81</v>
      </c>
      <c r="N1408">
        <v>1</v>
      </c>
      <c r="O1408">
        <v>1230.1199999999999</v>
      </c>
      <c r="P1408" s="1">
        <v>45600.340162037035</v>
      </c>
      <c r="Q1408">
        <v>17</v>
      </c>
      <c r="R1408" t="s">
        <v>141</v>
      </c>
      <c r="S1408">
        <v>-7.6705141353397399E-2</v>
      </c>
      <c r="T1408" t="b">
        <v>0</v>
      </c>
      <c r="U1408" t="b">
        <v>0</v>
      </c>
      <c r="V1408" t="b">
        <f t="shared" si="42"/>
        <v>1</v>
      </c>
      <c r="W1408">
        <v>0</v>
      </c>
      <c r="Y1408">
        <f t="shared" si="43"/>
        <v>0</v>
      </c>
    </row>
    <row r="1409" spans="1:25" x14ac:dyDescent="0.3">
      <c r="A1409" t="s">
        <v>3188</v>
      </c>
      <c r="B1409" t="s">
        <v>602</v>
      </c>
      <c r="C1409">
        <v>427.79</v>
      </c>
      <c r="D1409" s="1">
        <v>44978.737986111111</v>
      </c>
      <c r="E1409" t="s">
        <v>25</v>
      </c>
      <c r="F1409" t="s">
        <v>236</v>
      </c>
      <c r="G1409" t="s">
        <v>467</v>
      </c>
      <c r="H1409" t="s">
        <v>640</v>
      </c>
      <c r="I1409" t="s">
        <v>1823</v>
      </c>
      <c r="J1409" t="s">
        <v>81</v>
      </c>
      <c r="K1409">
        <v>18</v>
      </c>
      <c r="L1409" t="s">
        <v>46</v>
      </c>
      <c r="M1409">
        <v>189</v>
      </c>
      <c r="N1409">
        <v>1</v>
      </c>
      <c r="O1409">
        <v>1479.67</v>
      </c>
      <c r="P1409" s="1">
        <v>45600.339513888888</v>
      </c>
      <c r="Q1409">
        <v>17</v>
      </c>
      <c r="R1409" t="s">
        <v>32</v>
      </c>
      <c r="S1409">
        <v>0.44595957332875402</v>
      </c>
      <c r="T1409" t="b">
        <v>0</v>
      </c>
      <c r="U1409" t="b">
        <v>0</v>
      </c>
      <c r="V1409" t="b">
        <f t="shared" si="42"/>
        <v>1</v>
      </c>
      <c r="W1409">
        <v>0</v>
      </c>
      <c r="Y1409">
        <f t="shared" si="43"/>
        <v>0</v>
      </c>
    </row>
    <row r="1410" spans="1:25" x14ac:dyDescent="0.3">
      <c r="A1410" t="s">
        <v>3189</v>
      </c>
      <c r="B1410" t="s">
        <v>1887</v>
      </c>
      <c r="C1410">
        <v>469.13</v>
      </c>
      <c r="D1410" s="1">
        <v>45264.745798611111</v>
      </c>
      <c r="E1410" t="s">
        <v>57</v>
      </c>
      <c r="F1410" t="s">
        <v>250</v>
      </c>
      <c r="G1410" t="s">
        <v>1597</v>
      </c>
      <c r="H1410" t="s">
        <v>2104</v>
      </c>
      <c r="I1410" t="s">
        <v>44</v>
      </c>
      <c r="J1410" t="s">
        <v>30</v>
      </c>
      <c r="K1410">
        <v>54</v>
      </c>
      <c r="L1410" t="s">
        <v>31</v>
      </c>
      <c r="M1410">
        <v>139</v>
      </c>
      <c r="N1410">
        <v>1</v>
      </c>
      <c r="O1410">
        <v>1265.28</v>
      </c>
      <c r="P1410" s="1">
        <v>45600.338541666664</v>
      </c>
      <c r="Q1410">
        <v>17</v>
      </c>
      <c r="R1410" t="s">
        <v>47</v>
      </c>
      <c r="S1410">
        <v>0.58756098433183501</v>
      </c>
      <c r="T1410" t="b">
        <v>0</v>
      </c>
      <c r="U1410" t="b">
        <v>0</v>
      </c>
      <c r="V1410" t="b">
        <f t="shared" si="42"/>
        <v>1</v>
      </c>
      <c r="W1410">
        <v>0</v>
      </c>
      <c r="Y1410">
        <f t="shared" si="43"/>
        <v>0</v>
      </c>
    </row>
    <row r="1411" spans="1:25" x14ac:dyDescent="0.3">
      <c r="A1411" t="s">
        <v>3190</v>
      </c>
      <c r="B1411" t="s">
        <v>2525</v>
      </c>
      <c r="C1411">
        <v>102.81</v>
      </c>
      <c r="D1411" s="1">
        <v>45264.682638888888</v>
      </c>
      <c r="E1411" t="s">
        <v>25</v>
      </c>
      <c r="F1411" t="s">
        <v>70</v>
      </c>
      <c r="G1411" t="s">
        <v>739</v>
      </c>
      <c r="H1411" t="s">
        <v>193</v>
      </c>
      <c r="I1411" t="s">
        <v>239</v>
      </c>
      <c r="J1411" t="s">
        <v>81</v>
      </c>
      <c r="K1411">
        <v>76</v>
      </c>
      <c r="L1411" t="s">
        <v>82</v>
      </c>
      <c r="M1411">
        <v>47</v>
      </c>
      <c r="N1411">
        <v>1</v>
      </c>
      <c r="O1411">
        <v>3228.87</v>
      </c>
      <c r="P1411" s="1">
        <v>45600.338969907411</v>
      </c>
      <c r="Q1411">
        <v>16</v>
      </c>
      <c r="R1411" t="s">
        <v>47</v>
      </c>
      <c r="S1411">
        <v>-0.66719056087011597</v>
      </c>
      <c r="T1411" t="b">
        <v>0</v>
      </c>
      <c r="U1411" t="b">
        <v>0</v>
      </c>
      <c r="V1411" t="b">
        <f t="shared" ref="V1411:V1474" si="44">ISLOGICAL(T1411)</f>
        <v>1</v>
      </c>
      <c r="W1411">
        <v>0</v>
      </c>
      <c r="Y1411">
        <f t="shared" ref="Y1411:Y1474" si="45">--T1411</f>
        <v>0</v>
      </c>
    </row>
    <row r="1412" spans="1:25" x14ac:dyDescent="0.3">
      <c r="A1412" t="s">
        <v>3191</v>
      </c>
      <c r="B1412" t="s">
        <v>1094</v>
      </c>
      <c r="C1412">
        <v>22.61</v>
      </c>
      <c r="D1412" s="1">
        <v>45281.74726851852</v>
      </c>
      <c r="E1412" t="s">
        <v>25</v>
      </c>
      <c r="F1412" t="s">
        <v>70</v>
      </c>
      <c r="G1412" t="s">
        <v>2929</v>
      </c>
      <c r="H1412" t="s">
        <v>1424</v>
      </c>
      <c r="I1412" t="s">
        <v>527</v>
      </c>
      <c r="J1412" t="s">
        <v>45</v>
      </c>
      <c r="K1412">
        <v>19</v>
      </c>
      <c r="L1412" t="s">
        <v>46</v>
      </c>
      <c r="M1412">
        <v>145</v>
      </c>
      <c r="N1412">
        <v>1</v>
      </c>
      <c r="O1412">
        <v>1111.67</v>
      </c>
      <c r="P1412" s="1">
        <v>45600.338043981479</v>
      </c>
      <c r="Q1412">
        <v>17</v>
      </c>
      <c r="R1412" t="s">
        <v>141</v>
      </c>
      <c r="S1412">
        <v>-0.94189866833134295</v>
      </c>
      <c r="T1412" t="b">
        <v>0</v>
      </c>
      <c r="U1412" t="b">
        <v>0</v>
      </c>
      <c r="V1412" t="b">
        <f t="shared" si="44"/>
        <v>1</v>
      </c>
      <c r="W1412">
        <v>0</v>
      </c>
      <c r="Y1412">
        <f t="shared" si="45"/>
        <v>0</v>
      </c>
    </row>
    <row r="1413" spans="1:25" x14ac:dyDescent="0.3">
      <c r="A1413" t="s">
        <v>3192</v>
      </c>
      <c r="B1413" t="s">
        <v>327</v>
      </c>
      <c r="C1413">
        <v>68.28</v>
      </c>
      <c r="D1413" s="1">
        <v>45085.787546296298</v>
      </c>
      <c r="E1413" t="s">
        <v>25</v>
      </c>
      <c r="F1413" t="s">
        <v>401</v>
      </c>
      <c r="G1413" t="s">
        <v>1726</v>
      </c>
      <c r="H1413" t="s">
        <v>1687</v>
      </c>
      <c r="I1413" t="s">
        <v>753</v>
      </c>
      <c r="J1413" t="s">
        <v>45</v>
      </c>
      <c r="K1413">
        <v>56</v>
      </c>
      <c r="L1413" t="s">
        <v>89</v>
      </c>
      <c r="M1413">
        <v>293</v>
      </c>
      <c r="N1413">
        <v>1</v>
      </c>
      <c r="O1413">
        <v>3213.16</v>
      </c>
      <c r="P1413" s="1">
        <v>45600.339166666665</v>
      </c>
      <c r="Q1413">
        <v>18</v>
      </c>
      <c r="R1413" t="s">
        <v>141</v>
      </c>
      <c r="S1413">
        <v>-0.78546575975585398</v>
      </c>
      <c r="T1413" t="b">
        <v>0</v>
      </c>
      <c r="U1413" t="b">
        <v>0</v>
      </c>
      <c r="V1413" t="b">
        <f t="shared" si="44"/>
        <v>1</v>
      </c>
      <c r="W1413">
        <v>0</v>
      </c>
      <c r="Y1413">
        <f t="shared" si="45"/>
        <v>0</v>
      </c>
    </row>
    <row r="1414" spans="1:25" x14ac:dyDescent="0.3">
      <c r="A1414" t="s">
        <v>3193</v>
      </c>
      <c r="B1414" t="s">
        <v>1219</v>
      </c>
      <c r="C1414">
        <v>33.65</v>
      </c>
      <c r="D1414" s="1">
        <v>45187.720868055556</v>
      </c>
      <c r="E1414" t="s">
        <v>57</v>
      </c>
      <c r="F1414" t="s">
        <v>216</v>
      </c>
      <c r="G1414" t="s">
        <v>1095</v>
      </c>
      <c r="H1414" t="s">
        <v>2219</v>
      </c>
      <c r="I1414" t="s">
        <v>665</v>
      </c>
      <c r="J1414" t="s">
        <v>45</v>
      </c>
      <c r="K1414">
        <v>63</v>
      </c>
      <c r="L1414" t="s">
        <v>31</v>
      </c>
      <c r="M1414">
        <v>146</v>
      </c>
      <c r="N1414">
        <v>1</v>
      </c>
      <c r="O1414">
        <v>12719.93</v>
      </c>
      <c r="P1414" s="1">
        <v>45600.338472222225</v>
      </c>
      <c r="Q1414">
        <v>17</v>
      </c>
      <c r="R1414" t="s">
        <v>47</v>
      </c>
      <c r="S1414">
        <v>-0.904083487453887</v>
      </c>
      <c r="T1414" t="b">
        <v>0</v>
      </c>
      <c r="U1414" t="b">
        <v>0</v>
      </c>
      <c r="V1414" t="b">
        <f t="shared" si="44"/>
        <v>1</v>
      </c>
      <c r="W1414">
        <v>0</v>
      </c>
      <c r="Y1414">
        <f t="shared" si="45"/>
        <v>0</v>
      </c>
    </row>
    <row r="1415" spans="1:25" x14ac:dyDescent="0.3">
      <c r="A1415" t="s">
        <v>3194</v>
      </c>
      <c r="B1415" t="s">
        <v>245</v>
      </c>
      <c r="C1415">
        <v>362.68</v>
      </c>
      <c r="D1415" s="1">
        <v>44942.751608796294</v>
      </c>
      <c r="E1415" t="s">
        <v>57</v>
      </c>
      <c r="F1415" t="s">
        <v>185</v>
      </c>
      <c r="G1415" t="s">
        <v>1282</v>
      </c>
      <c r="H1415" t="s">
        <v>3195</v>
      </c>
      <c r="I1415" t="s">
        <v>253</v>
      </c>
      <c r="J1415" t="s">
        <v>30</v>
      </c>
      <c r="K1415">
        <v>63</v>
      </c>
      <c r="L1415" t="s">
        <v>82</v>
      </c>
      <c r="M1415">
        <v>137</v>
      </c>
      <c r="N1415">
        <v>1</v>
      </c>
      <c r="O1415">
        <v>2040.77</v>
      </c>
      <c r="P1415" s="1">
        <v>45600.337847222225</v>
      </c>
      <c r="Q1415">
        <v>18</v>
      </c>
      <c r="R1415" t="s">
        <v>47</v>
      </c>
      <c r="S1415">
        <v>0.22293906364296301</v>
      </c>
      <c r="T1415" t="b">
        <v>0</v>
      </c>
      <c r="U1415" t="b">
        <v>0</v>
      </c>
      <c r="V1415" t="b">
        <f t="shared" si="44"/>
        <v>1</v>
      </c>
      <c r="W1415">
        <v>0</v>
      </c>
      <c r="Y1415">
        <f t="shared" si="45"/>
        <v>0</v>
      </c>
    </row>
    <row r="1416" spans="1:25" x14ac:dyDescent="0.3">
      <c r="A1416" t="s">
        <v>3196</v>
      </c>
      <c r="B1416" t="s">
        <v>522</v>
      </c>
      <c r="C1416">
        <v>73.23</v>
      </c>
      <c r="D1416" s="1">
        <v>45100.695451388892</v>
      </c>
      <c r="E1416" t="s">
        <v>25</v>
      </c>
      <c r="F1416" t="s">
        <v>225</v>
      </c>
      <c r="G1416" t="s">
        <v>386</v>
      </c>
      <c r="H1416" t="s">
        <v>3197</v>
      </c>
      <c r="I1416" t="s">
        <v>290</v>
      </c>
      <c r="J1416" t="s">
        <v>81</v>
      </c>
      <c r="K1416">
        <v>20</v>
      </c>
      <c r="L1416" t="s">
        <v>46</v>
      </c>
      <c r="M1416">
        <v>172</v>
      </c>
      <c r="N1416">
        <v>1</v>
      </c>
      <c r="O1416">
        <v>1309.8499999999999</v>
      </c>
      <c r="P1416" s="1">
        <v>45600.341921296298</v>
      </c>
      <c r="Q1416">
        <v>16</v>
      </c>
      <c r="R1416" t="s">
        <v>54</v>
      </c>
      <c r="S1416">
        <v>-0.76851058354721202</v>
      </c>
      <c r="T1416" t="b">
        <v>0</v>
      </c>
      <c r="U1416" t="b">
        <v>0</v>
      </c>
      <c r="V1416" t="b">
        <f t="shared" si="44"/>
        <v>1</v>
      </c>
      <c r="W1416">
        <v>0</v>
      </c>
      <c r="Y1416">
        <f t="shared" si="45"/>
        <v>0</v>
      </c>
    </row>
    <row r="1417" spans="1:25" x14ac:dyDescent="0.3">
      <c r="A1417" t="s">
        <v>3198</v>
      </c>
      <c r="B1417" t="s">
        <v>1485</v>
      </c>
      <c r="C1417">
        <v>654.49</v>
      </c>
      <c r="D1417" s="1">
        <v>45250.688611111109</v>
      </c>
      <c r="E1417" t="s">
        <v>57</v>
      </c>
      <c r="F1417" t="s">
        <v>131</v>
      </c>
      <c r="G1417" t="s">
        <v>27</v>
      </c>
      <c r="H1417" t="s">
        <v>453</v>
      </c>
      <c r="I1417" t="s">
        <v>419</v>
      </c>
      <c r="J1417" t="s">
        <v>45</v>
      </c>
      <c r="K1417">
        <v>25</v>
      </c>
      <c r="L1417" t="s">
        <v>46</v>
      </c>
      <c r="M1417">
        <v>104</v>
      </c>
      <c r="N1417">
        <v>1</v>
      </c>
      <c r="O1417">
        <v>164.61</v>
      </c>
      <c r="P1417" s="1">
        <v>45600.33934027778</v>
      </c>
      <c r="Q1417">
        <v>16</v>
      </c>
      <c r="R1417" t="s">
        <v>47</v>
      </c>
      <c r="S1417">
        <v>1.2224723908033099</v>
      </c>
      <c r="T1417" t="b">
        <v>0</v>
      </c>
      <c r="U1417" t="b">
        <v>0</v>
      </c>
      <c r="V1417" t="b">
        <f t="shared" si="44"/>
        <v>1</v>
      </c>
      <c r="W1417">
        <v>0</v>
      </c>
      <c r="Y1417">
        <f t="shared" si="45"/>
        <v>0</v>
      </c>
    </row>
    <row r="1418" spans="1:25" x14ac:dyDescent="0.3">
      <c r="A1418" t="s">
        <v>3199</v>
      </c>
      <c r="B1418" t="s">
        <v>2013</v>
      </c>
      <c r="C1418">
        <v>18.559999999999999</v>
      </c>
      <c r="D1418" s="1">
        <v>45040.711354166669</v>
      </c>
      <c r="E1418" t="s">
        <v>57</v>
      </c>
      <c r="F1418" t="s">
        <v>104</v>
      </c>
      <c r="G1418" t="s">
        <v>3200</v>
      </c>
      <c r="H1418" t="s">
        <v>2281</v>
      </c>
      <c r="I1418" t="s">
        <v>222</v>
      </c>
      <c r="J1418" t="s">
        <v>81</v>
      </c>
      <c r="K1418">
        <v>49</v>
      </c>
      <c r="L1418" t="s">
        <v>89</v>
      </c>
      <c r="M1418">
        <v>161</v>
      </c>
      <c r="N1418">
        <v>1</v>
      </c>
      <c r="O1418">
        <v>4230.37</v>
      </c>
      <c r="P1418" s="1">
        <v>45600.33865740741</v>
      </c>
      <c r="Q1418">
        <v>17</v>
      </c>
      <c r="R1418" t="s">
        <v>47</v>
      </c>
      <c r="S1418">
        <v>-0.95577108522932197</v>
      </c>
      <c r="T1418" t="b">
        <v>0</v>
      </c>
      <c r="U1418" t="b">
        <v>0</v>
      </c>
      <c r="V1418" t="b">
        <f t="shared" si="44"/>
        <v>1</v>
      </c>
      <c r="W1418">
        <v>0</v>
      </c>
      <c r="Y1418">
        <f t="shared" si="45"/>
        <v>0</v>
      </c>
    </row>
    <row r="1419" spans="1:25" x14ac:dyDescent="0.3">
      <c r="A1419" t="s">
        <v>3201</v>
      </c>
      <c r="B1419" t="s">
        <v>2614</v>
      </c>
      <c r="C1419">
        <v>389.05</v>
      </c>
      <c r="D1419" s="1">
        <v>44932.732731481483</v>
      </c>
      <c r="E1419" t="s">
        <v>25</v>
      </c>
      <c r="F1419" t="s">
        <v>336</v>
      </c>
      <c r="G1419" t="s">
        <v>1925</v>
      </c>
      <c r="H1419" t="s">
        <v>778</v>
      </c>
      <c r="I1419" t="s">
        <v>339</v>
      </c>
      <c r="J1419" t="s">
        <v>30</v>
      </c>
      <c r="K1419">
        <v>27</v>
      </c>
      <c r="L1419" t="s">
        <v>46</v>
      </c>
      <c r="M1419">
        <v>41</v>
      </c>
      <c r="N1419">
        <v>1</v>
      </c>
      <c r="O1419">
        <v>761</v>
      </c>
      <c r="P1419" s="1">
        <v>45600.341296296298</v>
      </c>
      <c r="Q1419">
        <v>17</v>
      </c>
      <c r="R1419" t="s">
        <v>54</v>
      </c>
      <c r="S1419">
        <v>0.31326391144536397</v>
      </c>
      <c r="T1419" t="b">
        <v>0</v>
      </c>
      <c r="U1419" t="b">
        <v>0</v>
      </c>
      <c r="V1419" t="b">
        <f t="shared" si="44"/>
        <v>1</v>
      </c>
      <c r="W1419">
        <v>0</v>
      </c>
      <c r="Y1419">
        <f t="shared" si="45"/>
        <v>0</v>
      </c>
    </row>
    <row r="1420" spans="1:25" x14ac:dyDescent="0.3">
      <c r="A1420" t="s">
        <v>3202</v>
      </c>
      <c r="B1420" t="s">
        <v>1340</v>
      </c>
      <c r="C1420">
        <v>7.38</v>
      </c>
      <c r="D1420" s="1">
        <v>45000.699826388889</v>
      </c>
      <c r="E1420" t="s">
        <v>25</v>
      </c>
      <c r="F1420" t="s">
        <v>35</v>
      </c>
      <c r="G1420" t="s">
        <v>3203</v>
      </c>
      <c r="H1420" t="s">
        <v>2026</v>
      </c>
      <c r="I1420" t="s">
        <v>605</v>
      </c>
      <c r="J1420" t="s">
        <v>45</v>
      </c>
      <c r="K1420">
        <v>67</v>
      </c>
      <c r="L1420" t="s">
        <v>82</v>
      </c>
      <c r="M1420">
        <v>105</v>
      </c>
      <c r="N1420">
        <v>1</v>
      </c>
      <c r="O1420">
        <v>2923.83</v>
      </c>
      <c r="P1420" s="1">
        <v>45600.340486111112</v>
      </c>
      <c r="Q1420">
        <v>16</v>
      </c>
      <c r="R1420" t="s">
        <v>74</v>
      </c>
      <c r="S1420">
        <v>-0.99406580644399201</v>
      </c>
      <c r="T1420" t="b">
        <v>0</v>
      </c>
      <c r="U1420" t="b">
        <v>0</v>
      </c>
      <c r="V1420" t="b">
        <f t="shared" si="44"/>
        <v>1</v>
      </c>
      <c r="W1420">
        <v>0</v>
      </c>
      <c r="Y1420">
        <f t="shared" si="45"/>
        <v>0</v>
      </c>
    </row>
    <row r="1421" spans="1:25" x14ac:dyDescent="0.3">
      <c r="A1421" t="s">
        <v>3204</v>
      </c>
      <c r="B1421" t="s">
        <v>1418</v>
      </c>
      <c r="C1421">
        <v>109.48</v>
      </c>
      <c r="D1421" s="1">
        <v>45103.734976851854</v>
      </c>
      <c r="E1421" t="s">
        <v>25</v>
      </c>
      <c r="F1421" t="s">
        <v>210</v>
      </c>
      <c r="G1421" t="s">
        <v>2243</v>
      </c>
      <c r="H1421" t="s">
        <v>3082</v>
      </c>
      <c r="I1421" t="s">
        <v>194</v>
      </c>
      <c r="J1421" t="s">
        <v>45</v>
      </c>
      <c r="K1421">
        <v>61</v>
      </c>
      <c r="L1421" t="s">
        <v>82</v>
      </c>
      <c r="M1421">
        <v>93</v>
      </c>
      <c r="N1421">
        <v>1</v>
      </c>
      <c r="O1421">
        <v>7372.47</v>
      </c>
      <c r="P1421" s="1">
        <v>45600.338495370372</v>
      </c>
      <c r="Q1421">
        <v>17</v>
      </c>
      <c r="R1421" t="s">
        <v>47</v>
      </c>
      <c r="S1421">
        <v>-0.64434388908998697</v>
      </c>
      <c r="T1421" t="b">
        <v>0</v>
      </c>
      <c r="U1421" t="b">
        <v>0</v>
      </c>
      <c r="V1421" t="b">
        <f t="shared" si="44"/>
        <v>1</v>
      </c>
      <c r="W1421">
        <v>0</v>
      </c>
      <c r="Y1421">
        <f t="shared" si="45"/>
        <v>0</v>
      </c>
    </row>
    <row r="1422" spans="1:25" x14ac:dyDescent="0.3">
      <c r="A1422" t="s">
        <v>3205</v>
      </c>
      <c r="B1422" t="s">
        <v>2146</v>
      </c>
      <c r="C1422">
        <v>66.91</v>
      </c>
      <c r="D1422" s="1">
        <v>44956.782835648148</v>
      </c>
      <c r="E1422" t="s">
        <v>25</v>
      </c>
      <c r="F1422" t="s">
        <v>70</v>
      </c>
      <c r="G1422" t="s">
        <v>3206</v>
      </c>
      <c r="H1422" t="s">
        <v>1730</v>
      </c>
      <c r="I1422" t="s">
        <v>491</v>
      </c>
      <c r="J1422" t="s">
        <v>30</v>
      </c>
      <c r="K1422">
        <v>39</v>
      </c>
      <c r="L1422" t="s">
        <v>31</v>
      </c>
      <c r="M1422">
        <v>85</v>
      </c>
      <c r="N1422">
        <v>1</v>
      </c>
      <c r="O1422">
        <v>871.1</v>
      </c>
      <c r="P1422" s="1">
        <v>45600.340497685182</v>
      </c>
      <c r="Q1422">
        <v>18</v>
      </c>
      <c r="R1422" t="s">
        <v>47</v>
      </c>
      <c r="S1422">
        <v>-0.79015840448430597</v>
      </c>
      <c r="T1422" t="b">
        <v>0</v>
      </c>
      <c r="U1422" t="b">
        <v>0</v>
      </c>
      <c r="V1422" t="b">
        <f t="shared" si="44"/>
        <v>1</v>
      </c>
      <c r="W1422">
        <v>0</v>
      </c>
      <c r="Y1422">
        <f t="shared" si="45"/>
        <v>0</v>
      </c>
    </row>
    <row r="1423" spans="1:25" x14ac:dyDescent="0.3">
      <c r="A1423" t="s">
        <v>3207</v>
      </c>
      <c r="B1423" t="s">
        <v>1887</v>
      </c>
      <c r="C1423">
        <v>335.48</v>
      </c>
      <c r="D1423" s="1">
        <v>44987.671041666668</v>
      </c>
      <c r="E1423" t="s">
        <v>25</v>
      </c>
      <c r="F1423" t="s">
        <v>64</v>
      </c>
      <c r="G1423" t="s">
        <v>2561</v>
      </c>
      <c r="H1423" t="s">
        <v>992</v>
      </c>
      <c r="I1423" t="s">
        <v>156</v>
      </c>
      <c r="J1423" t="s">
        <v>81</v>
      </c>
      <c r="K1423">
        <v>45</v>
      </c>
      <c r="L1423" t="s">
        <v>89</v>
      </c>
      <c r="M1423">
        <v>155</v>
      </c>
      <c r="N1423">
        <v>1</v>
      </c>
      <c r="O1423">
        <v>3023.16</v>
      </c>
      <c r="P1423" s="1">
        <v>45600.338020833333</v>
      </c>
      <c r="Q1423">
        <v>16</v>
      </c>
      <c r="R1423" t="s">
        <v>141</v>
      </c>
      <c r="S1423">
        <v>0.12977122669850699</v>
      </c>
      <c r="T1423" t="b">
        <v>0</v>
      </c>
      <c r="U1423" t="b">
        <v>0</v>
      </c>
      <c r="V1423" t="b">
        <f t="shared" si="44"/>
        <v>1</v>
      </c>
      <c r="W1423">
        <v>0</v>
      </c>
      <c r="Y1423">
        <f t="shared" si="45"/>
        <v>0</v>
      </c>
    </row>
    <row r="1424" spans="1:25" x14ac:dyDescent="0.3">
      <c r="A1424" t="s">
        <v>3208</v>
      </c>
      <c r="B1424" t="s">
        <v>3209</v>
      </c>
      <c r="C1424">
        <v>38.14</v>
      </c>
      <c r="D1424" s="1">
        <v>45288.702314814815</v>
      </c>
      <c r="E1424" t="s">
        <v>25</v>
      </c>
      <c r="F1424" t="s">
        <v>98</v>
      </c>
      <c r="G1424" t="s">
        <v>3210</v>
      </c>
      <c r="H1424" t="s">
        <v>3114</v>
      </c>
      <c r="I1424" t="s">
        <v>620</v>
      </c>
      <c r="J1424" t="s">
        <v>45</v>
      </c>
      <c r="K1424">
        <v>19</v>
      </c>
      <c r="L1424" t="s">
        <v>46</v>
      </c>
      <c r="M1424">
        <v>174</v>
      </c>
      <c r="N1424">
        <v>1</v>
      </c>
      <c r="O1424">
        <v>1119.21</v>
      </c>
      <c r="P1424" s="1">
        <v>45600.340266203704</v>
      </c>
      <c r="Q1424">
        <v>16</v>
      </c>
      <c r="R1424" t="s">
        <v>141</v>
      </c>
      <c r="S1424">
        <v>-0.88870394378180595</v>
      </c>
      <c r="T1424" t="b">
        <v>0</v>
      </c>
      <c r="U1424" t="b">
        <v>0</v>
      </c>
      <c r="V1424" t="b">
        <f t="shared" si="44"/>
        <v>1</v>
      </c>
      <c r="W1424">
        <v>0</v>
      </c>
      <c r="Y1424">
        <f t="shared" si="45"/>
        <v>0</v>
      </c>
    </row>
    <row r="1425" spans="1:25" x14ac:dyDescent="0.3">
      <c r="A1425" t="s">
        <v>3211</v>
      </c>
      <c r="B1425" t="s">
        <v>1533</v>
      </c>
      <c r="C1425">
        <v>1076.98</v>
      </c>
      <c r="D1425" s="1">
        <v>45280.758622685185</v>
      </c>
      <c r="E1425" t="s">
        <v>25</v>
      </c>
      <c r="F1425" t="s">
        <v>85</v>
      </c>
      <c r="G1425" t="s">
        <v>1705</v>
      </c>
      <c r="H1425" t="s">
        <v>2219</v>
      </c>
      <c r="I1425" t="s">
        <v>290</v>
      </c>
      <c r="J1425" t="s">
        <v>81</v>
      </c>
      <c r="K1425">
        <v>60</v>
      </c>
      <c r="L1425" t="s">
        <v>31</v>
      </c>
      <c r="M1425">
        <v>173</v>
      </c>
      <c r="N1425">
        <v>1</v>
      </c>
      <c r="O1425">
        <v>11833.73</v>
      </c>
      <c r="P1425" s="1">
        <v>45600.339965277781</v>
      </c>
      <c r="Q1425">
        <v>18</v>
      </c>
      <c r="R1425" t="s">
        <v>74</v>
      </c>
      <c r="S1425">
        <v>2.66962236987181</v>
      </c>
      <c r="T1425" t="b">
        <v>1</v>
      </c>
      <c r="U1425" t="b">
        <v>0</v>
      </c>
      <c r="V1425" t="b">
        <f t="shared" si="44"/>
        <v>1</v>
      </c>
      <c r="W1425">
        <v>1</v>
      </c>
      <c r="Y1425">
        <f t="shared" si="45"/>
        <v>1</v>
      </c>
    </row>
    <row r="1426" spans="1:25" x14ac:dyDescent="0.3">
      <c r="A1426" t="s">
        <v>3212</v>
      </c>
      <c r="B1426" t="s">
        <v>2480</v>
      </c>
      <c r="C1426">
        <v>360.02</v>
      </c>
      <c r="D1426" s="1">
        <v>44966.686874999999</v>
      </c>
      <c r="E1426" t="s">
        <v>25</v>
      </c>
      <c r="F1426" t="s">
        <v>336</v>
      </c>
      <c r="G1426" t="s">
        <v>1318</v>
      </c>
      <c r="H1426" t="s">
        <v>2219</v>
      </c>
      <c r="I1426" t="s">
        <v>445</v>
      </c>
      <c r="J1426" t="s">
        <v>45</v>
      </c>
      <c r="K1426">
        <v>68</v>
      </c>
      <c r="L1426" t="s">
        <v>82</v>
      </c>
      <c r="M1426">
        <v>68</v>
      </c>
      <c r="N1426">
        <v>1</v>
      </c>
      <c r="O1426">
        <v>6400.59</v>
      </c>
      <c r="P1426" s="1">
        <v>45600.339502314811</v>
      </c>
      <c r="Q1426">
        <v>16</v>
      </c>
      <c r="R1426" t="s">
        <v>141</v>
      </c>
      <c r="S1426">
        <v>0.21382779723589401</v>
      </c>
      <c r="T1426" t="b">
        <v>0</v>
      </c>
      <c r="U1426" t="b">
        <v>0</v>
      </c>
      <c r="V1426" t="b">
        <f t="shared" si="44"/>
        <v>1</v>
      </c>
      <c r="W1426">
        <v>0</v>
      </c>
      <c r="Y1426">
        <f t="shared" si="45"/>
        <v>0</v>
      </c>
    </row>
    <row r="1427" spans="1:25" x14ac:dyDescent="0.3">
      <c r="A1427" t="s">
        <v>3213</v>
      </c>
      <c r="B1427" t="s">
        <v>987</v>
      </c>
      <c r="C1427">
        <v>567.71</v>
      </c>
      <c r="D1427" s="1">
        <v>44963.777349537035</v>
      </c>
      <c r="E1427" t="s">
        <v>25</v>
      </c>
      <c r="F1427" t="s">
        <v>104</v>
      </c>
      <c r="G1427" t="s">
        <v>708</v>
      </c>
      <c r="H1427" t="s">
        <v>2206</v>
      </c>
      <c r="I1427" t="s">
        <v>585</v>
      </c>
      <c r="J1427" t="s">
        <v>45</v>
      </c>
      <c r="K1427">
        <v>63</v>
      </c>
      <c r="L1427" t="s">
        <v>31</v>
      </c>
      <c r="M1427">
        <v>80</v>
      </c>
      <c r="N1427">
        <v>1</v>
      </c>
      <c r="O1427">
        <v>13884.24</v>
      </c>
      <c r="P1427" s="1">
        <v>45600.340740740743</v>
      </c>
      <c r="Q1427">
        <v>18</v>
      </c>
      <c r="R1427" t="s">
        <v>47</v>
      </c>
      <c r="S1427">
        <v>0.92522588749302903</v>
      </c>
      <c r="T1427" t="b">
        <v>0</v>
      </c>
      <c r="U1427" t="b">
        <v>0</v>
      </c>
      <c r="V1427" t="b">
        <f t="shared" si="44"/>
        <v>1</v>
      </c>
      <c r="W1427">
        <v>0</v>
      </c>
      <c r="Y1427">
        <f t="shared" si="45"/>
        <v>0</v>
      </c>
    </row>
    <row r="1428" spans="1:25" x14ac:dyDescent="0.3">
      <c r="A1428" t="s">
        <v>3214</v>
      </c>
      <c r="B1428" t="s">
        <v>1213</v>
      </c>
      <c r="C1428">
        <v>218.19</v>
      </c>
      <c r="D1428" s="1">
        <v>45069.687164351853</v>
      </c>
      <c r="E1428" t="s">
        <v>25</v>
      </c>
      <c r="F1428" t="s">
        <v>131</v>
      </c>
      <c r="G1428" t="s">
        <v>820</v>
      </c>
      <c r="H1428" t="s">
        <v>2043</v>
      </c>
      <c r="I1428" t="s">
        <v>316</v>
      </c>
      <c r="J1428" t="s">
        <v>30</v>
      </c>
      <c r="K1428">
        <v>19</v>
      </c>
      <c r="L1428" t="s">
        <v>46</v>
      </c>
      <c r="M1428">
        <v>185</v>
      </c>
      <c r="N1428">
        <v>1</v>
      </c>
      <c r="O1428">
        <v>620.83000000000004</v>
      </c>
      <c r="P1428" s="1">
        <v>45600.340590277781</v>
      </c>
      <c r="Q1428">
        <v>16</v>
      </c>
      <c r="R1428" t="s">
        <v>32</v>
      </c>
      <c r="S1428">
        <v>-0.27198081724322898</v>
      </c>
      <c r="T1428" t="b">
        <v>0</v>
      </c>
      <c r="U1428" t="b">
        <v>0</v>
      </c>
      <c r="V1428" t="b">
        <f t="shared" si="44"/>
        <v>1</v>
      </c>
      <c r="W1428">
        <v>0</v>
      </c>
      <c r="Y1428">
        <f t="shared" si="45"/>
        <v>0</v>
      </c>
    </row>
    <row r="1429" spans="1:25" x14ac:dyDescent="0.3">
      <c r="A1429" t="s">
        <v>3215</v>
      </c>
      <c r="B1429" t="s">
        <v>1206</v>
      </c>
      <c r="C1429">
        <v>209.99</v>
      </c>
      <c r="D1429" s="1">
        <v>45176.721770833334</v>
      </c>
      <c r="E1429" t="s">
        <v>25</v>
      </c>
      <c r="F1429" t="s">
        <v>126</v>
      </c>
      <c r="G1429" t="s">
        <v>3216</v>
      </c>
      <c r="H1429" t="s">
        <v>391</v>
      </c>
      <c r="I1429" t="s">
        <v>253</v>
      </c>
      <c r="J1429" t="s">
        <v>30</v>
      </c>
      <c r="K1429">
        <v>19</v>
      </c>
      <c r="L1429" t="s">
        <v>46</v>
      </c>
      <c r="M1429">
        <v>40</v>
      </c>
      <c r="N1429">
        <v>1</v>
      </c>
      <c r="O1429">
        <v>1938.01</v>
      </c>
      <c r="P1429" s="1">
        <v>45600.341423611113</v>
      </c>
      <c r="Q1429">
        <v>17</v>
      </c>
      <c r="R1429" t="s">
        <v>141</v>
      </c>
      <c r="S1429">
        <v>-0.30006817985148398</v>
      </c>
      <c r="T1429" t="b">
        <v>0</v>
      </c>
      <c r="U1429" t="b">
        <v>0</v>
      </c>
      <c r="V1429" t="b">
        <f t="shared" si="44"/>
        <v>1</v>
      </c>
      <c r="W1429">
        <v>0</v>
      </c>
      <c r="Y1429">
        <f t="shared" si="45"/>
        <v>0</v>
      </c>
    </row>
    <row r="1430" spans="1:25" x14ac:dyDescent="0.3">
      <c r="A1430" t="s">
        <v>3217</v>
      </c>
      <c r="B1430" t="s">
        <v>1766</v>
      </c>
      <c r="C1430">
        <v>11.02</v>
      </c>
      <c r="D1430" s="1">
        <v>45243.689502314817</v>
      </c>
      <c r="E1430" t="s">
        <v>25</v>
      </c>
      <c r="F1430" t="s">
        <v>268</v>
      </c>
      <c r="G1430" t="s">
        <v>1173</v>
      </c>
      <c r="H1430" t="s">
        <v>2881</v>
      </c>
      <c r="I1430" t="s">
        <v>194</v>
      </c>
      <c r="J1430" t="s">
        <v>81</v>
      </c>
      <c r="K1430">
        <v>19</v>
      </c>
      <c r="L1430" t="s">
        <v>46</v>
      </c>
      <c r="M1430">
        <v>280</v>
      </c>
      <c r="N1430">
        <v>1</v>
      </c>
      <c r="O1430">
        <v>964.79</v>
      </c>
      <c r="P1430" s="1">
        <v>45600.338148148148</v>
      </c>
      <c r="Q1430">
        <v>16</v>
      </c>
      <c r="R1430" t="s">
        <v>47</v>
      </c>
      <c r="S1430">
        <v>-0.98159775767642499</v>
      </c>
      <c r="T1430" t="b">
        <v>0</v>
      </c>
      <c r="U1430" t="b">
        <v>0</v>
      </c>
      <c r="V1430" t="b">
        <f t="shared" si="44"/>
        <v>1</v>
      </c>
      <c r="W1430">
        <v>0</v>
      </c>
      <c r="Y1430">
        <f t="shared" si="45"/>
        <v>0</v>
      </c>
    </row>
    <row r="1431" spans="1:25" x14ac:dyDescent="0.3">
      <c r="A1431" t="s">
        <v>3218</v>
      </c>
      <c r="B1431" t="s">
        <v>742</v>
      </c>
      <c r="C1431">
        <v>83.43</v>
      </c>
      <c r="D1431" s="1">
        <v>45076.686666666668</v>
      </c>
      <c r="E1431" t="s">
        <v>25</v>
      </c>
      <c r="F1431" t="s">
        <v>216</v>
      </c>
      <c r="G1431" t="s">
        <v>257</v>
      </c>
      <c r="H1431" t="s">
        <v>1755</v>
      </c>
      <c r="I1431" t="s">
        <v>458</v>
      </c>
      <c r="J1431" t="s">
        <v>45</v>
      </c>
      <c r="K1431">
        <v>56</v>
      </c>
      <c r="L1431" t="s">
        <v>82</v>
      </c>
      <c r="M1431">
        <v>109</v>
      </c>
      <c r="N1431">
        <v>1</v>
      </c>
      <c r="O1431">
        <v>1870.16</v>
      </c>
      <c r="P1431" s="1">
        <v>45600.341435185182</v>
      </c>
      <c r="Q1431">
        <v>16</v>
      </c>
      <c r="R1431" t="s">
        <v>32</v>
      </c>
      <c r="S1431">
        <v>-0.73357264469304095</v>
      </c>
      <c r="T1431" t="b">
        <v>0</v>
      </c>
      <c r="U1431" t="b">
        <v>0</v>
      </c>
      <c r="V1431" t="b">
        <f t="shared" si="44"/>
        <v>1</v>
      </c>
      <c r="W1431">
        <v>0</v>
      </c>
      <c r="Y1431">
        <f t="shared" si="45"/>
        <v>0</v>
      </c>
    </row>
    <row r="1432" spans="1:25" x14ac:dyDescent="0.3">
      <c r="A1432" t="s">
        <v>3219</v>
      </c>
      <c r="B1432" t="s">
        <v>3220</v>
      </c>
      <c r="C1432">
        <v>344.97</v>
      </c>
      <c r="D1432" s="1">
        <v>45005.729768518519</v>
      </c>
      <c r="E1432" t="s">
        <v>25</v>
      </c>
      <c r="F1432" t="s">
        <v>131</v>
      </c>
      <c r="G1432" t="s">
        <v>1561</v>
      </c>
      <c r="H1432" t="s">
        <v>1650</v>
      </c>
      <c r="I1432" t="s">
        <v>1358</v>
      </c>
      <c r="J1432" t="s">
        <v>45</v>
      </c>
      <c r="K1432">
        <v>34</v>
      </c>
      <c r="L1432" t="s">
        <v>31</v>
      </c>
      <c r="M1432">
        <v>106</v>
      </c>
      <c r="N1432">
        <v>1</v>
      </c>
      <c r="O1432">
        <v>5577.94</v>
      </c>
      <c r="P1432" s="1">
        <v>45600.34003472222</v>
      </c>
      <c r="Q1432">
        <v>17</v>
      </c>
      <c r="R1432" t="s">
        <v>47</v>
      </c>
      <c r="S1432">
        <v>0.16227721098537801</v>
      </c>
      <c r="T1432" t="b">
        <v>0</v>
      </c>
      <c r="U1432" t="b">
        <v>0</v>
      </c>
      <c r="V1432" t="b">
        <f t="shared" si="44"/>
        <v>1</v>
      </c>
      <c r="W1432">
        <v>0</v>
      </c>
      <c r="Y1432">
        <f t="shared" si="45"/>
        <v>0</v>
      </c>
    </row>
    <row r="1433" spans="1:25" x14ac:dyDescent="0.3">
      <c r="A1433" t="s">
        <v>3221</v>
      </c>
      <c r="B1433" t="s">
        <v>1414</v>
      </c>
      <c r="C1433">
        <v>172.29</v>
      </c>
      <c r="D1433" s="1">
        <v>44956.724062499998</v>
      </c>
      <c r="E1433" t="s">
        <v>25</v>
      </c>
      <c r="F1433" t="s">
        <v>519</v>
      </c>
      <c r="G1433" t="s">
        <v>1705</v>
      </c>
      <c r="H1433" t="s">
        <v>1468</v>
      </c>
      <c r="I1433" t="s">
        <v>652</v>
      </c>
      <c r="J1433" t="s">
        <v>30</v>
      </c>
      <c r="K1433">
        <v>36</v>
      </c>
      <c r="L1433" t="s">
        <v>89</v>
      </c>
      <c r="M1433">
        <v>283</v>
      </c>
      <c r="N1433">
        <v>1</v>
      </c>
      <c r="O1433">
        <v>8700.7999999999993</v>
      </c>
      <c r="P1433" s="1">
        <v>45600.339375000003</v>
      </c>
      <c r="Q1433">
        <v>17</v>
      </c>
      <c r="R1433" t="s">
        <v>47</v>
      </c>
      <c r="S1433">
        <v>-0.42920154208699801</v>
      </c>
      <c r="T1433" t="b">
        <v>0</v>
      </c>
      <c r="U1433" t="b">
        <v>0</v>
      </c>
      <c r="V1433" t="b">
        <f t="shared" si="44"/>
        <v>1</v>
      </c>
      <c r="W1433">
        <v>0</v>
      </c>
      <c r="Y1433">
        <f t="shared" si="45"/>
        <v>0</v>
      </c>
    </row>
    <row r="1434" spans="1:25" x14ac:dyDescent="0.3">
      <c r="A1434" t="s">
        <v>3222</v>
      </c>
      <c r="B1434" t="s">
        <v>1530</v>
      </c>
      <c r="C1434">
        <v>195.54</v>
      </c>
      <c r="D1434" s="1">
        <v>45124.670405092591</v>
      </c>
      <c r="E1434" t="s">
        <v>25</v>
      </c>
      <c r="F1434" t="s">
        <v>309</v>
      </c>
      <c r="G1434" t="s">
        <v>2864</v>
      </c>
      <c r="H1434" t="s">
        <v>3223</v>
      </c>
      <c r="I1434" t="s">
        <v>150</v>
      </c>
      <c r="J1434" t="s">
        <v>45</v>
      </c>
      <c r="K1434">
        <v>60</v>
      </c>
      <c r="L1434" t="s">
        <v>82</v>
      </c>
      <c r="M1434">
        <v>255</v>
      </c>
      <c r="N1434">
        <v>1</v>
      </c>
      <c r="O1434">
        <v>2794.66</v>
      </c>
      <c r="P1434" s="1">
        <v>45600.339594907404</v>
      </c>
      <c r="Q1434">
        <v>16</v>
      </c>
      <c r="R1434" t="s">
        <v>47</v>
      </c>
      <c r="S1434">
        <v>-0.349563593228226</v>
      </c>
      <c r="T1434" t="b">
        <v>0</v>
      </c>
      <c r="U1434" t="b">
        <v>0</v>
      </c>
      <c r="V1434" t="b">
        <f t="shared" si="44"/>
        <v>1</v>
      </c>
      <c r="W1434">
        <v>0</v>
      </c>
      <c r="Y1434">
        <f t="shared" si="45"/>
        <v>0</v>
      </c>
    </row>
    <row r="1435" spans="1:25" x14ac:dyDescent="0.3">
      <c r="A1435" t="s">
        <v>3224</v>
      </c>
      <c r="B1435" t="s">
        <v>34</v>
      </c>
      <c r="C1435">
        <v>101.23</v>
      </c>
      <c r="D1435" s="1">
        <v>45142.773622685185</v>
      </c>
      <c r="E1435" t="s">
        <v>25</v>
      </c>
      <c r="F1435" t="s">
        <v>534</v>
      </c>
      <c r="G1435" t="s">
        <v>3180</v>
      </c>
      <c r="H1435" t="s">
        <v>1194</v>
      </c>
      <c r="I1435" t="s">
        <v>29</v>
      </c>
      <c r="J1435" t="s">
        <v>45</v>
      </c>
      <c r="K1435">
        <v>45</v>
      </c>
      <c r="L1435" t="s">
        <v>89</v>
      </c>
      <c r="M1435">
        <v>87</v>
      </c>
      <c r="N1435">
        <v>1</v>
      </c>
      <c r="O1435">
        <v>6169.71</v>
      </c>
      <c r="P1435" s="1">
        <v>45600.33798611111</v>
      </c>
      <c r="Q1435">
        <v>18</v>
      </c>
      <c r="R1435" t="s">
        <v>54</v>
      </c>
      <c r="S1435">
        <v>-0.67260251610439004</v>
      </c>
      <c r="T1435" t="b">
        <v>0</v>
      </c>
      <c r="U1435" t="b">
        <v>0</v>
      </c>
      <c r="V1435" t="b">
        <f t="shared" si="44"/>
        <v>1</v>
      </c>
      <c r="W1435">
        <v>0</v>
      </c>
      <c r="Y1435">
        <f t="shared" si="45"/>
        <v>0</v>
      </c>
    </row>
    <row r="1436" spans="1:25" x14ac:dyDescent="0.3">
      <c r="A1436" t="s">
        <v>3225</v>
      </c>
      <c r="B1436" t="s">
        <v>3226</v>
      </c>
      <c r="C1436">
        <v>180.46</v>
      </c>
      <c r="D1436" s="1">
        <v>44998.685069444444</v>
      </c>
      <c r="E1436" t="s">
        <v>25</v>
      </c>
      <c r="F1436" t="s">
        <v>571</v>
      </c>
      <c r="G1436" t="s">
        <v>743</v>
      </c>
      <c r="H1436" t="s">
        <v>1383</v>
      </c>
      <c r="I1436" t="s">
        <v>366</v>
      </c>
      <c r="J1436" t="s">
        <v>30</v>
      </c>
      <c r="K1436">
        <v>25</v>
      </c>
      <c r="L1436" t="s">
        <v>46</v>
      </c>
      <c r="M1436">
        <v>34</v>
      </c>
      <c r="N1436">
        <v>1</v>
      </c>
      <c r="O1436">
        <v>831.75</v>
      </c>
      <c r="P1436" s="1">
        <v>45600.341238425928</v>
      </c>
      <c r="Q1436">
        <v>16</v>
      </c>
      <c r="R1436" t="s">
        <v>47</v>
      </c>
      <c r="S1436">
        <v>-0.40121693812243198</v>
      </c>
      <c r="T1436" t="b">
        <v>0</v>
      </c>
      <c r="U1436" t="b">
        <v>0</v>
      </c>
      <c r="V1436" t="b">
        <f t="shared" si="44"/>
        <v>1</v>
      </c>
      <c r="W1436">
        <v>0</v>
      </c>
      <c r="Y1436">
        <f t="shared" si="45"/>
        <v>0</v>
      </c>
    </row>
    <row r="1437" spans="1:25" x14ac:dyDescent="0.3">
      <c r="A1437" t="s">
        <v>3227</v>
      </c>
      <c r="B1437" t="s">
        <v>3228</v>
      </c>
      <c r="C1437">
        <v>692.55</v>
      </c>
      <c r="D1437" s="1">
        <v>44992.702511574076</v>
      </c>
      <c r="E1437" t="s">
        <v>25</v>
      </c>
      <c r="F1437" t="s">
        <v>262</v>
      </c>
      <c r="G1437" t="s">
        <v>2132</v>
      </c>
      <c r="H1437" t="s">
        <v>1443</v>
      </c>
      <c r="I1437" t="s">
        <v>720</v>
      </c>
      <c r="J1437" t="s">
        <v>81</v>
      </c>
      <c r="K1437">
        <v>53</v>
      </c>
      <c r="L1437" t="s">
        <v>82</v>
      </c>
      <c r="M1437">
        <v>109</v>
      </c>
      <c r="N1437">
        <v>1</v>
      </c>
      <c r="O1437">
        <v>2451.56</v>
      </c>
      <c r="P1437" s="1">
        <v>45600.341863425929</v>
      </c>
      <c r="Q1437">
        <v>16</v>
      </c>
      <c r="R1437" t="s">
        <v>32</v>
      </c>
      <c r="S1437">
        <v>1.35283885676309</v>
      </c>
      <c r="T1437" t="b">
        <v>0</v>
      </c>
      <c r="U1437" t="b">
        <v>0</v>
      </c>
      <c r="V1437" t="b">
        <f t="shared" si="44"/>
        <v>1</v>
      </c>
      <c r="W1437">
        <v>0</v>
      </c>
      <c r="Y1437">
        <f t="shared" si="45"/>
        <v>0</v>
      </c>
    </row>
    <row r="1438" spans="1:25" x14ac:dyDescent="0.3">
      <c r="A1438" t="s">
        <v>3229</v>
      </c>
      <c r="B1438" t="s">
        <v>729</v>
      </c>
      <c r="C1438">
        <v>147.31</v>
      </c>
      <c r="D1438" s="1">
        <v>45089.715590277781</v>
      </c>
      <c r="E1438" t="s">
        <v>57</v>
      </c>
      <c r="F1438" t="s">
        <v>41</v>
      </c>
      <c r="G1438" t="s">
        <v>791</v>
      </c>
      <c r="H1438" t="s">
        <v>664</v>
      </c>
      <c r="I1438" t="s">
        <v>275</v>
      </c>
      <c r="J1438" t="s">
        <v>45</v>
      </c>
      <c r="K1438">
        <v>34</v>
      </c>
      <c r="L1438" t="s">
        <v>31</v>
      </c>
      <c r="M1438">
        <v>92</v>
      </c>
      <c r="N1438">
        <v>1</v>
      </c>
      <c r="O1438">
        <v>13625.52</v>
      </c>
      <c r="P1438" s="1">
        <v>45600.338865740741</v>
      </c>
      <c r="Q1438">
        <v>17</v>
      </c>
      <c r="R1438" t="s">
        <v>47</v>
      </c>
      <c r="S1438">
        <v>-0.51476523939848795</v>
      </c>
      <c r="T1438" t="b">
        <v>0</v>
      </c>
      <c r="U1438" t="b">
        <v>0</v>
      </c>
      <c r="V1438" t="b">
        <f t="shared" si="44"/>
        <v>1</v>
      </c>
      <c r="W1438">
        <v>0</v>
      </c>
      <c r="Y1438">
        <f t="shared" si="45"/>
        <v>0</v>
      </c>
    </row>
    <row r="1439" spans="1:25" x14ac:dyDescent="0.3">
      <c r="A1439" t="s">
        <v>3230</v>
      </c>
      <c r="B1439" t="s">
        <v>3231</v>
      </c>
      <c r="C1439">
        <v>107.48</v>
      </c>
      <c r="D1439" s="1">
        <v>44964.734930555554</v>
      </c>
      <c r="E1439" t="s">
        <v>25</v>
      </c>
      <c r="F1439" t="s">
        <v>153</v>
      </c>
      <c r="G1439" t="s">
        <v>2670</v>
      </c>
      <c r="H1439" t="s">
        <v>1477</v>
      </c>
      <c r="I1439" t="s">
        <v>720</v>
      </c>
      <c r="J1439" t="s">
        <v>81</v>
      </c>
      <c r="K1439">
        <v>20</v>
      </c>
      <c r="L1439" t="s">
        <v>46</v>
      </c>
      <c r="M1439">
        <v>103</v>
      </c>
      <c r="N1439">
        <v>1</v>
      </c>
      <c r="O1439">
        <v>1379.39</v>
      </c>
      <c r="P1439" s="1">
        <v>45600.341747685183</v>
      </c>
      <c r="Q1439">
        <v>17</v>
      </c>
      <c r="R1439" t="s">
        <v>32</v>
      </c>
      <c r="S1439">
        <v>-0.65119446533590197</v>
      </c>
      <c r="T1439" t="b">
        <v>0</v>
      </c>
      <c r="U1439" t="b">
        <v>0</v>
      </c>
      <c r="V1439" t="b">
        <f t="shared" si="44"/>
        <v>1</v>
      </c>
      <c r="W1439">
        <v>0</v>
      </c>
      <c r="Y1439">
        <f t="shared" si="45"/>
        <v>0</v>
      </c>
    </row>
    <row r="1440" spans="1:25" x14ac:dyDescent="0.3">
      <c r="A1440" t="s">
        <v>3232</v>
      </c>
      <c r="B1440" t="s">
        <v>2480</v>
      </c>
      <c r="C1440">
        <v>1831.02</v>
      </c>
      <c r="D1440" s="1">
        <v>45184.730347222219</v>
      </c>
      <c r="E1440" t="s">
        <v>57</v>
      </c>
      <c r="F1440" t="s">
        <v>137</v>
      </c>
      <c r="G1440" t="s">
        <v>2905</v>
      </c>
      <c r="H1440" t="s">
        <v>760</v>
      </c>
      <c r="I1440" t="s">
        <v>458</v>
      </c>
      <c r="J1440" t="s">
        <v>45</v>
      </c>
      <c r="K1440">
        <v>62</v>
      </c>
      <c r="L1440" t="s">
        <v>31</v>
      </c>
      <c r="M1440">
        <v>83</v>
      </c>
      <c r="N1440">
        <v>1</v>
      </c>
      <c r="O1440">
        <v>11498.01</v>
      </c>
      <c r="P1440" s="1">
        <v>45600.340879629628</v>
      </c>
      <c r="Q1440">
        <v>17</v>
      </c>
      <c r="R1440" t="s">
        <v>54</v>
      </c>
      <c r="S1440">
        <v>5.2524266261070203</v>
      </c>
      <c r="T1440" t="b">
        <v>1</v>
      </c>
      <c r="U1440" t="b">
        <v>0</v>
      </c>
      <c r="V1440" t="b">
        <f t="shared" si="44"/>
        <v>1</v>
      </c>
      <c r="W1440">
        <v>1</v>
      </c>
      <c r="Y1440">
        <f t="shared" si="45"/>
        <v>1</v>
      </c>
    </row>
    <row r="1441" spans="1:25" x14ac:dyDescent="0.3">
      <c r="A1441" t="s">
        <v>3233</v>
      </c>
      <c r="B1441" t="s">
        <v>1418</v>
      </c>
      <c r="C1441">
        <v>81.510000000000005</v>
      </c>
      <c r="D1441" s="1">
        <v>45148.67386574074</v>
      </c>
      <c r="E1441" t="s">
        <v>25</v>
      </c>
      <c r="F1441" t="s">
        <v>466</v>
      </c>
      <c r="G1441" t="s">
        <v>1588</v>
      </c>
      <c r="H1441" t="s">
        <v>887</v>
      </c>
      <c r="I1441" t="s">
        <v>140</v>
      </c>
      <c r="J1441" t="s">
        <v>81</v>
      </c>
      <c r="K1441">
        <v>25</v>
      </c>
      <c r="L1441" t="s">
        <v>46</v>
      </c>
      <c r="M1441">
        <v>97</v>
      </c>
      <c r="N1441">
        <v>1</v>
      </c>
      <c r="O1441">
        <v>865.49</v>
      </c>
      <c r="P1441" s="1">
        <v>45600.338368055556</v>
      </c>
      <c r="Q1441">
        <v>16</v>
      </c>
      <c r="R1441" t="s">
        <v>141</v>
      </c>
      <c r="S1441">
        <v>-0.74014919788912004</v>
      </c>
      <c r="T1441" t="b">
        <v>0</v>
      </c>
      <c r="U1441" t="b">
        <v>0</v>
      </c>
      <c r="V1441" t="b">
        <f t="shared" si="44"/>
        <v>1</v>
      </c>
      <c r="W1441">
        <v>0</v>
      </c>
      <c r="Y1441">
        <f t="shared" si="45"/>
        <v>0</v>
      </c>
    </row>
    <row r="1442" spans="1:25" x14ac:dyDescent="0.3">
      <c r="A1442" t="s">
        <v>3234</v>
      </c>
      <c r="B1442" t="s">
        <v>205</v>
      </c>
      <c r="C1442">
        <v>365.48</v>
      </c>
      <c r="D1442" s="1">
        <v>45068.749328703707</v>
      </c>
      <c r="E1442" t="s">
        <v>57</v>
      </c>
      <c r="F1442" t="s">
        <v>70</v>
      </c>
      <c r="G1442" t="s">
        <v>192</v>
      </c>
      <c r="H1442" t="s">
        <v>560</v>
      </c>
      <c r="I1442" t="s">
        <v>997</v>
      </c>
      <c r="J1442" t="s">
        <v>45</v>
      </c>
      <c r="K1442">
        <v>76</v>
      </c>
      <c r="L1442" t="s">
        <v>82</v>
      </c>
      <c r="M1442">
        <v>216</v>
      </c>
      <c r="N1442">
        <v>1</v>
      </c>
      <c r="O1442">
        <v>7147.4</v>
      </c>
      <c r="P1442" s="1">
        <v>45600.340717592589</v>
      </c>
      <c r="Q1442">
        <v>17</v>
      </c>
      <c r="R1442" t="s">
        <v>47</v>
      </c>
      <c r="S1442">
        <v>0.23252987038724501</v>
      </c>
      <c r="T1442" t="b">
        <v>0</v>
      </c>
      <c r="U1442" t="b">
        <v>0</v>
      </c>
      <c r="V1442" t="b">
        <f t="shared" si="44"/>
        <v>1</v>
      </c>
      <c r="W1442">
        <v>0</v>
      </c>
      <c r="Y1442">
        <f t="shared" si="45"/>
        <v>0</v>
      </c>
    </row>
    <row r="1443" spans="1:25" x14ac:dyDescent="0.3">
      <c r="A1443" t="s">
        <v>3235</v>
      </c>
      <c r="B1443" t="s">
        <v>184</v>
      </c>
      <c r="C1443">
        <v>491.1</v>
      </c>
      <c r="D1443" s="1">
        <v>45082.672650462962</v>
      </c>
      <c r="E1443" t="s">
        <v>57</v>
      </c>
      <c r="F1443" t="s">
        <v>35</v>
      </c>
      <c r="G1443" t="s">
        <v>2278</v>
      </c>
      <c r="H1443" t="s">
        <v>2404</v>
      </c>
      <c r="I1443" t="s">
        <v>665</v>
      </c>
      <c r="J1443" t="s">
        <v>45</v>
      </c>
      <c r="K1443">
        <v>35</v>
      </c>
      <c r="L1443" t="s">
        <v>89</v>
      </c>
      <c r="M1443">
        <v>125</v>
      </c>
      <c r="N1443">
        <v>1</v>
      </c>
      <c r="O1443">
        <v>7833.85</v>
      </c>
      <c r="P1443" s="1">
        <v>45600.338564814818</v>
      </c>
      <c r="Q1443">
        <v>16</v>
      </c>
      <c r="R1443" t="s">
        <v>47</v>
      </c>
      <c r="S1443">
        <v>0.66281456439322095</v>
      </c>
      <c r="T1443" t="b">
        <v>0</v>
      </c>
      <c r="U1443" t="b">
        <v>0</v>
      </c>
      <c r="V1443" t="b">
        <f t="shared" si="44"/>
        <v>1</v>
      </c>
      <c r="W1443">
        <v>0</v>
      </c>
      <c r="Y1443">
        <f t="shared" si="45"/>
        <v>0</v>
      </c>
    </row>
    <row r="1444" spans="1:25" x14ac:dyDescent="0.3">
      <c r="A1444" t="s">
        <v>3236</v>
      </c>
      <c r="B1444" t="s">
        <v>1713</v>
      </c>
      <c r="C1444">
        <v>452.8</v>
      </c>
      <c r="D1444" s="1">
        <v>45254.69804398148</v>
      </c>
      <c r="E1444" t="s">
        <v>25</v>
      </c>
      <c r="F1444" t="s">
        <v>153</v>
      </c>
      <c r="G1444" t="s">
        <v>2450</v>
      </c>
      <c r="H1444" t="s">
        <v>2144</v>
      </c>
      <c r="I1444" t="s">
        <v>652</v>
      </c>
      <c r="J1444" t="s">
        <v>81</v>
      </c>
      <c r="K1444">
        <v>80</v>
      </c>
      <c r="L1444" t="s">
        <v>82</v>
      </c>
      <c r="M1444">
        <v>151</v>
      </c>
      <c r="N1444">
        <v>1</v>
      </c>
      <c r="O1444">
        <v>4840.67</v>
      </c>
      <c r="P1444" s="1">
        <v>45600.338587962964</v>
      </c>
      <c r="Q1444">
        <v>16</v>
      </c>
      <c r="R1444" t="s">
        <v>54</v>
      </c>
      <c r="S1444">
        <v>0.53162602928393199</v>
      </c>
      <c r="T1444" t="b">
        <v>0</v>
      </c>
      <c r="U1444" t="b">
        <v>0</v>
      </c>
      <c r="V1444" t="b">
        <f t="shared" si="44"/>
        <v>1</v>
      </c>
      <c r="W1444">
        <v>0</v>
      </c>
      <c r="Y1444">
        <f t="shared" si="45"/>
        <v>0</v>
      </c>
    </row>
    <row r="1445" spans="1:25" x14ac:dyDescent="0.3">
      <c r="A1445" t="s">
        <v>3237</v>
      </c>
      <c r="B1445" t="s">
        <v>704</v>
      </c>
      <c r="C1445">
        <v>645.04</v>
      </c>
      <c r="D1445" s="1">
        <v>45282.714525462965</v>
      </c>
      <c r="E1445" t="s">
        <v>25</v>
      </c>
      <c r="F1445" t="s">
        <v>104</v>
      </c>
      <c r="G1445" t="s">
        <v>2325</v>
      </c>
      <c r="H1445" t="s">
        <v>837</v>
      </c>
      <c r="I1445" t="s">
        <v>253</v>
      </c>
      <c r="J1445" t="s">
        <v>81</v>
      </c>
      <c r="K1445">
        <v>70</v>
      </c>
      <c r="L1445" t="s">
        <v>82</v>
      </c>
      <c r="M1445">
        <v>78</v>
      </c>
      <c r="N1445">
        <v>1</v>
      </c>
      <c r="O1445">
        <v>7361.47</v>
      </c>
      <c r="P1445" s="1">
        <v>45600.338530092595</v>
      </c>
      <c r="Q1445">
        <v>17</v>
      </c>
      <c r="R1445" t="s">
        <v>54</v>
      </c>
      <c r="S1445">
        <v>1.1901034180413601</v>
      </c>
      <c r="T1445" t="b">
        <v>0</v>
      </c>
      <c r="U1445" t="b">
        <v>0</v>
      </c>
      <c r="V1445" t="b">
        <f t="shared" si="44"/>
        <v>1</v>
      </c>
      <c r="W1445">
        <v>0</v>
      </c>
      <c r="Y1445">
        <f t="shared" si="45"/>
        <v>0</v>
      </c>
    </row>
    <row r="1446" spans="1:25" x14ac:dyDescent="0.3">
      <c r="A1446" t="s">
        <v>3238</v>
      </c>
      <c r="B1446" t="s">
        <v>2792</v>
      </c>
      <c r="C1446">
        <v>169.28</v>
      </c>
      <c r="D1446" s="1">
        <v>45012.755624999998</v>
      </c>
      <c r="E1446" t="s">
        <v>25</v>
      </c>
      <c r="F1446" t="s">
        <v>256</v>
      </c>
      <c r="G1446" t="s">
        <v>2260</v>
      </c>
      <c r="H1446" t="s">
        <v>996</v>
      </c>
      <c r="I1446" t="s">
        <v>112</v>
      </c>
      <c r="J1446" t="s">
        <v>81</v>
      </c>
      <c r="K1446">
        <v>45</v>
      </c>
      <c r="L1446" t="s">
        <v>31</v>
      </c>
      <c r="M1446">
        <v>114</v>
      </c>
      <c r="N1446">
        <v>1</v>
      </c>
      <c r="O1446">
        <v>5128.4399999999996</v>
      </c>
      <c r="P1446" s="1">
        <v>45600.341597222221</v>
      </c>
      <c r="Q1446">
        <v>18</v>
      </c>
      <c r="R1446" t="s">
        <v>47</v>
      </c>
      <c r="S1446">
        <v>-0.43951165933710201</v>
      </c>
      <c r="T1446" t="b">
        <v>0</v>
      </c>
      <c r="U1446" t="b">
        <v>0</v>
      </c>
      <c r="V1446" t="b">
        <f t="shared" si="44"/>
        <v>1</v>
      </c>
      <c r="W1446">
        <v>0</v>
      </c>
      <c r="Y1446">
        <f t="shared" si="45"/>
        <v>0</v>
      </c>
    </row>
    <row r="1447" spans="1:25" x14ac:dyDescent="0.3">
      <c r="A1447" t="s">
        <v>3239</v>
      </c>
      <c r="B1447" t="s">
        <v>1180</v>
      </c>
      <c r="C1447">
        <v>88.42</v>
      </c>
      <c r="D1447" s="1">
        <v>45217.686331018522</v>
      </c>
      <c r="E1447" t="s">
        <v>25</v>
      </c>
      <c r="F1447" t="s">
        <v>519</v>
      </c>
      <c r="G1447" t="s">
        <v>1200</v>
      </c>
      <c r="H1447" t="s">
        <v>3240</v>
      </c>
      <c r="I1447" t="s">
        <v>1300</v>
      </c>
      <c r="J1447" t="s">
        <v>30</v>
      </c>
      <c r="K1447">
        <v>62</v>
      </c>
      <c r="L1447" t="s">
        <v>31</v>
      </c>
      <c r="M1447">
        <v>91</v>
      </c>
      <c r="N1447">
        <v>1</v>
      </c>
      <c r="O1447">
        <v>12381.45</v>
      </c>
      <c r="P1447" s="1">
        <v>45600.339756944442</v>
      </c>
      <c r="Q1447">
        <v>16</v>
      </c>
      <c r="R1447" t="s">
        <v>74</v>
      </c>
      <c r="S1447">
        <v>-0.71648045695948104</v>
      </c>
      <c r="T1447" t="b">
        <v>0</v>
      </c>
      <c r="U1447" t="b">
        <v>0</v>
      </c>
      <c r="V1447" t="b">
        <f t="shared" si="44"/>
        <v>1</v>
      </c>
      <c r="W1447">
        <v>0</v>
      </c>
      <c r="Y1447">
        <f t="shared" si="45"/>
        <v>0</v>
      </c>
    </row>
    <row r="1448" spans="1:25" x14ac:dyDescent="0.3">
      <c r="A1448" t="s">
        <v>3241</v>
      </c>
      <c r="B1448" t="s">
        <v>2251</v>
      </c>
      <c r="C1448">
        <v>155.53</v>
      </c>
      <c r="D1448" s="1">
        <v>45009.711481481485</v>
      </c>
      <c r="E1448" t="s">
        <v>25</v>
      </c>
      <c r="F1448" t="s">
        <v>210</v>
      </c>
      <c r="G1448" t="s">
        <v>1023</v>
      </c>
      <c r="H1448" t="s">
        <v>628</v>
      </c>
      <c r="I1448" t="s">
        <v>589</v>
      </c>
      <c r="J1448" t="s">
        <v>30</v>
      </c>
      <c r="K1448">
        <v>29</v>
      </c>
      <c r="L1448" t="s">
        <v>89</v>
      </c>
      <c r="M1448">
        <v>66</v>
      </c>
      <c r="N1448">
        <v>1</v>
      </c>
      <c r="O1448">
        <v>4008.05</v>
      </c>
      <c r="P1448" s="1">
        <v>45600.339305555557</v>
      </c>
      <c r="Q1448">
        <v>17</v>
      </c>
      <c r="R1448" t="s">
        <v>54</v>
      </c>
      <c r="S1448">
        <v>-0.48660937102777302</v>
      </c>
      <c r="T1448" t="b">
        <v>0</v>
      </c>
      <c r="U1448" t="b">
        <v>0</v>
      </c>
      <c r="V1448" t="b">
        <f t="shared" si="44"/>
        <v>1</v>
      </c>
      <c r="W1448">
        <v>0</v>
      </c>
      <c r="Y1448">
        <f t="shared" si="45"/>
        <v>0</v>
      </c>
    </row>
    <row r="1449" spans="1:25" x14ac:dyDescent="0.3">
      <c r="A1449" t="s">
        <v>3242</v>
      </c>
      <c r="B1449" t="s">
        <v>1549</v>
      </c>
      <c r="C1449">
        <v>991.82</v>
      </c>
      <c r="D1449" s="1">
        <v>45264.677997685183</v>
      </c>
      <c r="E1449" t="s">
        <v>25</v>
      </c>
      <c r="F1449" t="s">
        <v>191</v>
      </c>
      <c r="G1449" t="s">
        <v>2446</v>
      </c>
      <c r="H1449" t="s">
        <v>506</v>
      </c>
      <c r="I1449" t="s">
        <v>577</v>
      </c>
      <c r="J1449" t="s">
        <v>45</v>
      </c>
      <c r="K1449">
        <v>43</v>
      </c>
      <c r="L1449" t="s">
        <v>89</v>
      </c>
      <c r="M1449">
        <v>300</v>
      </c>
      <c r="N1449">
        <v>1</v>
      </c>
      <c r="O1449">
        <v>3493.13</v>
      </c>
      <c r="P1449" s="1">
        <v>45600.340405092589</v>
      </c>
      <c r="Q1449">
        <v>16</v>
      </c>
      <c r="R1449" t="s">
        <v>47</v>
      </c>
      <c r="S1449">
        <v>2.3779248333207201</v>
      </c>
      <c r="T1449" t="b">
        <v>1</v>
      </c>
      <c r="U1449" t="b">
        <v>0</v>
      </c>
      <c r="V1449" t="b">
        <f t="shared" si="44"/>
        <v>1</v>
      </c>
      <c r="W1449">
        <v>1</v>
      </c>
      <c r="Y1449">
        <f t="shared" si="45"/>
        <v>1</v>
      </c>
    </row>
    <row r="1450" spans="1:25" x14ac:dyDescent="0.3">
      <c r="A1450" t="s">
        <v>3243</v>
      </c>
      <c r="B1450" t="s">
        <v>2513</v>
      </c>
      <c r="C1450">
        <v>39.24</v>
      </c>
      <c r="D1450" s="1">
        <v>45244.773287037038</v>
      </c>
      <c r="E1450" t="s">
        <v>25</v>
      </c>
      <c r="F1450" t="s">
        <v>336</v>
      </c>
      <c r="G1450" t="s">
        <v>525</v>
      </c>
      <c r="H1450" t="s">
        <v>1650</v>
      </c>
      <c r="I1450" t="s">
        <v>325</v>
      </c>
      <c r="J1450" t="s">
        <v>30</v>
      </c>
      <c r="K1450">
        <v>77</v>
      </c>
      <c r="L1450" t="s">
        <v>82</v>
      </c>
      <c r="M1450">
        <v>106</v>
      </c>
      <c r="N1450">
        <v>1</v>
      </c>
      <c r="O1450">
        <v>6462.41</v>
      </c>
      <c r="P1450" s="1">
        <v>45600.341180555559</v>
      </c>
      <c r="Q1450">
        <v>18</v>
      </c>
      <c r="R1450" t="s">
        <v>32</v>
      </c>
      <c r="S1450">
        <v>-0.88493612684655198</v>
      </c>
      <c r="T1450" t="b">
        <v>0</v>
      </c>
      <c r="U1450" t="b">
        <v>0</v>
      </c>
      <c r="V1450" t="b">
        <f t="shared" si="44"/>
        <v>1</v>
      </c>
      <c r="W1450">
        <v>0</v>
      </c>
      <c r="Y1450">
        <f t="shared" si="45"/>
        <v>0</v>
      </c>
    </row>
    <row r="1451" spans="1:25" x14ac:dyDescent="0.3">
      <c r="A1451" t="s">
        <v>3244</v>
      </c>
      <c r="B1451" t="s">
        <v>1625</v>
      </c>
      <c r="C1451">
        <v>152.01</v>
      </c>
      <c r="D1451" s="1">
        <v>44980.695775462962</v>
      </c>
      <c r="E1451" t="s">
        <v>25</v>
      </c>
      <c r="F1451" t="s">
        <v>170</v>
      </c>
      <c r="G1451" t="s">
        <v>1158</v>
      </c>
      <c r="H1451" t="s">
        <v>2568</v>
      </c>
      <c r="I1451" t="s">
        <v>325</v>
      </c>
      <c r="J1451" t="s">
        <v>30</v>
      </c>
      <c r="K1451">
        <v>42</v>
      </c>
      <c r="L1451" t="s">
        <v>89</v>
      </c>
      <c r="M1451">
        <v>111</v>
      </c>
      <c r="N1451">
        <v>3</v>
      </c>
      <c r="O1451">
        <v>4625.12</v>
      </c>
      <c r="P1451" s="1">
        <v>45600.341134259259</v>
      </c>
      <c r="Q1451">
        <v>16</v>
      </c>
      <c r="R1451" t="s">
        <v>141</v>
      </c>
      <c r="S1451">
        <v>-0.49866638522058498</v>
      </c>
      <c r="T1451" t="b">
        <v>0</v>
      </c>
      <c r="U1451" t="b">
        <v>1</v>
      </c>
      <c r="V1451" t="b">
        <f t="shared" si="44"/>
        <v>1</v>
      </c>
      <c r="W1451">
        <v>1</v>
      </c>
      <c r="Y1451">
        <f t="shared" si="45"/>
        <v>0</v>
      </c>
    </row>
    <row r="1452" spans="1:25" x14ac:dyDescent="0.3">
      <c r="A1452" t="s">
        <v>3245</v>
      </c>
      <c r="B1452" t="s">
        <v>777</v>
      </c>
      <c r="C1452">
        <v>78.77</v>
      </c>
      <c r="D1452" s="1">
        <v>45054.775682870371</v>
      </c>
      <c r="E1452" t="s">
        <v>57</v>
      </c>
      <c r="F1452" t="s">
        <v>159</v>
      </c>
      <c r="G1452" t="s">
        <v>823</v>
      </c>
      <c r="H1452" t="s">
        <v>1785</v>
      </c>
      <c r="I1452" t="s">
        <v>687</v>
      </c>
      <c r="J1452" t="s">
        <v>30</v>
      </c>
      <c r="K1452">
        <v>48</v>
      </c>
      <c r="L1452" t="s">
        <v>89</v>
      </c>
      <c r="M1452">
        <v>50</v>
      </c>
      <c r="N1452">
        <v>1</v>
      </c>
      <c r="O1452">
        <v>6470.57</v>
      </c>
      <c r="P1452" s="1">
        <v>45600.33797453704</v>
      </c>
      <c r="Q1452">
        <v>18</v>
      </c>
      <c r="R1452" t="s">
        <v>47</v>
      </c>
      <c r="S1452">
        <v>-0.74953448734602501</v>
      </c>
      <c r="T1452" t="b">
        <v>0</v>
      </c>
      <c r="U1452" t="b">
        <v>0</v>
      </c>
      <c r="V1452" t="b">
        <f t="shared" si="44"/>
        <v>1</v>
      </c>
      <c r="W1452">
        <v>0</v>
      </c>
      <c r="Y1452">
        <f t="shared" si="45"/>
        <v>0</v>
      </c>
    </row>
    <row r="1453" spans="1:25" x14ac:dyDescent="0.3">
      <c r="A1453" t="s">
        <v>3246</v>
      </c>
      <c r="B1453" t="s">
        <v>380</v>
      </c>
      <c r="C1453">
        <v>26.5</v>
      </c>
      <c r="D1453" s="1">
        <v>44965.696516203701</v>
      </c>
      <c r="E1453" t="s">
        <v>25</v>
      </c>
      <c r="F1453" t="s">
        <v>77</v>
      </c>
      <c r="G1453" t="s">
        <v>1653</v>
      </c>
      <c r="H1453" t="s">
        <v>360</v>
      </c>
      <c r="I1453" t="s">
        <v>383</v>
      </c>
      <c r="J1453" t="s">
        <v>45</v>
      </c>
      <c r="K1453">
        <v>48</v>
      </c>
      <c r="L1453" t="s">
        <v>89</v>
      </c>
      <c r="M1453">
        <v>179</v>
      </c>
      <c r="N1453">
        <v>1</v>
      </c>
      <c r="O1453">
        <v>4854.83</v>
      </c>
      <c r="P1453" s="1">
        <v>45600.338472222225</v>
      </c>
      <c r="Q1453">
        <v>16</v>
      </c>
      <c r="R1453" t="s">
        <v>74</v>
      </c>
      <c r="S1453">
        <v>-0.928574297533036</v>
      </c>
      <c r="T1453" t="b">
        <v>0</v>
      </c>
      <c r="U1453" t="b">
        <v>0</v>
      </c>
      <c r="V1453" t="b">
        <f t="shared" si="44"/>
        <v>1</v>
      </c>
      <c r="W1453">
        <v>0</v>
      </c>
      <c r="Y1453">
        <f t="shared" si="45"/>
        <v>0</v>
      </c>
    </row>
    <row r="1454" spans="1:25" x14ac:dyDescent="0.3">
      <c r="A1454" t="s">
        <v>3247</v>
      </c>
      <c r="B1454" t="s">
        <v>742</v>
      </c>
      <c r="C1454">
        <v>83.62</v>
      </c>
      <c r="D1454" s="1">
        <v>45099.720937500002</v>
      </c>
      <c r="E1454" t="s">
        <v>25</v>
      </c>
      <c r="F1454" t="s">
        <v>50</v>
      </c>
      <c r="G1454" t="s">
        <v>2129</v>
      </c>
      <c r="H1454" t="s">
        <v>3248</v>
      </c>
      <c r="I1454" t="s">
        <v>866</v>
      </c>
      <c r="J1454" t="s">
        <v>30</v>
      </c>
      <c r="K1454">
        <v>48</v>
      </c>
      <c r="L1454" t="s">
        <v>31</v>
      </c>
      <c r="M1454">
        <v>146</v>
      </c>
      <c r="N1454">
        <v>1</v>
      </c>
      <c r="O1454">
        <v>12652.22</v>
      </c>
      <c r="P1454" s="1">
        <v>45600.341736111113</v>
      </c>
      <c r="Q1454">
        <v>17</v>
      </c>
      <c r="R1454" t="s">
        <v>141</v>
      </c>
      <c r="S1454">
        <v>-0.73292183994967897</v>
      </c>
      <c r="T1454" t="b">
        <v>0</v>
      </c>
      <c r="U1454" t="b">
        <v>0</v>
      </c>
      <c r="V1454" t="b">
        <f t="shared" si="44"/>
        <v>1</v>
      </c>
      <c r="W1454">
        <v>0</v>
      </c>
      <c r="Y1454">
        <f t="shared" si="45"/>
        <v>0</v>
      </c>
    </row>
    <row r="1455" spans="1:25" x14ac:dyDescent="0.3">
      <c r="A1455" t="s">
        <v>3249</v>
      </c>
      <c r="B1455" t="s">
        <v>1630</v>
      </c>
      <c r="C1455">
        <v>142.78</v>
      </c>
      <c r="D1455" s="1">
        <v>45055.6950462963</v>
      </c>
      <c r="E1455" t="s">
        <v>25</v>
      </c>
      <c r="F1455" t="s">
        <v>26</v>
      </c>
      <c r="G1455" t="s">
        <v>2295</v>
      </c>
      <c r="H1455" t="s">
        <v>2568</v>
      </c>
      <c r="I1455" t="s">
        <v>1050</v>
      </c>
      <c r="J1455" t="s">
        <v>81</v>
      </c>
      <c r="K1455">
        <v>68</v>
      </c>
      <c r="L1455" t="s">
        <v>31</v>
      </c>
      <c r="M1455">
        <v>150</v>
      </c>
      <c r="N1455">
        <v>1</v>
      </c>
      <c r="O1455">
        <v>11705.88</v>
      </c>
      <c r="P1455" s="1">
        <v>45600.341921296298</v>
      </c>
      <c r="Q1455">
        <v>16</v>
      </c>
      <c r="R1455" t="s">
        <v>32</v>
      </c>
      <c r="S1455">
        <v>-0.53028179459548697</v>
      </c>
      <c r="T1455" t="b">
        <v>0</v>
      </c>
      <c r="U1455" t="b">
        <v>0</v>
      </c>
      <c r="V1455" t="b">
        <f t="shared" si="44"/>
        <v>1</v>
      </c>
      <c r="W1455">
        <v>0</v>
      </c>
      <c r="Y1455">
        <f t="shared" si="45"/>
        <v>0</v>
      </c>
    </row>
    <row r="1456" spans="1:25" x14ac:dyDescent="0.3">
      <c r="A1456" t="s">
        <v>3250</v>
      </c>
      <c r="B1456" t="s">
        <v>3251</v>
      </c>
      <c r="C1456">
        <v>55.99</v>
      </c>
      <c r="D1456" s="1">
        <v>45243.678055555552</v>
      </c>
      <c r="E1456" t="s">
        <v>25</v>
      </c>
      <c r="F1456" t="s">
        <v>519</v>
      </c>
      <c r="G1456" t="s">
        <v>3252</v>
      </c>
      <c r="H1456" t="s">
        <v>43</v>
      </c>
      <c r="I1456" t="s">
        <v>993</v>
      </c>
      <c r="J1456" t="s">
        <v>30</v>
      </c>
      <c r="K1456">
        <v>35</v>
      </c>
      <c r="L1456" t="s">
        <v>31</v>
      </c>
      <c r="M1456">
        <v>95</v>
      </c>
      <c r="N1456">
        <v>1</v>
      </c>
      <c r="O1456">
        <v>932.61</v>
      </c>
      <c r="P1456" s="1">
        <v>45600.338425925926</v>
      </c>
      <c r="Q1456">
        <v>16</v>
      </c>
      <c r="R1456" t="s">
        <v>47</v>
      </c>
      <c r="S1456">
        <v>-0.82756255078700702</v>
      </c>
      <c r="T1456" t="b">
        <v>0</v>
      </c>
      <c r="U1456" t="b">
        <v>0</v>
      </c>
      <c r="V1456" t="b">
        <f t="shared" si="44"/>
        <v>1</v>
      </c>
      <c r="W1456">
        <v>0</v>
      </c>
      <c r="Y1456">
        <f t="shared" si="45"/>
        <v>0</v>
      </c>
    </row>
    <row r="1457" spans="1:25" x14ac:dyDescent="0.3">
      <c r="A1457" t="s">
        <v>3253</v>
      </c>
      <c r="B1457" t="s">
        <v>3254</v>
      </c>
      <c r="C1457">
        <v>774.48</v>
      </c>
      <c r="D1457" s="1">
        <v>44991.675520833334</v>
      </c>
      <c r="E1457" t="s">
        <v>25</v>
      </c>
      <c r="F1457" t="s">
        <v>120</v>
      </c>
      <c r="G1457" t="s">
        <v>351</v>
      </c>
      <c r="H1457" t="s">
        <v>1424</v>
      </c>
      <c r="I1457" t="s">
        <v>772</v>
      </c>
      <c r="J1457" t="s">
        <v>81</v>
      </c>
      <c r="K1457">
        <v>61</v>
      </c>
      <c r="L1457" t="s">
        <v>31</v>
      </c>
      <c r="M1457">
        <v>31</v>
      </c>
      <c r="N1457">
        <v>1</v>
      </c>
      <c r="O1457">
        <v>11613.58</v>
      </c>
      <c r="P1457" s="1">
        <v>45600.339270833334</v>
      </c>
      <c r="Q1457">
        <v>16</v>
      </c>
      <c r="R1457" t="s">
        <v>47</v>
      </c>
      <c r="S1457">
        <v>1.6334727126770401</v>
      </c>
      <c r="T1457" t="b">
        <v>0</v>
      </c>
      <c r="U1457" t="b">
        <v>0</v>
      </c>
      <c r="V1457" t="b">
        <f t="shared" si="44"/>
        <v>1</v>
      </c>
      <c r="W1457">
        <v>0</v>
      </c>
      <c r="Y1457">
        <f t="shared" si="45"/>
        <v>0</v>
      </c>
    </row>
    <row r="1458" spans="1:25" x14ac:dyDescent="0.3">
      <c r="A1458" t="s">
        <v>3255</v>
      </c>
      <c r="B1458" t="s">
        <v>2141</v>
      </c>
      <c r="C1458">
        <v>105.37</v>
      </c>
      <c r="D1458" s="1">
        <v>45057.77175925926</v>
      </c>
      <c r="E1458" t="s">
        <v>25</v>
      </c>
      <c r="F1458" t="s">
        <v>298</v>
      </c>
      <c r="G1458" t="s">
        <v>785</v>
      </c>
      <c r="H1458" t="s">
        <v>1117</v>
      </c>
      <c r="I1458" t="s">
        <v>182</v>
      </c>
      <c r="J1458" t="s">
        <v>30</v>
      </c>
      <c r="K1458">
        <v>25</v>
      </c>
      <c r="L1458" t="s">
        <v>46</v>
      </c>
      <c r="M1458">
        <v>160</v>
      </c>
      <c r="N1458">
        <v>1</v>
      </c>
      <c r="O1458">
        <v>1068.55</v>
      </c>
      <c r="P1458" s="1">
        <v>45600.340092592596</v>
      </c>
      <c r="Q1458">
        <v>18</v>
      </c>
      <c r="R1458" t="s">
        <v>141</v>
      </c>
      <c r="S1458">
        <v>-0.65842182327534404</v>
      </c>
      <c r="T1458" t="b">
        <v>0</v>
      </c>
      <c r="U1458" t="b">
        <v>0</v>
      </c>
      <c r="V1458" t="b">
        <f t="shared" si="44"/>
        <v>1</v>
      </c>
      <c r="W1458">
        <v>0</v>
      </c>
      <c r="Y1458">
        <f t="shared" si="45"/>
        <v>0</v>
      </c>
    </row>
    <row r="1459" spans="1:25" x14ac:dyDescent="0.3">
      <c r="A1459" t="s">
        <v>3256</v>
      </c>
      <c r="B1459" t="s">
        <v>1625</v>
      </c>
      <c r="C1459">
        <v>118.83</v>
      </c>
      <c r="D1459" s="1">
        <v>45103.673900462964</v>
      </c>
      <c r="E1459" t="s">
        <v>25</v>
      </c>
      <c r="F1459" t="s">
        <v>314</v>
      </c>
      <c r="G1459" t="s">
        <v>515</v>
      </c>
      <c r="H1459" t="s">
        <v>1602</v>
      </c>
      <c r="I1459" t="s">
        <v>150</v>
      </c>
      <c r="J1459" t="s">
        <v>45</v>
      </c>
      <c r="K1459">
        <v>28</v>
      </c>
      <c r="L1459" t="s">
        <v>46</v>
      </c>
      <c r="M1459">
        <v>295</v>
      </c>
      <c r="N1459">
        <v>1</v>
      </c>
      <c r="O1459">
        <v>1616.3</v>
      </c>
      <c r="P1459" s="1">
        <v>45600.339212962965</v>
      </c>
      <c r="Q1459">
        <v>16</v>
      </c>
      <c r="R1459" t="s">
        <v>47</v>
      </c>
      <c r="S1459">
        <v>-0.61231744514033004</v>
      </c>
      <c r="T1459" t="b">
        <v>0</v>
      </c>
      <c r="U1459" t="b">
        <v>0</v>
      </c>
      <c r="V1459" t="b">
        <f t="shared" si="44"/>
        <v>1</v>
      </c>
      <c r="W1459">
        <v>0</v>
      </c>
      <c r="Y1459">
        <f t="shared" si="45"/>
        <v>0</v>
      </c>
    </row>
    <row r="1460" spans="1:25" x14ac:dyDescent="0.3">
      <c r="A1460" t="s">
        <v>3257</v>
      </c>
      <c r="B1460" t="s">
        <v>393</v>
      </c>
      <c r="C1460">
        <v>46.22</v>
      </c>
      <c r="D1460" s="1">
        <v>45243.695243055554</v>
      </c>
      <c r="E1460" t="s">
        <v>25</v>
      </c>
      <c r="F1460" t="s">
        <v>236</v>
      </c>
      <c r="G1460" t="s">
        <v>2283</v>
      </c>
      <c r="H1460" t="s">
        <v>2219</v>
      </c>
      <c r="I1460" t="s">
        <v>487</v>
      </c>
      <c r="J1460" t="s">
        <v>81</v>
      </c>
      <c r="K1460">
        <v>23</v>
      </c>
      <c r="L1460" t="s">
        <v>46</v>
      </c>
      <c r="M1460">
        <v>217</v>
      </c>
      <c r="N1460">
        <v>1</v>
      </c>
      <c r="O1460">
        <v>471.28</v>
      </c>
      <c r="P1460" s="1">
        <v>45600.339571759258</v>
      </c>
      <c r="Q1460">
        <v>16</v>
      </c>
      <c r="R1460" t="s">
        <v>47</v>
      </c>
      <c r="S1460">
        <v>-0.861027615748306</v>
      </c>
      <c r="T1460" t="b">
        <v>0</v>
      </c>
      <c r="U1460" t="b">
        <v>0</v>
      </c>
      <c r="V1460" t="b">
        <f t="shared" si="44"/>
        <v>1</v>
      </c>
      <c r="W1460">
        <v>0</v>
      </c>
      <c r="Y1460">
        <f t="shared" si="45"/>
        <v>0</v>
      </c>
    </row>
    <row r="1461" spans="1:25" x14ac:dyDescent="0.3">
      <c r="A1461" t="s">
        <v>3258</v>
      </c>
      <c r="B1461" t="s">
        <v>380</v>
      </c>
      <c r="C1461">
        <v>659.71</v>
      </c>
      <c r="D1461" s="1">
        <v>45051.673888888887</v>
      </c>
      <c r="E1461" t="s">
        <v>57</v>
      </c>
      <c r="F1461" t="s">
        <v>236</v>
      </c>
      <c r="G1461" t="s">
        <v>1341</v>
      </c>
      <c r="H1461" t="s">
        <v>1208</v>
      </c>
      <c r="I1461" t="s">
        <v>38</v>
      </c>
      <c r="J1461" t="s">
        <v>81</v>
      </c>
      <c r="K1461">
        <v>21</v>
      </c>
      <c r="L1461" t="s">
        <v>46</v>
      </c>
      <c r="M1461">
        <v>148</v>
      </c>
      <c r="N1461">
        <v>1</v>
      </c>
      <c r="O1461">
        <v>106.86</v>
      </c>
      <c r="P1461" s="1">
        <v>45600.339953703704</v>
      </c>
      <c r="Q1461">
        <v>16</v>
      </c>
      <c r="R1461" t="s">
        <v>54</v>
      </c>
      <c r="S1461">
        <v>1.24035239480516</v>
      </c>
      <c r="T1461" t="b">
        <v>0</v>
      </c>
      <c r="U1461" t="b">
        <v>0</v>
      </c>
      <c r="V1461" t="b">
        <f t="shared" si="44"/>
        <v>1</v>
      </c>
      <c r="W1461">
        <v>0</v>
      </c>
      <c r="Y1461">
        <f t="shared" si="45"/>
        <v>0</v>
      </c>
    </row>
    <row r="1462" spans="1:25" x14ac:dyDescent="0.3">
      <c r="A1462" t="s">
        <v>3259</v>
      </c>
      <c r="B1462" t="s">
        <v>553</v>
      </c>
      <c r="C1462">
        <v>377.97</v>
      </c>
      <c r="D1462" s="1">
        <v>45247.701481481483</v>
      </c>
      <c r="E1462" t="s">
        <v>25</v>
      </c>
      <c r="F1462" t="s">
        <v>185</v>
      </c>
      <c r="G1462" t="s">
        <v>1658</v>
      </c>
      <c r="H1462" t="s">
        <v>659</v>
      </c>
      <c r="I1462" t="s">
        <v>178</v>
      </c>
      <c r="J1462" t="s">
        <v>45</v>
      </c>
      <c r="K1462">
        <v>72</v>
      </c>
      <c r="L1462" t="s">
        <v>82</v>
      </c>
      <c r="M1462">
        <v>160</v>
      </c>
      <c r="N1462">
        <v>1</v>
      </c>
      <c r="O1462">
        <v>2457.1</v>
      </c>
      <c r="P1462" s="1">
        <v>45600.34101851852</v>
      </c>
      <c r="Q1462">
        <v>16</v>
      </c>
      <c r="R1462" t="s">
        <v>54</v>
      </c>
      <c r="S1462">
        <v>0.27531171904299001</v>
      </c>
      <c r="T1462" t="b">
        <v>0</v>
      </c>
      <c r="U1462" t="b">
        <v>0</v>
      </c>
      <c r="V1462" t="b">
        <f t="shared" si="44"/>
        <v>1</v>
      </c>
      <c r="W1462">
        <v>0</v>
      </c>
      <c r="Y1462">
        <f t="shared" si="45"/>
        <v>0</v>
      </c>
    </row>
    <row r="1463" spans="1:25" x14ac:dyDescent="0.3">
      <c r="A1463" t="s">
        <v>3260</v>
      </c>
      <c r="B1463" t="s">
        <v>2661</v>
      </c>
      <c r="C1463">
        <v>114.1</v>
      </c>
      <c r="D1463" s="1">
        <v>45068.739606481482</v>
      </c>
      <c r="E1463" t="s">
        <v>25</v>
      </c>
      <c r="F1463" t="s">
        <v>401</v>
      </c>
      <c r="G1463" t="s">
        <v>1684</v>
      </c>
      <c r="H1463" t="s">
        <v>3261</v>
      </c>
      <c r="I1463" t="s">
        <v>1222</v>
      </c>
      <c r="J1463" t="s">
        <v>81</v>
      </c>
      <c r="K1463">
        <v>69</v>
      </c>
      <c r="L1463" t="s">
        <v>82</v>
      </c>
      <c r="M1463">
        <v>148</v>
      </c>
      <c r="N1463">
        <v>1</v>
      </c>
      <c r="O1463">
        <v>5882.12</v>
      </c>
      <c r="P1463" s="1">
        <v>45600.341192129628</v>
      </c>
      <c r="Q1463">
        <v>17</v>
      </c>
      <c r="R1463" t="s">
        <v>47</v>
      </c>
      <c r="S1463">
        <v>-0.62851905796192098</v>
      </c>
      <c r="T1463" t="b">
        <v>0</v>
      </c>
      <c r="U1463" t="b">
        <v>0</v>
      </c>
      <c r="V1463" t="b">
        <f t="shared" si="44"/>
        <v>1</v>
      </c>
      <c r="W1463">
        <v>0</v>
      </c>
      <c r="Y1463">
        <f t="shared" si="45"/>
        <v>0</v>
      </c>
    </row>
    <row r="1464" spans="1:25" x14ac:dyDescent="0.3">
      <c r="A1464" t="s">
        <v>3262</v>
      </c>
      <c r="B1464" t="s">
        <v>1713</v>
      </c>
      <c r="C1464">
        <v>11.3</v>
      </c>
      <c r="D1464" s="1">
        <v>45261.690081018518</v>
      </c>
      <c r="E1464" t="s">
        <v>57</v>
      </c>
      <c r="F1464" t="s">
        <v>120</v>
      </c>
      <c r="G1464" t="s">
        <v>512</v>
      </c>
      <c r="H1464" t="s">
        <v>837</v>
      </c>
      <c r="I1464" t="s">
        <v>265</v>
      </c>
      <c r="J1464" t="s">
        <v>45</v>
      </c>
      <c r="K1464">
        <v>55</v>
      </c>
      <c r="L1464" t="s">
        <v>82</v>
      </c>
      <c r="M1464">
        <v>41</v>
      </c>
      <c r="N1464">
        <v>1</v>
      </c>
      <c r="O1464">
        <v>1938.99</v>
      </c>
      <c r="P1464" s="1">
        <v>45600.339872685188</v>
      </c>
      <c r="Q1464">
        <v>16</v>
      </c>
      <c r="R1464" t="s">
        <v>54</v>
      </c>
      <c r="S1464">
        <v>-0.98063867700199703</v>
      </c>
      <c r="T1464" t="b">
        <v>0</v>
      </c>
      <c r="U1464" t="b">
        <v>0</v>
      </c>
      <c r="V1464" t="b">
        <f t="shared" si="44"/>
        <v>1</v>
      </c>
      <c r="W1464">
        <v>0</v>
      </c>
      <c r="Y1464">
        <f t="shared" si="45"/>
        <v>0</v>
      </c>
    </row>
    <row r="1465" spans="1:25" x14ac:dyDescent="0.3">
      <c r="A1465" t="s">
        <v>3263</v>
      </c>
      <c r="B1465" t="s">
        <v>3264</v>
      </c>
      <c r="C1465">
        <v>95.5</v>
      </c>
      <c r="D1465" s="1">
        <v>45068.683356481481</v>
      </c>
      <c r="E1465" t="s">
        <v>25</v>
      </c>
      <c r="F1465" t="s">
        <v>309</v>
      </c>
      <c r="G1465" t="s">
        <v>1904</v>
      </c>
      <c r="H1465" t="s">
        <v>806</v>
      </c>
      <c r="I1465" t="s">
        <v>1013</v>
      </c>
      <c r="J1465" t="s">
        <v>45</v>
      </c>
      <c r="K1465">
        <v>57</v>
      </c>
      <c r="L1465" t="s">
        <v>82</v>
      </c>
      <c r="M1465">
        <v>17</v>
      </c>
      <c r="N1465">
        <v>1</v>
      </c>
      <c r="O1465">
        <v>4079.09</v>
      </c>
      <c r="P1465" s="1">
        <v>45600.339108796295</v>
      </c>
      <c r="Q1465">
        <v>16</v>
      </c>
      <c r="R1465" t="s">
        <v>47</v>
      </c>
      <c r="S1465">
        <v>-0.69222941704893903</v>
      </c>
      <c r="T1465" t="b">
        <v>0</v>
      </c>
      <c r="U1465" t="b">
        <v>0</v>
      </c>
      <c r="V1465" t="b">
        <f t="shared" si="44"/>
        <v>1</v>
      </c>
      <c r="W1465">
        <v>0</v>
      </c>
      <c r="Y1465">
        <f t="shared" si="45"/>
        <v>0</v>
      </c>
    </row>
    <row r="1466" spans="1:25" x14ac:dyDescent="0.3">
      <c r="A1466" t="s">
        <v>3265</v>
      </c>
      <c r="B1466" t="s">
        <v>835</v>
      </c>
      <c r="C1466">
        <v>130.93</v>
      </c>
      <c r="D1466" s="1">
        <v>44965.702881944446</v>
      </c>
      <c r="E1466" t="s">
        <v>57</v>
      </c>
      <c r="F1466" t="s">
        <v>35</v>
      </c>
      <c r="G1466" t="s">
        <v>1000</v>
      </c>
      <c r="H1466" t="s">
        <v>2057</v>
      </c>
      <c r="I1466" t="s">
        <v>898</v>
      </c>
      <c r="J1466" t="s">
        <v>81</v>
      </c>
      <c r="K1466">
        <v>28</v>
      </c>
      <c r="L1466" t="s">
        <v>89</v>
      </c>
      <c r="M1466">
        <v>149</v>
      </c>
      <c r="N1466">
        <v>1</v>
      </c>
      <c r="O1466">
        <v>860.12</v>
      </c>
      <c r="P1466" s="1">
        <v>45600.341180555559</v>
      </c>
      <c r="Q1466">
        <v>16</v>
      </c>
      <c r="R1466" t="s">
        <v>74</v>
      </c>
      <c r="S1466">
        <v>-0.57087145885253898</v>
      </c>
      <c r="T1466" t="b">
        <v>0</v>
      </c>
      <c r="U1466" t="b">
        <v>0</v>
      </c>
      <c r="V1466" t="b">
        <f t="shared" si="44"/>
        <v>1</v>
      </c>
      <c r="W1466">
        <v>0</v>
      </c>
      <c r="Y1466">
        <f t="shared" si="45"/>
        <v>0</v>
      </c>
    </row>
    <row r="1467" spans="1:25" x14ac:dyDescent="0.3">
      <c r="A1467" t="s">
        <v>3266</v>
      </c>
      <c r="B1467" t="s">
        <v>175</v>
      </c>
      <c r="C1467">
        <v>272.97000000000003</v>
      </c>
      <c r="D1467" s="1">
        <v>45033.77921296296</v>
      </c>
      <c r="E1467" t="s">
        <v>25</v>
      </c>
      <c r="F1467" t="s">
        <v>401</v>
      </c>
      <c r="G1467" t="s">
        <v>2283</v>
      </c>
      <c r="H1467" t="s">
        <v>3197</v>
      </c>
      <c r="I1467" t="s">
        <v>463</v>
      </c>
      <c r="J1467" t="s">
        <v>45</v>
      </c>
      <c r="K1467">
        <v>68</v>
      </c>
      <c r="L1467" t="s">
        <v>82</v>
      </c>
      <c r="M1467">
        <v>174</v>
      </c>
      <c r="N1467">
        <v>1</v>
      </c>
      <c r="O1467">
        <v>7811.31</v>
      </c>
      <c r="P1467" s="1">
        <v>45600.340949074074</v>
      </c>
      <c r="Q1467">
        <v>18</v>
      </c>
      <c r="R1467" t="s">
        <v>47</v>
      </c>
      <c r="S1467">
        <v>-8.4343533867593398E-2</v>
      </c>
      <c r="T1467" t="b">
        <v>0</v>
      </c>
      <c r="U1467" t="b">
        <v>0</v>
      </c>
      <c r="V1467" t="b">
        <f t="shared" si="44"/>
        <v>1</v>
      </c>
      <c r="W1467">
        <v>0</v>
      </c>
      <c r="Y1467">
        <f t="shared" si="45"/>
        <v>0</v>
      </c>
    </row>
    <row r="1468" spans="1:25" x14ac:dyDescent="0.3">
      <c r="A1468" t="s">
        <v>3267</v>
      </c>
      <c r="B1468" t="s">
        <v>3254</v>
      </c>
      <c r="C1468">
        <v>73.349999999999994</v>
      </c>
      <c r="D1468" s="1">
        <v>44998.690150462964</v>
      </c>
      <c r="E1468" t="s">
        <v>25</v>
      </c>
      <c r="F1468" t="s">
        <v>225</v>
      </c>
      <c r="G1468" t="s">
        <v>3268</v>
      </c>
      <c r="H1468" t="s">
        <v>360</v>
      </c>
      <c r="I1468" t="s">
        <v>495</v>
      </c>
      <c r="J1468" t="s">
        <v>81</v>
      </c>
      <c r="K1468">
        <v>24</v>
      </c>
      <c r="L1468" t="s">
        <v>46</v>
      </c>
      <c r="M1468">
        <v>47</v>
      </c>
      <c r="N1468">
        <v>1</v>
      </c>
      <c r="O1468">
        <v>1181.8399999999999</v>
      </c>
      <c r="P1468" s="1">
        <v>45600.340243055558</v>
      </c>
      <c r="Q1468">
        <v>16</v>
      </c>
      <c r="R1468" t="s">
        <v>47</v>
      </c>
      <c r="S1468">
        <v>-0.76809954897245702</v>
      </c>
      <c r="T1468" t="b">
        <v>0</v>
      </c>
      <c r="U1468" t="b">
        <v>0</v>
      </c>
      <c r="V1468" t="b">
        <f t="shared" si="44"/>
        <v>1</v>
      </c>
      <c r="W1468">
        <v>0</v>
      </c>
      <c r="Y1468">
        <f t="shared" si="45"/>
        <v>0</v>
      </c>
    </row>
    <row r="1469" spans="1:25" x14ac:dyDescent="0.3">
      <c r="A1469" t="s">
        <v>3269</v>
      </c>
      <c r="B1469" t="s">
        <v>2494</v>
      </c>
      <c r="C1469">
        <v>29.94</v>
      </c>
      <c r="D1469" s="1">
        <v>45212.682037037041</v>
      </c>
      <c r="E1469" t="s">
        <v>25</v>
      </c>
      <c r="F1469" t="s">
        <v>225</v>
      </c>
      <c r="G1469" t="s">
        <v>579</v>
      </c>
      <c r="H1469" t="s">
        <v>1699</v>
      </c>
      <c r="I1469" t="s">
        <v>383</v>
      </c>
      <c r="J1469" t="s">
        <v>30</v>
      </c>
      <c r="K1469">
        <v>58</v>
      </c>
      <c r="L1469" t="s">
        <v>31</v>
      </c>
      <c r="M1469">
        <v>243</v>
      </c>
      <c r="N1469">
        <v>1</v>
      </c>
      <c r="O1469">
        <v>10915.54</v>
      </c>
      <c r="P1469" s="1">
        <v>45600.341678240744</v>
      </c>
      <c r="Q1469">
        <v>16</v>
      </c>
      <c r="R1469" t="s">
        <v>54</v>
      </c>
      <c r="S1469">
        <v>-0.91679130639006101</v>
      </c>
      <c r="T1469" t="b">
        <v>0</v>
      </c>
      <c r="U1469" t="b">
        <v>0</v>
      </c>
      <c r="V1469" t="b">
        <f t="shared" si="44"/>
        <v>1</v>
      </c>
      <c r="W1469">
        <v>0</v>
      </c>
      <c r="Y1469">
        <f t="shared" si="45"/>
        <v>0</v>
      </c>
    </row>
    <row r="1470" spans="1:25" x14ac:dyDescent="0.3">
      <c r="A1470" t="s">
        <v>3270</v>
      </c>
      <c r="B1470" t="s">
        <v>563</v>
      </c>
      <c r="C1470">
        <v>307.24</v>
      </c>
      <c r="D1470" s="1">
        <v>45232.670706018522</v>
      </c>
      <c r="E1470" t="s">
        <v>25</v>
      </c>
      <c r="F1470" t="s">
        <v>236</v>
      </c>
      <c r="G1470" t="s">
        <v>2076</v>
      </c>
      <c r="H1470" t="s">
        <v>1781</v>
      </c>
      <c r="I1470" t="s">
        <v>1300</v>
      </c>
      <c r="J1470" t="s">
        <v>30</v>
      </c>
      <c r="K1470">
        <v>19</v>
      </c>
      <c r="L1470" t="s">
        <v>46</v>
      </c>
      <c r="M1470">
        <v>136</v>
      </c>
      <c r="N1470">
        <v>2</v>
      </c>
      <c r="O1470">
        <v>1670.72</v>
      </c>
      <c r="P1470" s="1">
        <v>45600.340162037035</v>
      </c>
      <c r="Q1470">
        <v>16</v>
      </c>
      <c r="R1470" t="s">
        <v>141</v>
      </c>
      <c r="S1470">
        <v>3.3041090106175001E-2</v>
      </c>
      <c r="T1470" t="b">
        <v>0</v>
      </c>
      <c r="U1470" t="b">
        <v>1</v>
      </c>
      <c r="V1470" t="b">
        <f t="shared" si="44"/>
        <v>1</v>
      </c>
      <c r="W1470">
        <v>1</v>
      </c>
      <c r="Y1470">
        <f t="shared" si="45"/>
        <v>0</v>
      </c>
    </row>
    <row r="1471" spans="1:25" x14ac:dyDescent="0.3">
      <c r="A1471" t="s">
        <v>3271</v>
      </c>
      <c r="B1471" t="s">
        <v>717</v>
      </c>
      <c r="C1471">
        <v>50.52</v>
      </c>
      <c r="D1471" s="1">
        <v>45215.687256944446</v>
      </c>
      <c r="E1471" t="s">
        <v>25</v>
      </c>
      <c r="F1471" t="s">
        <v>401</v>
      </c>
      <c r="G1471" t="s">
        <v>2368</v>
      </c>
      <c r="H1471" t="s">
        <v>1702</v>
      </c>
      <c r="I1471" t="s">
        <v>188</v>
      </c>
      <c r="J1471" t="s">
        <v>45</v>
      </c>
      <c r="K1471">
        <v>20</v>
      </c>
      <c r="L1471" t="s">
        <v>46</v>
      </c>
      <c r="M1471">
        <v>140</v>
      </c>
      <c r="N1471">
        <v>1</v>
      </c>
      <c r="O1471">
        <v>1121.19</v>
      </c>
      <c r="P1471" s="1">
        <v>45600.339722222219</v>
      </c>
      <c r="Q1471">
        <v>16</v>
      </c>
      <c r="R1471" t="s">
        <v>47</v>
      </c>
      <c r="S1471">
        <v>-0.84629887681958704</v>
      </c>
      <c r="T1471" t="b">
        <v>0</v>
      </c>
      <c r="U1471" t="b">
        <v>0</v>
      </c>
      <c r="V1471" t="b">
        <f t="shared" si="44"/>
        <v>1</v>
      </c>
      <c r="W1471">
        <v>0</v>
      </c>
      <c r="Y1471">
        <f t="shared" si="45"/>
        <v>0</v>
      </c>
    </row>
    <row r="1472" spans="1:25" x14ac:dyDescent="0.3">
      <c r="A1472" t="s">
        <v>3272</v>
      </c>
      <c r="B1472" t="s">
        <v>2684</v>
      </c>
      <c r="C1472">
        <v>820.46</v>
      </c>
      <c r="D1472" s="1">
        <v>45019.682500000003</v>
      </c>
      <c r="E1472" t="s">
        <v>57</v>
      </c>
      <c r="F1472" t="s">
        <v>170</v>
      </c>
      <c r="G1472" t="s">
        <v>2315</v>
      </c>
      <c r="H1472" t="s">
        <v>1105</v>
      </c>
      <c r="I1472" t="s">
        <v>589</v>
      </c>
      <c r="J1472" t="s">
        <v>45</v>
      </c>
      <c r="K1472">
        <v>53</v>
      </c>
      <c r="L1472" t="s">
        <v>89</v>
      </c>
      <c r="M1472">
        <v>243</v>
      </c>
      <c r="N1472">
        <v>1</v>
      </c>
      <c r="O1472">
        <v>5621.86</v>
      </c>
      <c r="P1472" s="1">
        <v>45600.340543981481</v>
      </c>
      <c r="Q1472">
        <v>16</v>
      </c>
      <c r="R1472" t="s">
        <v>47</v>
      </c>
      <c r="S1472">
        <v>1.79096746057064</v>
      </c>
      <c r="T1472" t="b">
        <v>0</v>
      </c>
      <c r="U1472" t="b">
        <v>0</v>
      </c>
      <c r="V1472" t="b">
        <f t="shared" si="44"/>
        <v>1</v>
      </c>
      <c r="W1472">
        <v>0</v>
      </c>
      <c r="Y1472">
        <f t="shared" si="45"/>
        <v>0</v>
      </c>
    </row>
    <row r="1473" spans="1:25" x14ac:dyDescent="0.3">
      <c r="A1473" t="s">
        <v>3273</v>
      </c>
      <c r="B1473" t="s">
        <v>3091</v>
      </c>
      <c r="C1473">
        <v>153.07</v>
      </c>
      <c r="D1473" s="1">
        <v>45019.776354166665</v>
      </c>
      <c r="E1473" t="s">
        <v>25</v>
      </c>
      <c r="F1473" t="s">
        <v>85</v>
      </c>
      <c r="G1473" t="s">
        <v>836</v>
      </c>
      <c r="H1473" t="s">
        <v>79</v>
      </c>
      <c r="I1473" t="s">
        <v>652</v>
      </c>
      <c r="J1473" t="s">
        <v>30</v>
      </c>
      <c r="K1473">
        <v>56</v>
      </c>
      <c r="L1473" t="s">
        <v>89</v>
      </c>
      <c r="M1473">
        <v>116</v>
      </c>
      <c r="N1473">
        <v>1</v>
      </c>
      <c r="O1473">
        <v>8873.43</v>
      </c>
      <c r="P1473" s="1">
        <v>45600.341736111113</v>
      </c>
      <c r="Q1473">
        <v>18</v>
      </c>
      <c r="R1473" t="s">
        <v>47</v>
      </c>
      <c r="S1473">
        <v>-0.49503557981024998</v>
      </c>
      <c r="T1473" t="b">
        <v>0</v>
      </c>
      <c r="U1473" t="b">
        <v>0</v>
      </c>
      <c r="V1473" t="b">
        <f t="shared" si="44"/>
        <v>1</v>
      </c>
      <c r="W1473">
        <v>0</v>
      </c>
      <c r="Y1473">
        <f t="shared" si="45"/>
        <v>0</v>
      </c>
    </row>
    <row r="1474" spans="1:25" x14ac:dyDescent="0.3">
      <c r="A1474" t="s">
        <v>3274</v>
      </c>
      <c r="B1474" t="s">
        <v>465</v>
      </c>
      <c r="C1474">
        <v>52.94</v>
      </c>
      <c r="D1474" s="1">
        <v>45089.733622685184</v>
      </c>
      <c r="E1474" t="s">
        <v>25</v>
      </c>
      <c r="F1474" t="s">
        <v>268</v>
      </c>
      <c r="G1474" t="s">
        <v>1556</v>
      </c>
      <c r="H1474" t="s">
        <v>588</v>
      </c>
      <c r="I1474" t="s">
        <v>38</v>
      </c>
      <c r="J1474" t="s">
        <v>81</v>
      </c>
      <c r="K1474">
        <v>41</v>
      </c>
      <c r="L1474" t="s">
        <v>31</v>
      </c>
      <c r="M1474">
        <v>146</v>
      </c>
      <c r="N1474">
        <v>1</v>
      </c>
      <c r="O1474">
        <v>6990.92</v>
      </c>
      <c r="P1474" s="1">
        <v>45600.341064814813</v>
      </c>
      <c r="Q1474">
        <v>17</v>
      </c>
      <c r="R1474" t="s">
        <v>47</v>
      </c>
      <c r="S1474">
        <v>-0.83800967956202899</v>
      </c>
      <c r="T1474" t="b">
        <v>0</v>
      </c>
      <c r="U1474" t="b">
        <v>0</v>
      </c>
      <c r="V1474" t="b">
        <f t="shared" si="44"/>
        <v>1</v>
      </c>
      <c r="W1474">
        <v>0</v>
      </c>
      <c r="Y1474">
        <f t="shared" si="45"/>
        <v>0</v>
      </c>
    </row>
    <row r="1475" spans="1:25" x14ac:dyDescent="0.3">
      <c r="A1475" t="s">
        <v>3275</v>
      </c>
      <c r="B1475" t="s">
        <v>1827</v>
      </c>
      <c r="C1475">
        <v>384.41</v>
      </c>
      <c r="D1475" s="1">
        <v>45033.70380787037</v>
      </c>
      <c r="E1475" t="s">
        <v>25</v>
      </c>
      <c r="F1475" t="s">
        <v>405</v>
      </c>
      <c r="G1475" t="s">
        <v>3276</v>
      </c>
      <c r="H1475" t="s">
        <v>2764</v>
      </c>
      <c r="I1475" t="s">
        <v>495</v>
      </c>
      <c r="J1475" t="s">
        <v>30</v>
      </c>
      <c r="K1475">
        <v>60</v>
      </c>
      <c r="L1475" t="s">
        <v>89</v>
      </c>
      <c r="M1475">
        <v>65</v>
      </c>
      <c r="N1475">
        <v>1</v>
      </c>
      <c r="O1475">
        <v>7831.56</v>
      </c>
      <c r="P1475" s="1">
        <v>45600.340428240743</v>
      </c>
      <c r="Q1475">
        <v>16</v>
      </c>
      <c r="R1475" t="s">
        <v>47</v>
      </c>
      <c r="S1475">
        <v>0.29737057455483901</v>
      </c>
      <c r="T1475" t="b">
        <v>0</v>
      </c>
      <c r="U1475" t="b">
        <v>0</v>
      </c>
      <c r="V1475" t="b">
        <f t="shared" ref="V1475:V1538" si="46">ISLOGICAL(T1475)</f>
        <v>1</v>
      </c>
      <c r="W1475">
        <v>0</v>
      </c>
      <c r="Y1475">
        <f t="shared" ref="Y1475:Y1538" si="47">--T1475</f>
        <v>0</v>
      </c>
    </row>
    <row r="1476" spans="1:25" x14ac:dyDescent="0.3">
      <c r="A1476" t="s">
        <v>3277</v>
      </c>
      <c r="B1476" t="s">
        <v>2310</v>
      </c>
      <c r="C1476">
        <v>235.42</v>
      </c>
      <c r="D1476" s="1">
        <v>45117.773865740739</v>
      </c>
      <c r="E1476" t="s">
        <v>25</v>
      </c>
      <c r="F1476" t="s">
        <v>438</v>
      </c>
      <c r="G1476" t="s">
        <v>799</v>
      </c>
      <c r="H1476" t="s">
        <v>2359</v>
      </c>
      <c r="I1476" t="s">
        <v>419</v>
      </c>
      <c r="J1476" t="s">
        <v>81</v>
      </c>
      <c r="K1476">
        <v>51</v>
      </c>
      <c r="L1476" t="s">
        <v>82</v>
      </c>
      <c r="M1476">
        <v>175</v>
      </c>
      <c r="N1476">
        <v>1</v>
      </c>
      <c r="O1476">
        <v>6173.23</v>
      </c>
      <c r="P1476" s="1">
        <v>45600.341041666667</v>
      </c>
      <c r="Q1476">
        <v>18</v>
      </c>
      <c r="R1476" t="s">
        <v>47</v>
      </c>
      <c r="S1476">
        <v>-0.212963102884664</v>
      </c>
      <c r="T1476" t="b">
        <v>0</v>
      </c>
      <c r="U1476" t="b">
        <v>0</v>
      </c>
      <c r="V1476" t="b">
        <f t="shared" si="46"/>
        <v>1</v>
      </c>
      <c r="W1476">
        <v>0</v>
      </c>
      <c r="Y1476">
        <f t="shared" si="47"/>
        <v>0</v>
      </c>
    </row>
    <row r="1477" spans="1:25" x14ac:dyDescent="0.3">
      <c r="A1477" t="s">
        <v>3278</v>
      </c>
      <c r="B1477" t="s">
        <v>1470</v>
      </c>
      <c r="C1477">
        <v>114.23</v>
      </c>
      <c r="D1477" s="1">
        <v>45084.733217592591</v>
      </c>
      <c r="E1477" t="s">
        <v>25</v>
      </c>
      <c r="F1477" t="s">
        <v>336</v>
      </c>
      <c r="G1477" t="s">
        <v>795</v>
      </c>
      <c r="H1477" t="s">
        <v>2267</v>
      </c>
      <c r="I1477" t="s">
        <v>561</v>
      </c>
      <c r="J1477" t="s">
        <v>30</v>
      </c>
      <c r="K1477">
        <v>56</v>
      </c>
      <c r="L1477" t="s">
        <v>31</v>
      </c>
      <c r="M1477">
        <v>64</v>
      </c>
      <c r="N1477">
        <v>1</v>
      </c>
      <c r="O1477">
        <v>9523.7199999999993</v>
      </c>
      <c r="P1477" s="1">
        <v>45600.337905092594</v>
      </c>
      <c r="Q1477">
        <v>17</v>
      </c>
      <c r="R1477" t="s">
        <v>74</v>
      </c>
      <c r="S1477">
        <v>-0.62807377050593605</v>
      </c>
      <c r="T1477" t="b">
        <v>0</v>
      </c>
      <c r="U1477" t="b">
        <v>0</v>
      </c>
      <c r="V1477" t="b">
        <f t="shared" si="46"/>
        <v>1</v>
      </c>
      <c r="W1477">
        <v>0</v>
      </c>
      <c r="Y1477">
        <f t="shared" si="47"/>
        <v>0</v>
      </c>
    </row>
    <row r="1478" spans="1:25" x14ac:dyDescent="0.3">
      <c r="A1478" t="s">
        <v>3279</v>
      </c>
      <c r="B1478" t="s">
        <v>152</v>
      </c>
      <c r="C1478">
        <v>12.62</v>
      </c>
      <c r="D1478" s="1">
        <v>45051.691481481481</v>
      </c>
      <c r="E1478" t="s">
        <v>25</v>
      </c>
      <c r="F1478" t="s">
        <v>519</v>
      </c>
      <c r="G1478" t="s">
        <v>3010</v>
      </c>
      <c r="H1478" t="s">
        <v>2851</v>
      </c>
      <c r="I1478" t="s">
        <v>1537</v>
      </c>
      <c r="J1478" t="s">
        <v>81</v>
      </c>
      <c r="K1478">
        <v>33</v>
      </c>
      <c r="L1478" t="s">
        <v>31</v>
      </c>
      <c r="M1478">
        <v>61</v>
      </c>
      <c r="N1478">
        <v>1</v>
      </c>
      <c r="O1478">
        <v>6420.47</v>
      </c>
      <c r="P1478" s="1">
        <v>45600.339618055557</v>
      </c>
      <c r="Q1478">
        <v>16</v>
      </c>
      <c r="R1478" t="s">
        <v>54</v>
      </c>
      <c r="S1478">
        <v>-0.97611729667969305</v>
      </c>
      <c r="T1478" t="b">
        <v>0</v>
      </c>
      <c r="U1478" t="b">
        <v>0</v>
      </c>
      <c r="V1478" t="b">
        <f t="shared" si="46"/>
        <v>1</v>
      </c>
      <c r="W1478">
        <v>0</v>
      </c>
      <c r="Y1478">
        <f t="shared" si="47"/>
        <v>0</v>
      </c>
    </row>
    <row r="1479" spans="1:25" x14ac:dyDescent="0.3">
      <c r="A1479" t="s">
        <v>3280</v>
      </c>
      <c r="B1479" t="s">
        <v>738</v>
      </c>
      <c r="C1479">
        <v>997.37</v>
      </c>
      <c r="D1479" s="1">
        <v>45282.76667824074</v>
      </c>
      <c r="E1479" t="s">
        <v>25</v>
      </c>
      <c r="F1479" t="s">
        <v>170</v>
      </c>
      <c r="G1479" t="s">
        <v>2035</v>
      </c>
      <c r="H1479" t="s">
        <v>1531</v>
      </c>
      <c r="I1479" t="s">
        <v>213</v>
      </c>
      <c r="J1479" t="s">
        <v>30</v>
      </c>
      <c r="K1479">
        <v>23</v>
      </c>
      <c r="L1479" t="s">
        <v>46</v>
      </c>
      <c r="M1479">
        <v>145</v>
      </c>
      <c r="N1479">
        <v>1</v>
      </c>
      <c r="O1479">
        <v>1146.0899999999999</v>
      </c>
      <c r="P1479" s="1">
        <v>45600.338460648149</v>
      </c>
      <c r="Q1479">
        <v>18</v>
      </c>
      <c r="R1479" t="s">
        <v>54</v>
      </c>
      <c r="S1479">
        <v>2.39693518240313</v>
      </c>
      <c r="T1479" t="b">
        <v>1</v>
      </c>
      <c r="U1479" t="b">
        <v>0</v>
      </c>
      <c r="V1479" t="b">
        <f t="shared" si="46"/>
        <v>1</v>
      </c>
      <c r="W1479">
        <v>1</v>
      </c>
      <c r="Y1479">
        <f t="shared" si="47"/>
        <v>1</v>
      </c>
    </row>
    <row r="1480" spans="1:25" x14ac:dyDescent="0.3">
      <c r="A1480" t="s">
        <v>3281</v>
      </c>
      <c r="B1480" t="s">
        <v>63</v>
      </c>
      <c r="C1480">
        <v>373.52</v>
      </c>
      <c r="D1480" s="1">
        <v>45194.682905092595</v>
      </c>
      <c r="E1480" t="s">
        <v>25</v>
      </c>
      <c r="F1480" t="s">
        <v>534</v>
      </c>
      <c r="G1480" t="s">
        <v>575</v>
      </c>
      <c r="H1480" t="s">
        <v>1843</v>
      </c>
      <c r="I1480" t="s">
        <v>620</v>
      </c>
      <c r="J1480" t="s">
        <v>30</v>
      </c>
      <c r="K1480">
        <v>35</v>
      </c>
      <c r="L1480" t="s">
        <v>89</v>
      </c>
      <c r="M1480">
        <v>235</v>
      </c>
      <c r="N1480">
        <v>1</v>
      </c>
      <c r="O1480">
        <v>6430.41</v>
      </c>
      <c r="P1480" s="1">
        <v>45600.341157407405</v>
      </c>
      <c r="Q1480">
        <v>16</v>
      </c>
      <c r="R1480" t="s">
        <v>47</v>
      </c>
      <c r="S1480">
        <v>0.26006918689582698</v>
      </c>
      <c r="T1480" t="b">
        <v>0</v>
      </c>
      <c r="U1480" t="b">
        <v>0</v>
      </c>
      <c r="V1480" t="b">
        <f t="shared" si="46"/>
        <v>1</v>
      </c>
      <c r="W1480">
        <v>0</v>
      </c>
      <c r="Y1480">
        <f t="shared" si="47"/>
        <v>0</v>
      </c>
    </row>
    <row r="1481" spans="1:25" x14ac:dyDescent="0.3">
      <c r="A1481" t="s">
        <v>3282</v>
      </c>
      <c r="B1481" t="s">
        <v>3149</v>
      </c>
      <c r="C1481">
        <v>336.05</v>
      </c>
      <c r="D1481" s="1">
        <v>45040.721041666664</v>
      </c>
      <c r="E1481" t="s">
        <v>25</v>
      </c>
      <c r="F1481" t="s">
        <v>250</v>
      </c>
      <c r="G1481" t="s">
        <v>2460</v>
      </c>
      <c r="H1481" t="s">
        <v>1689</v>
      </c>
      <c r="I1481" t="s">
        <v>73</v>
      </c>
      <c r="J1481" t="s">
        <v>81</v>
      </c>
      <c r="K1481">
        <v>28</v>
      </c>
      <c r="L1481" t="s">
        <v>46</v>
      </c>
      <c r="M1481">
        <v>164</v>
      </c>
      <c r="N1481">
        <v>1</v>
      </c>
      <c r="O1481">
        <v>1635.05</v>
      </c>
      <c r="P1481" s="1">
        <v>45600.341817129629</v>
      </c>
      <c r="Q1481">
        <v>17</v>
      </c>
      <c r="R1481" t="s">
        <v>47</v>
      </c>
      <c r="S1481">
        <v>0.13172364092859301</v>
      </c>
      <c r="T1481" t="b">
        <v>0</v>
      </c>
      <c r="U1481" t="b">
        <v>0</v>
      </c>
      <c r="V1481" t="b">
        <f t="shared" si="46"/>
        <v>1</v>
      </c>
      <c r="W1481">
        <v>0</v>
      </c>
      <c r="Y1481">
        <f t="shared" si="47"/>
        <v>0</v>
      </c>
    </row>
    <row r="1482" spans="1:25" x14ac:dyDescent="0.3">
      <c r="A1482" t="s">
        <v>3283</v>
      </c>
      <c r="B1482" t="s">
        <v>725</v>
      </c>
      <c r="C1482">
        <v>366.93</v>
      </c>
      <c r="D1482" s="1">
        <v>45271.779861111114</v>
      </c>
      <c r="E1482" t="s">
        <v>25</v>
      </c>
      <c r="F1482" t="s">
        <v>35</v>
      </c>
      <c r="G1482" t="s">
        <v>1646</v>
      </c>
      <c r="H1482" t="s">
        <v>668</v>
      </c>
      <c r="I1482" t="s">
        <v>316</v>
      </c>
      <c r="J1482" t="s">
        <v>45</v>
      </c>
      <c r="K1482">
        <v>66</v>
      </c>
      <c r="L1482" t="s">
        <v>82</v>
      </c>
      <c r="M1482">
        <v>33</v>
      </c>
      <c r="N1482">
        <v>1</v>
      </c>
      <c r="O1482">
        <v>6697.79</v>
      </c>
      <c r="P1482" s="1">
        <v>45600.341354166667</v>
      </c>
      <c r="Q1482">
        <v>18</v>
      </c>
      <c r="R1482" t="s">
        <v>47</v>
      </c>
      <c r="S1482">
        <v>0.23749653816553401</v>
      </c>
      <c r="T1482" t="b">
        <v>0</v>
      </c>
      <c r="U1482" t="b">
        <v>0</v>
      </c>
      <c r="V1482" t="b">
        <f t="shared" si="46"/>
        <v>1</v>
      </c>
      <c r="W1482">
        <v>0</v>
      </c>
      <c r="Y1482">
        <f t="shared" si="47"/>
        <v>0</v>
      </c>
    </row>
    <row r="1483" spans="1:25" x14ac:dyDescent="0.3">
      <c r="A1483" t="s">
        <v>3284</v>
      </c>
      <c r="B1483" t="s">
        <v>511</v>
      </c>
      <c r="C1483">
        <v>112.27</v>
      </c>
      <c r="D1483" s="1">
        <v>45218.732557870368</v>
      </c>
      <c r="E1483" t="s">
        <v>25</v>
      </c>
      <c r="F1483" t="s">
        <v>70</v>
      </c>
      <c r="G1483" t="s">
        <v>86</v>
      </c>
      <c r="H1483" t="s">
        <v>1998</v>
      </c>
      <c r="I1483" t="s">
        <v>95</v>
      </c>
      <c r="J1483" t="s">
        <v>81</v>
      </c>
      <c r="K1483">
        <v>58</v>
      </c>
      <c r="L1483" t="s">
        <v>31</v>
      </c>
      <c r="M1483">
        <v>102</v>
      </c>
      <c r="N1483">
        <v>1</v>
      </c>
      <c r="O1483">
        <v>7369.89</v>
      </c>
      <c r="P1483" s="1">
        <v>45600.341238425928</v>
      </c>
      <c r="Q1483">
        <v>17</v>
      </c>
      <c r="R1483" t="s">
        <v>141</v>
      </c>
      <c r="S1483">
        <v>-0.63478733522693398</v>
      </c>
      <c r="T1483" t="b">
        <v>0</v>
      </c>
      <c r="U1483" t="b">
        <v>0</v>
      </c>
      <c r="V1483" t="b">
        <f t="shared" si="46"/>
        <v>1</v>
      </c>
      <c r="W1483">
        <v>0</v>
      </c>
      <c r="Y1483">
        <f t="shared" si="47"/>
        <v>0</v>
      </c>
    </row>
    <row r="1484" spans="1:25" x14ac:dyDescent="0.3">
      <c r="A1484" t="s">
        <v>3285</v>
      </c>
      <c r="B1484" t="s">
        <v>1625</v>
      </c>
      <c r="C1484">
        <v>494.96</v>
      </c>
      <c r="D1484" s="1">
        <v>45016.690717592595</v>
      </c>
      <c r="E1484" t="s">
        <v>25</v>
      </c>
      <c r="F1484" t="s">
        <v>298</v>
      </c>
      <c r="G1484" t="s">
        <v>1173</v>
      </c>
      <c r="H1484" t="s">
        <v>668</v>
      </c>
      <c r="I1484" t="s">
        <v>665</v>
      </c>
      <c r="J1484" t="s">
        <v>30</v>
      </c>
      <c r="K1484">
        <v>40</v>
      </c>
      <c r="L1484" t="s">
        <v>89</v>
      </c>
      <c r="M1484">
        <v>132</v>
      </c>
      <c r="N1484">
        <v>1</v>
      </c>
      <c r="O1484">
        <v>6903.68</v>
      </c>
      <c r="P1484" s="1">
        <v>45600.339282407411</v>
      </c>
      <c r="Q1484">
        <v>16</v>
      </c>
      <c r="R1484" t="s">
        <v>54</v>
      </c>
      <c r="S1484">
        <v>0.67603617654783899</v>
      </c>
      <c r="T1484" t="b">
        <v>0</v>
      </c>
      <c r="U1484" t="b">
        <v>0</v>
      </c>
      <c r="V1484" t="b">
        <f t="shared" si="46"/>
        <v>1</v>
      </c>
      <c r="W1484">
        <v>0</v>
      </c>
      <c r="Y1484">
        <f t="shared" si="47"/>
        <v>0</v>
      </c>
    </row>
    <row r="1485" spans="1:25" x14ac:dyDescent="0.3">
      <c r="A1485" t="s">
        <v>3286</v>
      </c>
      <c r="B1485" t="s">
        <v>955</v>
      </c>
      <c r="C1485">
        <v>561.58000000000004</v>
      </c>
      <c r="D1485" s="1">
        <v>45100.735023148147</v>
      </c>
      <c r="E1485" t="s">
        <v>25</v>
      </c>
      <c r="F1485" t="s">
        <v>298</v>
      </c>
      <c r="G1485" t="s">
        <v>1607</v>
      </c>
      <c r="H1485" t="s">
        <v>3287</v>
      </c>
      <c r="I1485" t="s">
        <v>167</v>
      </c>
      <c r="J1485" t="s">
        <v>45</v>
      </c>
      <c r="K1485">
        <v>65</v>
      </c>
      <c r="L1485" t="s">
        <v>31</v>
      </c>
      <c r="M1485">
        <v>23</v>
      </c>
      <c r="N1485">
        <v>1</v>
      </c>
      <c r="O1485">
        <v>11748.86</v>
      </c>
      <c r="P1485" s="1">
        <v>45600.337870370371</v>
      </c>
      <c r="Q1485">
        <v>17</v>
      </c>
      <c r="R1485" t="s">
        <v>54</v>
      </c>
      <c r="S1485">
        <v>0.90422887129929697</v>
      </c>
      <c r="T1485" t="b">
        <v>0</v>
      </c>
      <c r="U1485" t="b">
        <v>0</v>
      </c>
      <c r="V1485" t="b">
        <f t="shared" si="46"/>
        <v>1</v>
      </c>
      <c r="W1485">
        <v>0</v>
      </c>
      <c r="Y1485">
        <f t="shared" si="47"/>
        <v>0</v>
      </c>
    </row>
    <row r="1486" spans="1:25" x14ac:dyDescent="0.3">
      <c r="A1486" t="s">
        <v>3288</v>
      </c>
      <c r="B1486" t="s">
        <v>215</v>
      </c>
      <c r="C1486">
        <v>440.94</v>
      </c>
      <c r="D1486" s="1">
        <v>45182.776701388888</v>
      </c>
      <c r="E1486" t="s">
        <v>25</v>
      </c>
      <c r="F1486" t="s">
        <v>250</v>
      </c>
      <c r="G1486" t="s">
        <v>2331</v>
      </c>
      <c r="H1486" t="s">
        <v>1412</v>
      </c>
      <c r="I1486" t="s">
        <v>194</v>
      </c>
      <c r="J1486" t="s">
        <v>45</v>
      </c>
      <c r="K1486">
        <v>42</v>
      </c>
      <c r="L1486" t="s">
        <v>31</v>
      </c>
      <c r="M1486">
        <v>148</v>
      </c>
      <c r="N1486">
        <v>1</v>
      </c>
      <c r="O1486">
        <v>7303.23</v>
      </c>
      <c r="P1486" s="1">
        <v>45600.341226851851</v>
      </c>
      <c r="Q1486">
        <v>18</v>
      </c>
      <c r="R1486" t="s">
        <v>74</v>
      </c>
      <c r="S1486">
        <v>0.49100211214565098</v>
      </c>
      <c r="T1486" t="b">
        <v>0</v>
      </c>
      <c r="U1486" t="b">
        <v>0</v>
      </c>
      <c r="V1486" t="b">
        <f t="shared" si="46"/>
        <v>1</v>
      </c>
      <c r="W1486">
        <v>0</v>
      </c>
      <c r="Y1486">
        <f t="shared" si="47"/>
        <v>0</v>
      </c>
    </row>
    <row r="1487" spans="1:25" x14ac:dyDescent="0.3">
      <c r="A1487" t="s">
        <v>3289</v>
      </c>
      <c r="B1487" t="s">
        <v>542</v>
      </c>
      <c r="C1487">
        <v>71.900000000000006</v>
      </c>
      <c r="D1487" s="1">
        <v>44977.686562499999</v>
      </c>
      <c r="E1487" t="s">
        <v>25</v>
      </c>
      <c r="F1487" t="s">
        <v>153</v>
      </c>
      <c r="G1487" t="s">
        <v>667</v>
      </c>
      <c r="H1487" t="s">
        <v>2429</v>
      </c>
      <c r="I1487" t="s">
        <v>772</v>
      </c>
      <c r="J1487" t="s">
        <v>81</v>
      </c>
      <c r="K1487">
        <v>29</v>
      </c>
      <c r="L1487" t="s">
        <v>31</v>
      </c>
      <c r="M1487">
        <v>51</v>
      </c>
      <c r="N1487">
        <v>1</v>
      </c>
      <c r="O1487">
        <v>10619.35</v>
      </c>
      <c r="P1487" s="1">
        <v>45600.341747685183</v>
      </c>
      <c r="Q1487">
        <v>16</v>
      </c>
      <c r="R1487" t="s">
        <v>47</v>
      </c>
      <c r="S1487">
        <v>-0.77306621675074605</v>
      </c>
      <c r="T1487" t="b">
        <v>0</v>
      </c>
      <c r="U1487" t="b">
        <v>0</v>
      </c>
      <c r="V1487" t="b">
        <f t="shared" si="46"/>
        <v>1</v>
      </c>
      <c r="W1487">
        <v>0</v>
      </c>
      <c r="Y1487">
        <f t="shared" si="47"/>
        <v>0</v>
      </c>
    </row>
    <row r="1488" spans="1:25" x14ac:dyDescent="0.3">
      <c r="A1488" t="s">
        <v>3290</v>
      </c>
      <c r="B1488" t="s">
        <v>1082</v>
      </c>
      <c r="C1488">
        <v>256.66000000000003</v>
      </c>
      <c r="D1488" s="1">
        <v>45124.713923611111</v>
      </c>
      <c r="E1488" t="s">
        <v>57</v>
      </c>
      <c r="F1488" t="s">
        <v>50</v>
      </c>
      <c r="G1488" t="s">
        <v>2368</v>
      </c>
      <c r="H1488" t="s">
        <v>478</v>
      </c>
      <c r="I1488" t="s">
        <v>427</v>
      </c>
      <c r="J1488" t="s">
        <v>45</v>
      </c>
      <c r="K1488">
        <v>54</v>
      </c>
      <c r="L1488" t="s">
        <v>82</v>
      </c>
      <c r="M1488">
        <v>137</v>
      </c>
      <c r="N1488">
        <v>1</v>
      </c>
      <c r="O1488">
        <v>1794.5</v>
      </c>
      <c r="P1488" s="1">
        <v>45600.338136574072</v>
      </c>
      <c r="Q1488">
        <v>17</v>
      </c>
      <c r="R1488" t="s">
        <v>47</v>
      </c>
      <c r="S1488">
        <v>-0.14020998315303701</v>
      </c>
      <c r="T1488" t="b">
        <v>0</v>
      </c>
      <c r="U1488" t="b">
        <v>0</v>
      </c>
      <c r="V1488" t="b">
        <f t="shared" si="46"/>
        <v>1</v>
      </c>
      <c r="W1488">
        <v>0</v>
      </c>
      <c r="Y1488">
        <f t="shared" si="47"/>
        <v>0</v>
      </c>
    </row>
    <row r="1489" spans="1:25" x14ac:dyDescent="0.3">
      <c r="A1489" t="s">
        <v>3291</v>
      </c>
      <c r="B1489" t="s">
        <v>2083</v>
      </c>
      <c r="C1489">
        <v>166.55</v>
      </c>
      <c r="D1489" s="1">
        <v>45120.744259259256</v>
      </c>
      <c r="E1489" t="s">
        <v>57</v>
      </c>
      <c r="F1489" t="s">
        <v>35</v>
      </c>
      <c r="G1489" t="s">
        <v>1523</v>
      </c>
      <c r="H1489" t="s">
        <v>1020</v>
      </c>
      <c r="I1489" t="s">
        <v>162</v>
      </c>
      <c r="J1489" t="s">
        <v>81</v>
      </c>
      <c r="K1489">
        <v>59</v>
      </c>
      <c r="L1489" t="s">
        <v>31</v>
      </c>
      <c r="M1489">
        <v>99</v>
      </c>
      <c r="N1489">
        <v>1</v>
      </c>
      <c r="O1489">
        <v>12970.21</v>
      </c>
      <c r="P1489" s="1">
        <v>45600.34</v>
      </c>
      <c r="Q1489">
        <v>17</v>
      </c>
      <c r="R1489" t="s">
        <v>141</v>
      </c>
      <c r="S1489">
        <v>-0.448862695912777</v>
      </c>
      <c r="T1489" t="b">
        <v>0</v>
      </c>
      <c r="U1489" t="b">
        <v>0</v>
      </c>
      <c r="V1489" t="b">
        <f t="shared" si="46"/>
        <v>1</v>
      </c>
      <c r="W1489">
        <v>0</v>
      </c>
      <c r="Y1489">
        <f t="shared" si="47"/>
        <v>0</v>
      </c>
    </row>
    <row r="1490" spans="1:25" x14ac:dyDescent="0.3">
      <c r="A1490" t="s">
        <v>3292</v>
      </c>
      <c r="B1490" t="s">
        <v>638</v>
      </c>
      <c r="C1490">
        <v>276.26</v>
      </c>
      <c r="D1490" s="1">
        <v>44970.711689814816</v>
      </c>
      <c r="E1490" t="s">
        <v>25</v>
      </c>
      <c r="F1490" t="s">
        <v>120</v>
      </c>
      <c r="G1490" t="s">
        <v>2152</v>
      </c>
      <c r="H1490" t="s">
        <v>2633</v>
      </c>
      <c r="I1490" t="s">
        <v>1222</v>
      </c>
      <c r="J1490" t="s">
        <v>81</v>
      </c>
      <c r="K1490">
        <v>56</v>
      </c>
      <c r="L1490" t="s">
        <v>31</v>
      </c>
      <c r="M1490">
        <v>143</v>
      </c>
      <c r="N1490">
        <v>1</v>
      </c>
      <c r="O1490">
        <v>120.89</v>
      </c>
      <c r="P1490" s="1">
        <v>45600.341516203705</v>
      </c>
      <c r="Q1490">
        <v>17</v>
      </c>
      <c r="R1490" t="s">
        <v>47</v>
      </c>
      <c r="S1490">
        <v>-7.3074335943061994E-2</v>
      </c>
      <c r="T1490" t="b">
        <v>0</v>
      </c>
      <c r="U1490" t="b">
        <v>0</v>
      </c>
      <c r="V1490" t="b">
        <f t="shared" si="46"/>
        <v>1</v>
      </c>
      <c r="W1490">
        <v>0</v>
      </c>
      <c r="Y1490">
        <f t="shared" si="47"/>
        <v>0</v>
      </c>
    </row>
    <row r="1491" spans="1:25" x14ac:dyDescent="0.3">
      <c r="A1491" t="s">
        <v>3293</v>
      </c>
      <c r="B1491" t="s">
        <v>2614</v>
      </c>
      <c r="C1491">
        <v>35.46</v>
      </c>
      <c r="D1491" s="1">
        <v>45125.693182870367</v>
      </c>
      <c r="E1491" t="s">
        <v>25</v>
      </c>
      <c r="F1491" t="s">
        <v>77</v>
      </c>
      <c r="G1491" t="s">
        <v>2183</v>
      </c>
      <c r="H1491" t="s">
        <v>1440</v>
      </c>
      <c r="I1491" t="s">
        <v>101</v>
      </c>
      <c r="J1491" t="s">
        <v>30</v>
      </c>
      <c r="K1491">
        <v>67</v>
      </c>
      <c r="L1491" t="s">
        <v>31</v>
      </c>
      <c r="M1491">
        <v>164</v>
      </c>
      <c r="N1491">
        <v>1</v>
      </c>
      <c r="O1491">
        <v>5692.31</v>
      </c>
      <c r="P1491" s="1">
        <v>45600.340416666666</v>
      </c>
      <c r="Q1491">
        <v>16</v>
      </c>
      <c r="R1491" t="s">
        <v>32</v>
      </c>
      <c r="S1491">
        <v>-0.89788371595133298</v>
      </c>
      <c r="T1491" t="b">
        <v>0</v>
      </c>
      <c r="U1491" t="b">
        <v>0</v>
      </c>
      <c r="V1491" t="b">
        <f t="shared" si="46"/>
        <v>1</v>
      </c>
      <c r="W1491">
        <v>0</v>
      </c>
      <c r="Y1491">
        <f t="shared" si="47"/>
        <v>0</v>
      </c>
    </row>
    <row r="1492" spans="1:25" x14ac:dyDescent="0.3">
      <c r="A1492" t="s">
        <v>3294</v>
      </c>
      <c r="B1492" t="s">
        <v>1199</v>
      </c>
      <c r="C1492">
        <v>38.14</v>
      </c>
      <c r="D1492" s="1">
        <v>45023.677777777775</v>
      </c>
      <c r="E1492" t="s">
        <v>25</v>
      </c>
      <c r="F1492" t="s">
        <v>608</v>
      </c>
      <c r="G1492" t="s">
        <v>1350</v>
      </c>
      <c r="H1492" t="s">
        <v>2107</v>
      </c>
      <c r="I1492" t="s">
        <v>844</v>
      </c>
      <c r="J1492" t="s">
        <v>81</v>
      </c>
      <c r="K1492">
        <v>50</v>
      </c>
      <c r="L1492" t="s">
        <v>89</v>
      </c>
      <c r="M1492">
        <v>165</v>
      </c>
      <c r="N1492">
        <v>1</v>
      </c>
      <c r="O1492">
        <v>9879.8700000000008</v>
      </c>
      <c r="P1492" s="1">
        <v>45600.338379629633</v>
      </c>
      <c r="Q1492">
        <v>16</v>
      </c>
      <c r="R1492" t="s">
        <v>54</v>
      </c>
      <c r="S1492">
        <v>-0.88870394378180595</v>
      </c>
      <c r="T1492" t="b">
        <v>0</v>
      </c>
      <c r="U1492" t="b">
        <v>0</v>
      </c>
      <c r="V1492" t="b">
        <f t="shared" si="46"/>
        <v>1</v>
      </c>
      <c r="W1492">
        <v>0</v>
      </c>
      <c r="Y1492">
        <f t="shared" si="47"/>
        <v>0</v>
      </c>
    </row>
    <row r="1493" spans="1:25" x14ac:dyDescent="0.3">
      <c r="A1493" t="s">
        <v>3295</v>
      </c>
      <c r="B1493" t="s">
        <v>1314</v>
      </c>
      <c r="C1493">
        <v>506.26</v>
      </c>
      <c r="D1493" s="1">
        <v>45278.768136574072</v>
      </c>
      <c r="E1493" t="s">
        <v>57</v>
      </c>
      <c r="F1493" t="s">
        <v>210</v>
      </c>
      <c r="G1493" t="s">
        <v>1535</v>
      </c>
      <c r="H1493" t="s">
        <v>1427</v>
      </c>
      <c r="I1493" t="s">
        <v>253</v>
      </c>
      <c r="J1493" t="s">
        <v>30</v>
      </c>
      <c r="K1493">
        <v>64</v>
      </c>
      <c r="L1493" t="s">
        <v>82</v>
      </c>
      <c r="M1493">
        <v>86</v>
      </c>
      <c r="N1493">
        <v>1</v>
      </c>
      <c r="O1493">
        <v>6266.65</v>
      </c>
      <c r="P1493" s="1">
        <v>45600.341585648152</v>
      </c>
      <c r="Q1493">
        <v>18</v>
      </c>
      <c r="R1493" t="s">
        <v>47</v>
      </c>
      <c r="S1493">
        <v>0.71474193233726402</v>
      </c>
      <c r="T1493" t="b">
        <v>0</v>
      </c>
      <c r="U1493" t="b">
        <v>0</v>
      </c>
      <c r="V1493" t="b">
        <f t="shared" si="46"/>
        <v>1</v>
      </c>
      <c r="W1493">
        <v>0</v>
      </c>
      <c r="Y1493">
        <f t="shared" si="47"/>
        <v>0</v>
      </c>
    </row>
    <row r="1494" spans="1:25" x14ac:dyDescent="0.3">
      <c r="A1494" t="s">
        <v>3296</v>
      </c>
      <c r="B1494" t="s">
        <v>2115</v>
      </c>
      <c r="C1494">
        <v>736.32</v>
      </c>
      <c r="D1494" s="1">
        <v>45028.712569444448</v>
      </c>
      <c r="E1494" t="s">
        <v>25</v>
      </c>
      <c r="F1494" t="s">
        <v>77</v>
      </c>
      <c r="G1494" t="s">
        <v>836</v>
      </c>
      <c r="H1494" t="s">
        <v>1785</v>
      </c>
      <c r="I1494" t="s">
        <v>67</v>
      </c>
      <c r="J1494" t="s">
        <v>45</v>
      </c>
      <c r="K1494">
        <v>31</v>
      </c>
      <c r="L1494" t="s">
        <v>31</v>
      </c>
      <c r="M1494">
        <v>28</v>
      </c>
      <c r="N1494">
        <v>1</v>
      </c>
      <c r="O1494">
        <v>14268.95</v>
      </c>
      <c r="P1494" s="1">
        <v>45600.340543981481</v>
      </c>
      <c r="Q1494">
        <v>17</v>
      </c>
      <c r="R1494" t="s">
        <v>74</v>
      </c>
      <c r="S1494">
        <v>1.50276371790496</v>
      </c>
      <c r="T1494" t="b">
        <v>0</v>
      </c>
      <c r="U1494" t="b">
        <v>0</v>
      </c>
      <c r="V1494" t="b">
        <f t="shared" si="46"/>
        <v>1</v>
      </c>
      <c r="W1494">
        <v>0</v>
      </c>
      <c r="Y1494">
        <f t="shared" si="47"/>
        <v>0</v>
      </c>
    </row>
    <row r="1495" spans="1:25" x14ac:dyDescent="0.3">
      <c r="A1495" t="s">
        <v>3297</v>
      </c>
      <c r="B1495" t="s">
        <v>235</v>
      </c>
      <c r="C1495">
        <v>389.43</v>
      </c>
      <c r="D1495" s="1">
        <v>45257.751238425924</v>
      </c>
      <c r="E1495" t="s">
        <v>57</v>
      </c>
      <c r="F1495" t="s">
        <v>131</v>
      </c>
      <c r="G1495" t="s">
        <v>979</v>
      </c>
      <c r="H1495" t="s">
        <v>744</v>
      </c>
      <c r="I1495" t="s">
        <v>275</v>
      </c>
      <c r="J1495" t="s">
        <v>30</v>
      </c>
      <c r="K1495">
        <v>52</v>
      </c>
      <c r="L1495" t="s">
        <v>89</v>
      </c>
      <c r="M1495">
        <v>151</v>
      </c>
      <c r="N1495">
        <v>1</v>
      </c>
      <c r="O1495">
        <v>6449.83</v>
      </c>
      <c r="P1495" s="1">
        <v>45600.340937499997</v>
      </c>
      <c r="Q1495">
        <v>18</v>
      </c>
      <c r="R1495" t="s">
        <v>47</v>
      </c>
      <c r="S1495">
        <v>0.31456552093208801</v>
      </c>
      <c r="T1495" t="b">
        <v>0</v>
      </c>
      <c r="U1495" t="b">
        <v>0</v>
      </c>
      <c r="V1495" t="b">
        <f t="shared" si="46"/>
        <v>1</v>
      </c>
      <c r="W1495">
        <v>0</v>
      </c>
      <c r="Y1495">
        <f t="shared" si="47"/>
        <v>0</v>
      </c>
    </row>
    <row r="1496" spans="1:25" x14ac:dyDescent="0.3">
      <c r="A1496" t="s">
        <v>3298</v>
      </c>
      <c r="B1496" t="s">
        <v>3299</v>
      </c>
      <c r="C1496">
        <v>25.58</v>
      </c>
      <c r="D1496" s="1">
        <v>45246.689837962964</v>
      </c>
      <c r="E1496" t="s">
        <v>25</v>
      </c>
      <c r="F1496" t="s">
        <v>309</v>
      </c>
      <c r="G1496" t="s">
        <v>1482</v>
      </c>
      <c r="H1496" t="s">
        <v>3100</v>
      </c>
      <c r="I1496" t="s">
        <v>134</v>
      </c>
      <c r="J1496" t="s">
        <v>30</v>
      </c>
      <c r="K1496">
        <v>60</v>
      </c>
      <c r="L1496" t="s">
        <v>89</v>
      </c>
      <c r="M1496">
        <v>166</v>
      </c>
      <c r="N1496">
        <v>1</v>
      </c>
      <c r="O1496">
        <v>6741.41</v>
      </c>
      <c r="P1496" s="1">
        <v>45600.337835648148</v>
      </c>
      <c r="Q1496">
        <v>16</v>
      </c>
      <c r="R1496" t="s">
        <v>141</v>
      </c>
      <c r="S1496">
        <v>-0.93172556260615802</v>
      </c>
      <c r="T1496" t="b">
        <v>0</v>
      </c>
      <c r="U1496" t="b">
        <v>0</v>
      </c>
      <c r="V1496" t="b">
        <f t="shared" si="46"/>
        <v>1</v>
      </c>
      <c r="W1496">
        <v>0</v>
      </c>
      <c r="Y1496">
        <f t="shared" si="47"/>
        <v>0</v>
      </c>
    </row>
    <row r="1497" spans="1:25" x14ac:dyDescent="0.3">
      <c r="A1497" t="s">
        <v>3300</v>
      </c>
      <c r="B1497" t="s">
        <v>511</v>
      </c>
      <c r="C1497">
        <v>446.1</v>
      </c>
      <c r="D1497" s="1">
        <v>45188.739803240744</v>
      </c>
      <c r="E1497" t="s">
        <v>25</v>
      </c>
      <c r="F1497" t="s">
        <v>70</v>
      </c>
      <c r="G1497" t="s">
        <v>1563</v>
      </c>
      <c r="H1497" t="s">
        <v>2040</v>
      </c>
      <c r="I1497" t="s">
        <v>1537</v>
      </c>
      <c r="J1497" t="s">
        <v>30</v>
      </c>
      <c r="K1497">
        <v>25</v>
      </c>
      <c r="L1497" t="s">
        <v>46</v>
      </c>
      <c r="M1497">
        <v>243</v>
      </c>
      <c r="N1497">
        <v>1</v>
      </c>
      <c r="O1497">
        <v>1008.44</v>
      </c>
      <c r="P1497" s="1">
        <v>45600.339236111111</v>
      </c>
      <c r="Q1497">
        <v>17</v>
      </c>
      <c r="R1497" t="s">
        <v>32</v>
      </c>
      <c r="S1497">
        <v>0.50867659886011396</v>
      </c>
      <c r="T1497" t="b">
        <v>0</v>
      </c>
      <c r="U1497" t="b">
        <v>0</v>
      </c>
      <c r="V1497" t="b">
        <f t="shared" si="46"/>
        <v>1</v>
      </c>
      <c r="W1497">
        <v>0</v>
      </c>
      <c r="Y1497">
        <f t="shared" si="47"/>
        <v>0</v>
      </c>
    </row>
    <row r="1498" spans="1:25" x14ac:dyDescent="0.3">
      <c r="A1498" t="s">
        <v>3301</v>
      </c>
      <c r="B1498" t="s">
        <v>918</v>
      </c>
      <c r="C1498">
        <v>147.74</v>
      </c>
      <c r="D1498" s="1">
        <v>45174.702847222223</v>
      </c>
      <c r="E1498" t="s">
        <v>25</v>
      </c>
      <c r="F1498" t="s">
        <v>50</v>
      </c>
      <c r="G1498" t="s">
        <v>2626</v>
      </c>
      <c r="H1498" t="s">
        <v>971</v>
      </c>
      <c r="I1498" t="s">
        <v>652</v>
      </c>
      <c r="J1498" t="s">
        <v>81</v>
      </c>
      <c r="K1498">
        <v>23</v>
      </c>
      <c r="L1498" t="s">
        <v>46</v>
      </c>
      <c r="M1498">
        <v>15</v>
      </c>
      <c r="N1498">
        <v>1</v>
      </c>
      <c r="O1498">
        <v>1711.78</v>
      </c>
      <c r="P1498" s="1">
        <v>45600.341874999998</v>
      </c>
      <c r="Q1498">
        <v>16</v>
      </c>
      <c r="R1498" t="s">
        <v>32</v>
      </c>
      <c r="S1498">
        <v>-0.51329236550561597</v>
      </c>
      <c r="T1498" t="b">
        <v>0</v>
      </c>
      <c r="U1498" t="b">
        <v>0</v>
      </c>
      <c r="V1498" t="b">
        <f t="shared" si="46"/>
        <v>1</v>
      </c>
      <c r="W1498">
        <v>0</v>
      </c>
      <c r="Y1498">
        <f t="shared" si="47"/>
        <v>0</v>
      </c>
    </row>
    <row r="1499" spans="1:25" x14ac:dyDescent="0.3">
      <c r="A1499" t="s">
        <v>3302</v>
      </c>
      <c r="B1499" t="s">
        <v>518</v>
      </c>
      <c r="C1499">
        <v>1228.81</v>
      </c>
      <c r="D1499" s="1">
        <v>44977.692083333335</v>
      </c>
      <c r="E1499" t="s">
        <v>25</v>
      </c>
      <c r="F1499" t="s">
        <v>225</v>
      </c>
      <c r="G1499" t="s">
        <v>3216</v>
      </c>
      <c r="H1499" t="s">
        <v>2104</v>
      </c>
      <c r="I1499" t="s">
        <v>652</v>
      </c>
      <c r="J1499" t="s">
        <v>30</v>
      </c>
      <c r="K1499">
        <v>26</v>
      </c>
      <c r="L1499" t="s">
        <v>46</v>
      </c>
      <c r="M1499">
        <v>254</v>
      </c>
      <c r="N1499">
        <v>1</v>
      </c>
      <c r="O1499">
        <v>1821</v>
      </c>
      <c r="P1499" s="1">
        <v>45600.339641203704</v>
      </c>
      <c r="Q1499">
        <v>16</v>
      </c>
      <c r="R1499" t="s">
        <v>47</v>
      </c>
      <c r="S1499">
        <v>3.1896838655805202</v>
      </c>
      <c r="T1499" t="b">
        <v>1</v>
      </c>
      <c r="U1499" t="b">
        <v>0</v>
      </c>
      <c r="V1499" t="b">
        <f t="shared" si="46"/>
        <v>1</v>
      </c>
      <c r="W1499">
        <v>1</v>
      </c>
      <c r="Y1499">
        <f t="shared" si="47"/>
        <v>1</v>
      </c>
    </row>
    <row r="1500" spans="1:25" x14ac:dyDescent="0.3">
      <c r="A1500" t="s">
        <v>3303</v>
      </c>
      <c r="B1500" t="s">
        <v>1453</v>
      </c>
      <c r="C1500">
        <v>46.23</v>
      </c>
      <c r="D1500" s="1">
        <v>45075.739884259259</v>
      </c>
      <c r="E1500" t="s">
        <v>25</v>
      </c>
      <c r="F1500" t="s">
        <v>571</v>
      </c>
      <c r="G1500" t="s">
        <v>1774</v>
      </c>
      <c r="H1500" t="s">
        <v>1642</v>
      </c>
      <c r="I1500" t="s">
        <v>29</v>
      </c>
      <c r="J1500" t="s">
        <v>45</v>
      </c>
      <c r="K1500">
        <v>77</v>
      </c>
      <c r="L1500" t="s">
        <v>82</v>
      </c>
      <c r="M1500">
        <v>282</v>
      </c>
      <c r="N1500">
        <v>1</v>
      </c>
      <c r="O1500">
        <v>5107.75</v>
      </c>
      <c r="P1500" s="1">
        <v>45600.340115740742</v>
      </c>
      <c r="Q1500">
        <v>17</v>
      </c>
      <c r="R1500" t="s">
        <v>47</v>
      </c>
      <c r="S1500">
        <v>-0.86099336286707595</v>
      </c>
      <c r="T1500" t="b">
        <v>0</v>
      </c>
      <c r="U1500" t="b">
        <v>0</v>
      </c>
      <c r="V1500" t="b">
        <f t="shared" si="46"/>
        <v>1</v>
      </c>
      <c r="W1500">
        <v>0</v>
      </c>
      <c r="Y1500">
        <f t="shared" si="47"/>
        <v>0</v>
      </c>
    </row>
    <row r="1501" spans="1:25" x14ac:dyDescent="0.3">
      <c r="A1501" t="s">
        <v>3304</v>
      </c>
      <c r="B1501" t="s">
        <v>1891</v>
      </c>
      <c r="C1501">
        <v>265.37</v>
      </c>
      <c r="D1501" s="1">
        <v>45072.747418981482</v>
      </c>
      <c r="E1501" t="s">
        <v>25</v>
      </c>
      <c r="F1501" t="s">
        <v>466</v>
      </c>
      <c r="G1501" t="s">
        <v>1721</v>
      </c>
      <c r="H1501" t="s">
        <v>1331</v>
      </c>
      <c r="I1501" t="s">
        <v>772</v>
      </c>
      <c r="J1501" t="s">
        <v>81</v>
      </c>
      <c r="K1501">
        <v>33</v>
      </c>
      <c r="L1501" t="s">
        <v>89</v>
      </c>
      <c r="M1501">
        <v>77</v>
      </c>
      <c r="N1501">
        <v>1</v>
      </c>
      <c r="O1501">
        <v>5229.95</v>
      </c>
      <c r="P1501" s="1">
        <v>45600.339814814812</v>
      </c>
      <c r="Q1501">
        <v>17</v>
      </c>
      <c r="R1501" t="s">
        <v>54</v>
      </c>
      <c r="S1501">
        <v>-0.110375723602073</v>
      </c>
      <c r="T1501" t="b">
        <v>0</v>
      </c>
      <c r="U1501" t="b">
        <v>0</v>
      </c>
      <c r="V1501" t="b">
        <f t="shared" si="46"/>
        <v>1</v>
      </c>
      <c r="W1501">
        <v>0</v>
      </c>
      <c r="Y1501">
        <f t="shared" si="47"/>
        <v>0</v>
      </c>
    </row>
    <row r="1502" spans="1:25" x14ac:dyDescent="0.3">
      <c r="A1502" t="s">
        <v>3305</v>
      </c>
      <c r="B1502" t="s">
        <v>2577</v>
      </c>
      <c r="C1502">
        <v>342.57</v>
      </c>
      <c r="D1502" s="1">
        <v>44960.715277777781</v>
      </c>
      <c r="E1502" t="s">
        <v>25</v>
      </c>
      <c r="F1502" t="s">
        <v>401</v>
      </c>
      <c r="G1502" t="s">
        <v>2695</v>
      </c>
      <c r="H1502" t="s">
        <v>1785</v>
      </c>
      <c r="I1502" t="s">
        <v>753</v>
      </c>
      <c r="J1502" t="s">
        <v>45</v>
      </c>
      <c r="K1502">
        <v>20</v>
      </c>
      <c r="L1502" t="s">
        <v>46</v>
      </c>
      <c r="M1502">
        <v>91</v>
      </c>
      <c r="N1502">
        <v>1</v>
      </c>
      <c r="O1502">
        <v>339.16</v>
      </c>
      <c r="P1502" s="1">
        <v>45600.340173611112</v>
      </c>
      <c r="Q1502">
        <v>17</v>
      </c>
      <c r="R1502" t="s">
        <v>54</v>
      </c>
      <c r="S1502">
        <v>0.15405651949027799</v>
      </c>
      <c r="T1502" t="b">
        <v>0</v>
      </c>
      <c r="U1502" t="b">
        <v>0</v>
      </c>
      <c r="V1502" t="b">
        <f t="shared" si="46"/>
        <v>1</v>
      </c>
      <c r="W1502">
        <v>0</v>
      </c>
      <c r="Y1502">
        <f t="shared" si="47"/>
        <v>0</v>
      </c>
    </row>
    <row r="1503" spans="1:25" x14ac:dyDescent="0.3">
      <c r="A1503" t="s">
        <v>3306</v>
      </c>
      <c r="B1503" t="s">
        <v>897</v>
      </c>
      <c r="C1503">
        <v>417.26</v>
      </c>
      <c r="D1503" s="1">
        <v>44984.709305555552</v>
      </c>
      <c r="E1503" t="s">
        <v>57</v>
      </c>
      <c r="F1503" t="s">
        <v>216</v>
      </c>
      <c r="G1503" t="s">
        <v>949</v>
      </c>
      <c r="H1503" t="s">
        <v>3082</v>
      </c>
      <c r="I1503" t="s">
        <v>487</v>
      </c>
      <c r="J1503" t="s">
        <v>45</v>
      </c>
      <c r="K1503">
        <v>32</v>
      </c>
      <c r="L1503" t="s">
        <v>31</v>
      </c>
      <c r="M1503">
        <v>45</v>
      </c>
      <c r="N1503">
        <v>1</v>
      </c>
      <c r="O1503">
        <v>10442.48</v>
      </c>
      <c r="P1503" s="1">
        <v>45600.341585648152</v>
      </c>
      <c r="Q1503">
        <v>17</v>
      </c>
      <c r="R1503" t="s">
        <v>47</v>
      </c>
      <c r="S1503">
        <v>0.40989128939400699</v>
      </c>
      <c r="T1503" t="b">
        <v>0</v>
      </c>
      <c r="U1503" t="b">
        <v>0</v>
      </c>
      <c r="V1503" t="b">
        <f t="shared" si="46"/>
        <v>1</v>
      </c>
      <c r="W1503">
        <v>0</v>
      </c>
      <c r="Y1503">
        <f t="shared" si="47"/>
        <v>0</v>
      </c>
    </row>
    <row r="1504" spans="1:25" x14ac:dyDescent="0.3">
      <c r="A1504" t="s">
        <v>3307</v>
      </c>
      <c r="B1504" t="s">
        <v>1414</v>
      </c>
      <c r="C1504">
        <v>33.630000000000003</v>
      </c>
      <c r="D1504" s="1">
        <v>45233.701481481483</v>
      </c>
      <c r="E1504" t="s">
        <v>25</v>
      </c>
      <c r="F1504" t="s">
        <v>137</v>
      </c>
      <c r="G1504" t="s">
        <v>671</v>
      </c>
      <c r="H1504" t="s">
        <v>1618</v>
      </c>
      <c r="I1504" t="s">
        <v>1222</v>
      </c>
      <c r="J1504" t="s">
        <v>45</v>
      </c>
      <c r="K1504">
        <v>63</v>
      </c>
      <c r="L1504" t="s">
        <v>82</v>
      </c>
      <c r="M1504">
        <v>76</v>
      </c>
      <c r="N1504">
        <v>1</v>
      </c>
      <c r="O1504">
        <v>4324.3999999999996</v>
      </c>
      <c r="P1504" s="1">
        <v>45600.340879629628</v>
      </c>
      <c r="Q1504">
        <v>16</v>
      </c>
      <c r="R1504" t="s">
        <v>54</v>
      </c>
      <c r="S1504">
        <v>-0.90415199321634598</v>
      </c>
      <c r="T1504" t="b">
        <v>0</v>
      </c>
      <c r="U1504" t="b">
        <v>0</v>
      </c>
      <c r="V1504" t="b">
        <f t="shared" si="46"/>
        <v>1</v>
      </c>
      <c r="W1504">
        <v>0</v>
      </c>
      <c r="Y1504">
        <f t="shared" si="47"/>
        <v>0</v>
      </c>
    </row>
    <row r="1505" spans="1:25" x14ac:dyDescent="0.3">
      <c r="A1505" t="s">
        <v>3308</v>
      </c>
      <c r="B1505" t="s">
        <v>1017</v>
      </c>
      <c r="C1505">
        <v>64.58</v>
      </c>
      <c r="D1505" s="1">
        <v>45264.754513888889</v>
      </c>
      <c r="E1505" t="s">
        <v>25</v>
      </c>
      <c r="F1505" t="s">
        <v>519</v>
      </c>
      <c r="G1505" t="s">
        <v>530</v>
      </c>
      <c r="H1505" t="s">
        <v>907</v>
      </c>
      <c r="I1505" t="s">
        <v>695</v>
      </c>
      <c r="J1505" t="s">
        <v>81</v>
      </c>
      <c r="K1505">
        <v>55</v>
      </c>
      <c r="L1505" t="s">
        <v>82</v>
      </c>
      <c r="M1505">
        <v>173</v>
      </c>
      <c r="N1505">
        <v>1</v>
      </c>
      <c r="O1505">
        <v>6292.29</v>
      </c>
      <c r="P1505" s="1">
        <v>45600.341284722221</v>
      </c>
      <c r="Q1505">
        <v>18</v>
      </c>
      <c r="R1505" t="s">
        <v>47</v>
      </c>
      <c r="S1505">
        <v>-0.79813932581079805</v>
      </c>
      <c r="T1505" t="b">
        <v>0</v>
      </c>
      <c r="U1505" t="b">
        <v>0</v>
      </c>
      <c r="V1505" t="b">
        <f t="shared" si="46"/>
        <v>1</v>
      </c>
      <c r="W1505">
        <v>0</v>
      </c>
      <c r="Y1505">
        <f t="shared" si="47"/>
        <v>0</v>
      </c>
    </row>
    <row r="1506" spans="1:25" x14ac:dyDescent="0.3">
      <c r="A1506" t="s">
        <v>3309</v>
      </c>
      <c r="B1506" t="s">
        <v>912</v>
      </c>
      <c r="C1506">
        <v>23.23</v>
      </c>
      <c r="D1506" s="1">
        <v>45036.690960648149</v>
      </c>
      <c r="E1506" t="s">
        <v>57</v>
      </c>
      <c r="F1506" t="s">
        <v>185</v>
      </c>
      <c r="G1506" t="s">
        <v>1466</v>
      </c>
      <c r="H1506" t="s">
        <v>2026</v>
      </c>
      <c r="I1506" t="s">
        <v>344</v>
      </c>
      <c r="J1506" t="s">
        <v>81</v>
      </c>
      <c r="K1506">
        <v>21</v>
      </c>
      <c r="L1506" t="s">
        <v>46</v>
      </c>
      <c r="M1506">
        <v>122</v>
      </c>
      <c r="N1506">
        <v>1</v>
      </c>
      <c r="O1506">
        <v>269.01</v>
      </c>
      <c r="P1506" s="1">
        <v>45600.340208333335</v>
      </c>
      <c r="Q1506">
        <v>16</v>
      </c>
      <c r="R1506" t="s">
        <v>141</v>
      </c>
      <c r="S1506">
        <v>-0.93977498969510898</v>
      </c>
      <c r="T1506" t="b">
        <v>0</v>
      </c>
      <c r="U1506" t="b">
        <v>0</v>
      </c>
      <c r="V1506" t="b">
        <f t="shared" si="46"/>
        <v>1</v>
      </c>
      <c r="W1506">
        <v>0</v>
      </c>
      <c r="Y1506">
        <f t="shared" si="47"/>
        <v>0</v>
      </c>
    </row>
    <row r="1507" spans="1:25" x14ac:dyDescent="0.3">
      <c r="A1507" t="s">
        <v>3310</v>
      </c>
      <c r="B1507" t="s">
        <v>905</v>
      </c>
      <c r="C1507">
        <v>160.52000000000001</v>
      </c>
      <c r="D1507" s="1">
        <v>45145.677141203705</v>
      </c>
      <c r="E1507" t="s">
        <v>57</v>
      </c>
      <c r="F1507" t="s">
        <v>405</v>
      </c>
      <c r="G1507" t="s">
        <v>3311</v>
      </c>
      <c r="H1507" t="s">
        <v>588</v>
      </c>
      <c r="I1507" t="s">
        <v>652</v>
      </c>
      <c r="J1507" t="s">
        <v>30</v>
      </c>
      <c r="K1507">
        <v>78</v>
      </c>
      <c r="L1507" t="s">
        <v>82</v>
      </c>
      <c r="M1507">
        <v>112</v>
      </c>
      <c r="N1507">
        <v>1</v>
      </c>
      <c r="O1507">
        <v>5379.25</v>
      </c>
      <c r="P1507" s="1">
        <v>45600.338877314818</v>
      </c>
      <c r="Q1507">
        <v>16</v>
      </c>
      <c r="R1507" t="s">
        <v>47</v>
      </c>
      <c r="S1507">
        <v>-0.46951718329421299</v>
      </c>
      <c r="T1507" t="b">
        <v>0</v>
      </c>
      <c r="U1507" t="b">
        <v>0</v>
      </c>
      <c r="V1507" t="b">
        <f t="shared" si="46"/>
        <v>1</v>
      </c>
      <c r="W1507">
        <v>0</v>
      </c>
      <c r="Y1507">
        <f t="shared" si="47"/>
        <v>0</v>
      </c>
    </row>
    <row r="1508" spans="1:25" x14ac:dyDescent="0.3">
      <c r="A1508" t="s">
        <v>3312</v>
      </c>
      <c r="B1508" t="s">
        <v>412</v>
      </c>
      <c r="C1508">
        <v>278.88</v>
      </c>
      <c r="D1508" s="1">
        <v>45198.703634259262</v>
      </c>
      <c r="E1508" t="s">
        <v>25</v>
      </c>
      <c r="F1508" t="s">
        <v>304</v>
      </c>
      <c r="G1508" t="s">
        <v>1774</v>
      </c>
      <c r="H1508" t="s">
        <v>2366</v>
      </c>
      <c r="I1508" t="s">
        <v>366</v>
      </c>
      <c r="J1508" t="s">
        <v>81</v>
      </c>
      <c r="K1508">
        <v>64</v>
      </c>
      <c r="L1508" t="s">
        <v>31</v>
      </c>
      <c r="M1508">
        <v>179</v>
      </c>
      <c r="N1508">
        <v>2</v>
      </c>
      <c r="O1508">
        <v>1334.09</v>
      </c>
      <c r="P1508" s="1">
        <v>45600.340092592596</v>
      </c>
      <c r="Q1508">
        <v>16</v>
      </c>
      <c r="R1508" t="s">
        <v>54</v>
      </c>
      <c r="S1508">
        <v>-6.4100081060912098E-2</v>
      </c>
      <c r="T1508" t="b">
        <v>0</v>
      </c>
      <c r="U1508" t="b">
        <v>1</v>
      </c>
      <c r="V1508" t="b">
        <f t="shared" si="46"/>
        <v>1</v>
      </c>
      <c r="W1508">
        <v>1</v>
      </c>
      <c r="Y1508">
        <f t="shared" si="47"/>
        <v>0</v>
      </c>
    </row>
    <row r="1509" spans="1:25" x14ac:dyDescent="0.3">
      <c r="A1509" t="s">
        <v>3313</v>
      </c>
      <c r="B1509" t="s">
        <v>323</v>
      </c>
      <c r="C1509">
        <v>285.49</v>
      </c>
      <c r="D1509" s="1">
        <v>45149.779282407406</v>
      </c>
      <c r="E1509" t="s">
        <v>57</v>
      </c>
      <c r="F1509" t="s">
        <v>262</v>
      </c>
      <c r="G1509" t="s">
        <v>2042</v>
      </c>
      <c r="H1509" t="s">
        <v>2281</v>
      </c>
      <c r="I1509" t="s">
        <v>371</v>
      </c>
      <c r="J1509" t="s">
        <v>81</v>
      </c>
      <c r="K1509">
        <v>53</v>
      </c>
      <c r="L1509" t="s">
        <v>31</v>
      </c>
      <c r="M1509">
        <v>109</v>
      </c>
      <c r="N1509">
        <v>1</v>
      </c>
      <c r="O1509">
        <v>6366.84</v>
      </c>
      <c r="P1509" s="1">
        <v>45600.341828703706</v>
      </c>
      <c r="Q1509">
        <v>18</v>
      </c>
      <c r="R1509" t="s">
        <v>54</v>
      </c>
      <c r="S1509">
        <v>-4.1458926568160102E-2</v>
      </c>
      <c r="T1509" t="b">
        <v>0</v>
      </c>
      <c r="U1509" t="b">
        <v>0</v>
      </c>
      <c r="V1509" t="b">
        <f t="shared" si="46"/>
        <v>1</v>
      </c>
      <c r="W1509">
        <v>0</v>
      </c>
      <c r="Y1509">
        <f t="shared" si="47"/>
        <v>0</v>
      </c>
    </row>
    <row r="1510" spans="1:25" x14ac:dyDescent="0.3">
      <c r="A1510" t="s">
        <v>3314</v>
      </c>
      <c r="B1510" t="s">
        <v>3315</v>
      </c>
      <c r="C1510">
        <v>71.87</v>
      </c>
      <c r="D1510" s="1">
        <v>44942.752106481479</v>
      </c>
      <c r="E1510" t="s">
        <v>25</v>
      </c>
      <c r="F1510" t="s">
        <v>92</v>
      </c>
      <c r="G1510" t="s">
        <v>148</v>
      </c>
      <c r="H1510" t="s">
        <v>2643</v>
      </c>
      <c r="I1510" t="s">
        <v>112</v>
      </c>
      <c r="J1510" t="s">
        <v>30</v>
      </c>
      <c r="K1510">
        <v>22</v>
      </c>
      <c r="L1510" t="s">
        <v>46</v>
      </c>
      <c r="M1510">
        <v>258</v>
      </c>
      <c r="N1510">
        <v>1</v>
      </c>
      <c r="O1510">
        <v>1839.1</v>
      </c>
      <c r="P1510" s="1">
        <v>45600.341747685183</v>
      </c>
      <c r="Q1510">
        <v>18</v>
      </c>
      <c r="R1510" t="s">
        <v>47</v>
      </c>
      <c r="S1510">
        <v>-0.77316897539443497</v>
      </c>
      <c r="T1510" t="b">
        <v>0</v>
      </c>
      <c r="U1510" t="b">
        <v>0</v>
      </c>
      <c r="V1510" t="b">
        <f t="shared" si="46"/>
        <v>1</v>
      </c>
      <c r="W1510">
        <v>0</v>
      </c>
      <c r="Y1510">
        <f t="shared" si="47"/>
        <v>0</v>
      </c>
    </row>
    <row r="1511" spans="1:25" x14ac:dyDescent="0.3">
      <c r="A1511" t="s">
        <v>3316</v>
      </c>
      <c r="B1511" t="s">
        <v>1723</v>
      </c>
      <c r="C1511">
        <v>308.8</v>
      </c>
      <c r="D1511" s="1">
        <v>45286.672812500001</v>
      </c>
      <c r="E1511" t="s">
        <v>25</v>
      </c>
      <c r="F1511" t="s">
        <v>210</v>
      </c>
      <c r="G1511" t="s">
        <v>583</v>
      </c>
      <c r="H1511" t="s">
        <v>60</v>
      </c>
      <c r="I1511" t="s">
        <v>775</v>
      </c>
      <c r="J1511" t="s">
        <v>30</v>
      </c>
      <c r="K1511">
        <v>53</v>
      </c>
      <c r="L1511" t="s">
        <v>82</v>
      </c>
      <c r="M1511">
        <v>41</v>
      </c>
      <c r="N1511">
        <v>1</v>
      </c>
      <c r="O1511">
        <v>3966.54</v>
      </c>
      <c r="P1511" s="1">
        <v>45600.340266203704</v>
      </c>
      <c r="Q1511">
        <v>16</v>
      </c>
      <c r="R1511" t="s">
        <v>32</v>
      </c>
      <c r="S1511">
        <v>3.8384539577989402E-2</v>
      </c>
      <c r="T1511" t="b">
        <v>0</v>
      </c>
      <c r="U1511" t="b">
        <v>0</v>
      </c>
      <c r="V1511" t="b">
        <f t="shared" si="46"/>
        <v>1</v>
      </c>
      <c r="W1511">
        <v>0</v>
      </c>
      <c r="Y1511">
        <f t="shared" si="47"/>
        <v>0</v>
      </c>
    </row>
    <row r="1512" spans="1:25" x14ac:dyDescent="0.3">
      <c r="A1512" t="s">
        <v>3317</v>
      </c>
      <c r="B1512" t="s">
        <v>350</v>
      </c>
      <c r="C1512">
        <v>135.35</v>
      </c>
      <c r="D1512" s="1">
        <v>45135.779756944445</v>
      </c>
      <c r="E1512" t="s">
        <v>25</v>
      </c>
      <c r="F1512" t="s">
        <v>35</v>
      </c>
      <c r="G1512" t="s">
        <v>2624</v>
      </c>
      <c r="H1512" t="s">
        <v>1877</v>
      </c>
      <c r="I1512" t="s">
        <v>647</v>
      </c>
      <c r="J1512" t="s">
        <v>81</v>
      </c>
      <c r="K1512">
        <v>33</v>
      </c>
      <c r="L1512" t="s">
        <v>89</v>
      </c>
      <c r="M1512">
        <v>82</v>
      </c>
      <c r="N1512">
        <v>1</v>
      </c>
      <c r="O1512">
        <v>9983.36</v>
      </c>
      <c r="P1512" s="1">
        <v>45600.338472222225</v>
      </c>
      <c r="Q1512">
        <v>18</v>
      </c>
      <c r="R1512" t="s">
        <v>54</v>
      </c>
      <c r="S1512">
        <v>-0.55573168534906503</v>
      </c>
      <c r="T1512" t="b">
        <v>0</v>
      </c>
      <c r="U1512" t="b">
        <v>0</v>
      </c>
      <c r="V1512" t="b">
        <f t="shared" si="46"/>
        <v>1</v>
      </c>
      <c r="W1512">
        <v>0</v>
      </c>
      <c r="Y1512">
        <f t="shared" si="47"/>
        <v>0</v>
      </c>
    </row>
    <row r="1513" spans="1:25" x14ac:dyDescent="0.3">
      <c r="A1513" t="s">
        <v>3318</v>
      </c>
      <c r="B1513" t="s">
        <v>981</v>
      </c>
      <c r="C1513">
        <v>288.43</v>
      </c>
      <c r="D1513" s="1">
        <v>45054.692974537036</v>
      </c>
      <c r="E1513" t="s">
        <v>25</v>
      </c>
      <c r="F1513" t="s">
        <v>438</v>
      </c>
      <c r="G1513" t="s">
        <v>1063</v>
      </c>
      <c r="H1513" t="s">
        <v>778</v>
      </c>
      <c r="I1513" t="s">
        <v>339</v>
      </c>
      <c r="J1513" t="s">
        <v>81</v>
      </c>
      <c r="K1513">
        <v>66</v>
      </c>
      <c r="L1513" t="s">
        <v>82</v>
      </c>
      <c r="M1513">
        <v>72</v>
      </c>
      <c r="N1513">
        <v>1</v>
      </c>
      <c r="O1513">
        <v>4577.09</v>
      </c>
      <c r="P1513" s="1">
        <v>45600.339583333334</v>
      </c>
      <c r="Q1513">
        <v>16</v>
      </c>
      <c r="R1513" t="s">
        <v>47</v>
      </c>
      <c r="S1513">
        <v>-3.1388579486663799E-2</v>
      </c>
      <c r="T1513" t="b">
        <v>0</v>
      </c>
      <c r="U1513" t="b">
        <v>0</v>
      </c>
      <c r="V1513" t="b">
        <f t="shared" si="46"/>
        <v>1</v>
      </c>
      <c r="W1513">
        <v>0</v>
      </c>
      <c r="Y1513">
        <f t="shared" si="47"/>
        <v>0</v>
      </c>
    </row>
    <row r="1514" spans="1:25" x14ac:dyDescent="0.3">
      <c r="A1514" t="s">
        <v>3319</v>
      </c>
      <c r="B1514" t="s">
        <v>1002</v>
      </c>
      <c r="C1514">
        <v>147.46</v>
      </c>
      <c r="D1514" s="1">
        <v>45211.707233796296</v>
      </c>
      <c r="E1514" t="s">
        <v>57</v>
      </c>
      <c r="F1514" t="s">
        <v>98</v>
      </c>
      <c r="G1514" t="s">
        <v>27</v>
      </c>
      <c r="H1514" t="s">
        <v>2040</v>
      </c>
      <c r="I1514" t="s">
        <v>371</v>
      </c>
      <c r="J1514" t="s">
        <v>45</v>
      </c>
      <c r="K1514">
        <v>65</v>
      </c>
      <c r="L1514" t="s">
        <v>31</v>
      </c>
      <c r="M1514">
        <v>205</v>
      </c>
      <c r="N1514">
        <v>1</v>
      </c>
      <c r="O1514">
        <v>7458.03</v>
      </c>
      <c r="P1514" s="1">
        <v>45600.341331018521</v>
      </c>
      <c r="Q1514">
        <v>16</v>
      </c>
      <c r="R1514" t="s">
        <v>141</v>
      </c>
      <c r="S1514">
        <v>-0.51425144618004404</v>
      </c>
      <c r="T1514" t="b">
        <v>0</v>
      </c>
      <c r="U1514" t="b">
        <v>0</v>
      </c>
      <c r="V1514" t="b">
        <f t="shared" si="46"/>
        <v>1</v>
      </c>
      <c r="W1514">
        <v>0</v>
      </c>
      <c r="Y1514">
        <f t="shared" si="47"/>
        <v>0</v>
      </c>
    </row>
    <row r="1515" spans="1:25" x14ac:dyDescent="0.3">
      <c r="A1515" t="s">
        <v>3320</v>
      </c>
      <c r="B1515" t="s">
        <v>1995</v>
      </c>
      <c r="C1515">
        <v>214.15</v>
      </c>
      <c r="D1515" s="1">
        <v>45229.713819444441</v>
      </c>
      <c r="E1515" t="s">
        <v>25</v>
      </c>
      <c r="F1515" t="s">
        <v>85</v>
      </c>
      <c r="G1515" t="s">
        <v>915</v>
      </c>
      <c r="H1515" t="s">
        <v>2718</v>
      </c>
      <c r="I1515" t="s">
        <v>344</v>
      </c>
      <c r="J1515" t="s">
        <v>81</v>
      </c>
      <c r="K1515">
        <v>32</v>
      </c>
      <c r="L1515" t="s">
        <v>89</v>
      </c>
      <c r="M1515">
        <v>217</v>
      </c>
      <c r="N1515">
        <v>1</v>
      </c>
      <c r="O1515">
        <v>6397.29</v>
      </c>
      <c r="P1515" s="1">
        <v>45600.340960648151</v>
      </c>
      <c r="Q1515">
        <v>17</v>
      </c>
      <c r="R1515" t="s">
        <v>47</v>
      </c>
      <c r="S1515">
        <v>-0.28581898125997901</v>
      </c>
      <c r="T1515" t="b">
        <v>0</v>
      </c>
      <c r="U1515" t="b">
        <v>0</v>
      </c>
      <c r="V1515" t="b">
        <f t="shared" si="46"/>
        <v>1</v>
      </c>
      <c r="W1515">
        <v>0</v>
      </c>
      <c r="Y1515">
        <f t="shared" si="47"/>
        <v>0</v>
      </c>
    </row>
    <row r="1516" spans="1:25" x14ac:dyDescent="0.3">
      <c r="A1516" t="s">
        <v>3321</v>
      </c>
      <c r="B1516" t="s">
        <v>661</v>
      </c>
      <c r="C1516">
        <v>71.34</v>
      </c>
      <c r="D1516" s="1">
        <v>45166.666666666664</v>
      </c>
      <c r="E1516" t="s">
        <v>25</v>
      </c>
      <c r="F1516" t="s">
        <v>185</v>
      </c>
      <c r="G1516" t="s">
        <v>583</v>
      </c>
      <c r="H1516" t="s">
        <v>1608</v>
      </c>
      <c r="I1516" t="s">
        <v>1050</v>
      </c>
      <c r="J1516" t="s">
        <v>45</v>
      </c>
      <c r="K1516">
        <v>49</v>
      </c>
      <c r="L1516" t="s">
        <v>89</v>
      </c>
      <c r="M1516">
        <v>144</v>
      </c>
      <c r="N1516">
        <v>3</v>
      </c>
      <c r="O1516">
        <v>6345.03</v>
      </c>
      <c r="P1516" s="1">
        <v>45600.340081018519</v>
      </c>
      <c r="Q1516">
        <v>16</v>
      </c>
      <c r="R1516" t="s">
        <v>47</v>
      </c>
      <c r="S1516">
        <v>-0.77498437809960197</v>
      </c>
      <c r="T1516" t="b">
        <v>0</v>
      </c>
      <c r="U1516" t="b">
        <v>1</v>
      </c>
      <c r="V1516" t="b">
        <f t="shared" si="46"/>
        <v>1</v>
      </c>
      <c r="W1516">
        <v>1</v>
      </c>
      <c r="Y1516">
        <f t="shared" si="47"/>
        <v>0</v>
      </c>
    </row>
    <row r="1517" spans="1:25" x14ac:dyDescent="0.3">
      <c r="A1517" t="s">
        <v>3322</v>
      </c>
      <c r="B1517" t="s">
        <v>574</v>
      </c>
      <c r="C1517">
        <v>170.36</v>
      </c>
      <c r="D1517" s="1">
        <v>45012.705891203703</v>
      </c>
      <c r="E1517" t="s">
        <v>25</v>
      </c>
      <c r="F1517" t="s">
        <v>77</v>
      </c>
      <c r="G1517" t="s">
        <v>1874</v>
      </c>
      <c r="H1517" t="s">
        <v>166</v>
      </c>
      <c r="I1517" t="s">
        <v>61</v>
      </c>
      <c r="J1517" t="s">
        <v>30</v>
      </c>
      <c r="K1517">
        <v>30</v>
      </c>
      <c r="L1517" t="s">
        <v>31</v>
      </c>
      <c r="M1517">
        <v>118</v>
      </c>
      <c r="N1517">
        <v>1</v>
      </c>
      <c r="O1517">
        <v>6034.73</v>
      </c>
      <c r="P1517" s="1">
        <v>45600.339861111112</v>
      </c>
      <c r="Q1517">
        <v>16</v>
      </c>
      <c r="R1517" t="s">
        <v>47</v>
      </c>
      <c r="S1517">
        <v>-0.43581234816430697</v>
      </c>
      <c r="T1517" t="b">
        <v>0</v>
      </c>
      <c r="U1517" t="b">
        <v>0</v>
      </c>
      <c r="V1517" t="b">
        <f t="shared" si="46"/>
        <v>1</v>
      </c>
      <c r="W1517">
        <v>0</v>
      </c>
      <c r="Y1517">
        <f t="shared" si="47"/>
        <v>0</v>
      </c>
    </row>
    <row r="1518" spans="1:25" x14ac:dyDescent="0.3">
      <c r="A1518" t="s">
        <v>3323</v>
      </c>
      <c r="B1518" t="s">
        <v>1326</v>
      </c>
      <c r="C1518">
        <v>965.66</v>
      </c>
      <c r="D1518" s="1">
        <v>45278.723796296297</v>
      </c>
      <c r="E1518" t="s">
        <v>25</v>
      </c>
      <c r="F1518" t="s">
        <v>50</v>
      </c>
      <c r="G1518" t="s">
        <v>1382</v>
      </c>
      <c r="H1518" t="s">
        <v>329</v>
      </c>
      <c r="I1518" t="s">
        <v>44</v>
      </c>
      <c r="J1518" t="s">
        <v>30</v>
      </c>
      <c r="K1518">
        <v>53</v>
      </c>
      <c r="L1518" t="s">
        <v>89</v>
      </c>
      <c r="M1518">
        <v>32</v>
      </c>
      <c r="N1518">
        <v>1</v>
      </c>
      <c r="O1518">
        <v>765.81</v>
      </c>
      <c r="P1518" s="1">
        <v>45600.339560185188</v>
      </c>
      <c r="Q1518">
        <v>17</v>
      </c>
      <c r="R1518" t="s">
        <v>47</v>
      </c>
      <c r="S1518">
        <v>2.2883192960241399</v>
      </c>
      <c r="T1518" t="b">
        <v>1</v>
      </c>
      <c r="U1518" t="b">
        <v>0</v>
      </c>
      <c r="V1518" t="b">
        <f t="shared" si="46"/>
        <v>1</v>
      </c>
      <c r="W1518">
        <v>1</v>
      </c>
      <c r="Y1518">
        <f t="shared" si="47"/>
        <v>1</v>
      </c>
    </row>
    <row r="1519" spans="1:25" x14ac:dyDescent="0.3">
      <c r="A1519" t="s">
        <v>3324</v>
      </c>
      <c r="B1519" t="s">
        <v>2389</v>
      </c>
      <c r="C1519">
        <v>736.53</v>
      </c>
      <c r="D1519" s="1">
        <v>45056.711898148147</v>
      </c>
      <c r="E1519" t="s">
        <v>25</v>
      </c>
      <c r="F1519" t="s">
        <v>256</v>
      </c>
      <c r="G1519" t="s">
        <v>364</v>
      </c>
      <c r="H1519" t="s">
        <v>771</v>
      </c>
      <c r="I1519" t="s">
        <v>162</v>
      </c>
      <c r="J1519" t="s">
        <v>30</v>
      </c>
      <c r="K1519">
        <v>55</v>
      </c>
      <c r="L1519" t="s">
        <v>89</v>
      </c>
      <c r="M1519">
        <v>120</v>
      </c>
      <c r="N1519">
        <v>1</v>
      </c>
      <c r="O1519">
        <v>9826.26</v>
      </c>
      <c r="P1519" s="1">
        <v>45600.34002314815</v>
      </c>
      <c r="Q1519">
        <v>17</v>
      </c>
      <c r="R1519" t="s">
        <v>74</v>
      </c>
      <c r="S1519">
        <v>1.5034830284107801</v>
      </c>
      <c r="T1519" t="b">
        <v>0</v>
      </c>
      <c r="U1519" t="b">
        <v>0</v>
      </c>
      <c r="V1519" t="b">
        <f t="shared" si="46"/>
        <v>1</v>
      </c>
      <c r="W1519">
        <v>0</v>
      </c>
      <c r="Y1519">
        <f t="shared" si="47"/>
        <v>0</v>
      </c>
    </row>
    <row r="1520" spans="1:25" x14ac:dyDescent="0.3">
      <c r="A1520" t="s">
        <v>3325</v>
      </c>
      <c r="B1520" t="s">
        <v>331</v>
      </c>
      <c r="C1520">
        <v>213.42</v>
      </c>
      <c r="D1520" s="1">
        <v>45134.729328703703</v>
      </c>
      <c r="E1520" t="s">
        <v>25</v>
      </c>
      <c r="F1520" t="s">
        <v>137</v>
      </c>
      <c r="G1520" t="s">
        <v>559</v>
      </c>
      <c r="H1520" t="s">
        <v>218</v>
      </c>
      <c r="I1520" t="s">
        <v>38</v>
      </c>
      <c r="J1520" t="s">
        <v>30</v>
      </c>
      <c r="K1520">
        <v>45</v>
      </c>
      <c r="L1520" t="s">
        <v>89</v>
      </c>
      <c r="M1520">
        <v>17</v>
      </c>
      <c r="N1520">
        <v>1</v>
      </c>
      <c r="O1520">
        <v>3736.38</v>
      </c>
      <c r="P1520" s="1">
        <v>45600.341273148151</v>
      </c>
      <c r="Q1520">
        <v>17</v>
      </c>
      <c r="R1520" t="s">
        <v>141</v>
      </c>
      <c r="S1520">
        <v>-0.28831944158973799</v>
      </c>
      <c r="T1520" t="b">
        <v>0</v>
      </c>
      <c r="U1520" t="b">
        <v>0</v>
      </c>
      <c r="V1520" t="b">
        <f t="shared" si="46"/>
        <v>1</v>
      </c>
      <c r="W1520">
        <v>0</v>
      </c>
      <c r="Y1520">
        <f t="shared" si="47"/>
        <v>0</v>
      </c>
    </row>
    <row r="1521" spans="1:25" x14ac:dyDescent="0.3">
      <c r="A1521" t="s">
        <v>3326</v>
      </c>
      <c r="B1521" t="s">
        <v>1160</v>
      </c>
      <c r="C1521">
        <v>94.09</v>
      </c>
      <c r="D1521" s="1">
        <v>45181.688993055555</v>
      </c>
      <c r="E1521" t="s">
        <v>25</v>
      </c>
      <c r="F1521" t="s">
        <v>185</v>
      </c>
      <c r="G1521" t="s">
        <v>2426</v>
      </c>
      <c r="H1521" t="s">
        <v>1334</v>
      </c>
      <c r="I1521" t="s">
        <v>577</v>
      </c>
      <c r="J1521" t="s">
        <v>81</v>
      </c>
      <c r="K1521">
        <v>27</v>
      </c>
      <c r="L1521" t="s">
        <v>46</v>
      </c>
      <c r="M1521">
        <v>203</v>
      </c>
      <c r="N1521">
        <v>1</v>
      </c>
      <c r="O1521">
        <v>646.85</v>
      </c>
      <c r="P1521" s="1">
        <v>45600.340613425928</v>
      </c>
      <c r="Q1521">
        <v>16</v>
      </c>
      <c r="R1521" t="s">
        <v>32</v>
      </c>
      <c r="S1521">
        <v>-0.69705907330230898</v>
      </c>
      <c r="T1521" t="b">
        <v>0</v>
      </c>
      <c r="U1521" t="b">
        <v>0</v>
      </c>
      <c r="V1521" t="b">
        <f t="shared" si="46"/>
        <v>1</v>
      </c>
      <c r="W1521">
        <v>0</v>
      </c>
      <c r="Y1521">
        <f t="shared" si="47"/>
        <v>0</v>
      </c>
    </row>
    <row r="1522" spans="1:25" x14ac:dyDescent="0.3">
      <c r="A1522" t="s">
        <v>3327</v>
      </c>
      <c r="B1522" t="s">
        <v>2656</v>
      </c>
      <c r="C1522">
        <v>91.23</v>
      </c>
      <c r="D1522" s="1">
        <v>45061.676319444443</v>
      </c>
      <c r="E1522" t="s">
        <v>25</v>
      </c>
      <c r="F1522" t="s">
        <v>401</v>
      </c>
      <c r="G1522" t="s">
        <v>2045</v>
      </c>
      <c r="H1522" t="s">
        <v>828</v>
      </c>
      <c r="I1522" t="s">
        <v>375</v>
      </c>
      <c r="J1522" t="s">
        <v>30</v>
      </c>
      <c r="K1522">
        <v>72</v>
      </c>
      <c r="L1522" t="s">
        <v>82</v>
      </c>
      <c r="M1522">
        <v>86</v>
      </c>
      <c r="N1522">
        <v>1</v>
      </c>
      <c r="O1522">
        <v>6385.12</v>
      </c>
      <c r="P1522" s="1">
        <v>45600.339224537034</v>
      </c>
      <c r="Q1522">
        <v>16</v>
      </c>
      <c r="R1522" t="s">
        <v>47</v>
      </c>
      <c r="S1522">
        <v>-0.70685539733396896</v>
      </c>
      <c r="T1522" t="b">
        <v>0</v>
      </c>
      <c r="U1522" t="b">
        <v>0</v>
      </c>
      <c r="V1522" t="b">
        <f t="shared" si="46"/>
        <v>1</v>
      </c>
      <c r="W1522">
        <v>0</v>
      </c>
      <c r="Y1522">
        <f t="shared" si="47"/>
        <v>0</v>
      </c>
    </row>
    <row r="1523" spans="1:25" x14ac:dyDescent="0.3">
      <c r="A1523" t="s">
        <v>3328</v>
      </c>
      <c r="B1523" t="s">
        <v>2011</v>
      </c>
      <c r="C1523">
        <v>263.92</v>
      </c>
      <c r="D1523" s="1">
        <v>45133.747847222221</v>
      </c>
      <c r="E1523" t="s">
        <v>57</v>
      </c>
      <c r="F1523" t="s">
        <v>26</v>
      </c>
      <c r="G1523" t="s">
        <v>3329</v>
      </c>
      <c r="H1523" t="s">
        <v>828</v>
      </c>
      <c r="I1523" t="s">
        <v>239</v>
      </c>
      <c r="J1523" t="s">
        <v>81</v>
      </c>
      <c r="K1523">
        <v>57</v>
      </c>
      <c r="L1523" t="s">
        <v>82</v>
      </c>
      <c r="M1523">
        <v>233</v>
      </c>
      <c r="N1523">
        <v>1</v>
      </c>
      <c r="O1523">
        <v>4161.71</v>
      </c>
      <c r="P1523" s="1">
        <v>45600.340775462966</v>
      </c>
      <c r="Q1523">
        <v>17</v>
      </c>
      <c r="R1523" t="s">
        <v>74</v>
      </c>
      <c r="S1523">
        <v>-0.11534239138036199</v>
      </c>
      <c r="T1523" t="b">
        <v>0</v>
      </c>
      <c r="U1523" t="b">
        <v>0</v>
      </c>
      <c r="V1523" t="b">
        <f t="shared" si="46"/>
        <v>1</v>
      </c>
      <c r="W1523">
        <v>0</v>
      </c>
      <c r="Y1523">
        <f t="shared" si="47"/>
        <v>0</v>
      </c>
    </row>
    <row r="1524" spans="1:25" x14ac:dyDescent="0.3">
      <c r="A1524" t="s">
        <v>3330</v>
      </c>
      <c r="B1524" t="s">
        <v>784</v>
      </c>
      <c r="C1524">
        <v>77.5</v>
      </c>
      <c r="D1524" s="1">
        <v>45069.697858796295</v>
      </c>
      <c r="E1524" t="s">
        <v>57</v>
      </c>
      <c r="F1524" t="s">
        <v>170</v>
      </c>
      <c r="G1524" t="s">
        <v>3331</v>
      </c>
      <c r="H1524" t="s">
        <v>348</v>
      </c>
      <c r="I1524" t="s">
        <v>898</v>
      </c>
      <c r="J1524" t="s">
        <v>45</v>
      </c>
      <c r="K1524">
        <v>51</v>
      </c>
      <c r="L1524" t="s">
        <v>31</v>
      </c>
      <c r="M1524">
        <v>201</v>
      </c>
      <c r="N1524">
        <v>1</v>
      </c>
      <c r="O1524">
        <v>11079.77</v>
      </c>
      <c r="P1524" s="1">
        <v>45600.339062500003</v>
      </c>
      <c r="Q1524">
        <v>16</v>
      </c>
      <c r="R1524" t="s">
        <v>32</v>
      </c>
      <c r="S1524">
        <v>-0.75388460326218198</v>
      </c>
      <c r="T1524" t="b">
        <v>0</v>
      </c>
      <c r="U1524" t="b">
        <v>0</v>
      </c>
      <c r="V1524" t="b">
        <f t="shared" si="46"/>
        <v>1</v>
      </c>
      <c r="W1524">
        <v>0</v>
      </c>
      <c r="Y1524">
        <f t="shared" si="47"/>
        <v>0</v>
      </c>
    </row>
    <row r="1525" spans="1:25" x14ac:dyDescent="0.3">
      <c r="A1525" t="s">
        <v>3332</v>
      </c>
      <c r="B1525" t="s">
        <v>2656</v>
      </c>
      <c r="C1525">
        <v>3.65</v>
      </c>
      <c r="D1525" s="1">
        <v>44970.742083333331</v>
      </c>
      <c r="E1525" t="s">
        <v>25</v>
      </c>
      <c r="F1525" t="s">
        <v>185</v>
      </c>
      <c r="G1525" t="s">
        <v>747</v>
      </c>
      <c r="H1525" t="s">
        <v>193</v>
      </c>
      <c r="I1525" t="s">
        <v>647</v>
      </c>
      <c r="J1525" t="s">
        <v>45</v>
      </c>
      <c r="K1525">
        <v>69</v>
      </c>
      <c r="L1525" t="s">
        <v>31</v>
      </c>
      <c r="M1525">
        <v>146</v>
      </c>
      <c r="N1525">
        <v>1</v>
      </c>
      <c r="O1525">
        <v>10017.11</v>
      </c>
      <c r="P1525" s="1">
        <v>45600.340983796297</v>
      </c>
      <c r="Q1525">
        <v>17</v>
      </c>
      <c r="R1525" t="s">
        <v>47</v>
      </c>
      <c r="S1525">
        <v>-1.0068421311426199</v>
      </c>
      <c r="T1525" t="b">
        <v>0</v>
      </c>
      <c r="U1525" t="b">
        <v>0</v>
      </c>
      <c r="V1525" t="b">
        <f t="shared" si="46"/>
        <v>1</v>
      </c>
      <c r="W1525">
        <v>0</v>
      </c>
      <c r="Y1525">
        <f t="shared" si="47"/>
        <v>0</v>
      </c>
    </row>
    <row r="1526" spans="1:25" x14ac:dyDescent="0.3">
      <c r="A1526" t="s">
        <v>3333</v>
      </c>
      <c r="B1526" t="s">
        <v>2063</v>
      </c>
      <c r="C1526">
        <v>43.88</v>
      </c>
      <c r="D1526" s="1">
        <v>45243.738622685189</v>
      </c>
      <c r="E1526" t="s">
        <v>57</v>
      </c>
      <c r="F1526" t="s">
        <v>70</v>
      </c>
      <c r="G1526" t="s">
        <v>3334</v>
      </c>
      <c r="H1526" t="s">
        <v>306</v>
      </c>
      <c r="I1526" t="s">
        <v>871</v>
      </c>
      <c r="J1526" t="s">
        <v>45</v>
      </c>
      <c r="K1526">
        <v>26</v>
      </c>
      <c r="L1526" t="s">
        <v>46</v>
      </c>
      <c r="M1526">
        <v>251</v>
      </c>
      <c r="N1526">
        <v>1</v>
      </c>
      <c r="O1526">
        <v>1644.09</v>
      </c>
      <c r="P1526" s="1">
        <v>45600.339131944442</v>
      </c>
      <c r="Q1526">
        <v>17</v>
      </c>
      <c r="R1526" t="s">
        <v>47</v>
      </c>
      <c r="S1526">
        <v>-0.86904278995602702</v>
      </c>
      <c r="T1526" t="b">
        <v>0</v>
      </c>
      <c r="U1526" t="b">
        <v>0</v>
      </c>
      <c r="V1526" t="b">
        <f t="shared" si="46"/>
        <v>1</v>
      </c>
      <c r="W1526">
        <v>0</v>
      </c>
      <c r="Y1526">
        <f t="shared" si="47"/>
        <v>0</v>
      </c>
    </row>
    <row r="1527" spans="1:25" x14ac:dyDescent="0.3">
      <c r="A1527" t="s">
        <v>3335</v>
      </c>
      <c r="B1527" t="s">
        <v>480</v>
      </c>
      <c r="C1527">
        <v>591.98</v>
      </c>
      <c r="D1527" s="1">
        <v>45044.689004629632</v>
      </c>
      <c r="E1527" t="s">
        <v>25</v>
      </c>
      <c r="F1527" t="s">
        <v>519</v>
      </c>
      <c r="G1527" t="s">
        <v>1872</v>
      </c>
      <c r="H1527" t="s">
        <v>355</v>
      </c>
      <c r="I1527" t="s">
        <v>866</v>
      </c>
      <c r="J1527" t="s">
        <v>30</v>
      </c>
      <c r="K1527">
        <v>28</v>
      </c>
      <c r="L1527" t="s">
        <v>46</v>
      </c>
      <c r="M1527">
        <v>132</v>
      </c>
      <c r="N1527">
        <v>1</v>
      </c>
      <c r="O1527">
        <v>387.65</v>
      </c>
      <c r="P1527" s="1">
        <v>45600.338703703703</v>
      </c>
      <c r="Q1527">
        <v>16</v>
      </c>
      <c r="R1527" t="s">
        <v>54</v>
      </c>
      <c r="S1527">
        <v>1.0083576302372099</v>
      </c>
      <c r="T1527" t="b">
        <v>0</v>
      </c>
      <c r="U1527" t="b">
        <v>0</v>
      </c>
      <c r="V1527" t="b">
        <f t="shared" si="46"/>
        <v>1</v>
      </c>
      <c r="W1527">
        <v>0</v>
      </c>
      <c r="Y1527">
        <f t="shared" si="47"/>
        <v>0</v>
      </c>
    </row>
    <row r="1528" spans="1:25" x14ac:dyDescent="0.3">
      <c r="A1528" t="s">
        <v>3336</v>
      </c>
      <c r="B1528" t="s">
        <v>1819</v>
      </c>
      <c r="C1528">
        <v>224.79</v>
      </c>
      <c r="D1528" s="1">
        <v>45160.690671296295</v>
      </c>
      <c r="E1528" t="s">
        <v>25</v>
      </c>
      <c r="F1528" t="s">
        <v>401</v>
      </c>
      <c r="G1528" t="s">
        <v>827</v>
      </c>
      <c r="H1528" t="s">
        <v>3337</v>
      </c>
      <c r="I1528" t="s">
        <v>383</v>
      </c>
      <c r="J1528" t="s">
        <v>45</v>
      </c>
      <c r="K1528">
        <v>18</v>
      </c>
      <c r="L1528" t="s">
        <v>46</v>
      </c>
      <c r="M1528">
        <v>129</v>
      </c>
      <c r="N1528">
        <v>1</v>
      </c>
      <c r="O1528">
        <v>528.38</v>
      </c>
      <c r="P1528" s="1">
        <v>45600.340567129628</v>
      </c>
      <c r="Q1528">
        <v>16</v>
      </c>
      <c r="R1528" t="s">
        <v>32</v>
      </c>
      <c r="S1528">
        <v>-0.24937391563170699</v>
      </c>
      <c r="T1528" t="b">
        <v>0</v>
      </c>
      <c r="U1528" t="b">
        <v>0</v>
      </c>
      <c r="V1528" t="b">
        <f t="shared" si="46"/>
        <v>1</v>
      </c>
      <c r="W1528">
        <v>0</v>
      </c>
      <c r="Y1528">
        <f t="shared" si="47"/>
        <v>0</v>
      </c>
    </row>
    <row r="1529" spans="1:25" x14ac:dyDescent="0.3">
      <c r="A1529" t="s">
        <v>3338</v>
      </c>
      <c r="B1529" t="s">
        <v>2477</v>
      </c>
      <c r="C1529">
        <v>64.3</v>
      </c>
      <c r="D1529" s="1">
        <v>45173.733796296299</v>
      </c>
      <c r="E1529" t="s">
        <v>25</v>
      </c>
      <c r="F1529" t="s">
        <v>120</v>
      </c>
      <c r="G1529" t="s">
        <v>1186</v>
      </c>
      <c r="H1529" t="s">
        <v>1490</v>
      </c>
      <c r="I1529" t="s">
        <v>29</v>
      </c>
      <c r="J1529" t="s">
        <v>30</v>
      </c>
      <c r="K1529">
        <v>55</v>
      </c>
      <c r="L1529" t="s">
        <v>82</v>
      </c>
      <c r="M1529">
        <v>67</v>
      </c>
      <c r="N1529">
        <v>1</v>
      </c>
      <c r="O1529">
        <v>7530.3</v>
      </c>
      <c r="P1529" s="1">
        <v>45600.341643518521</v>
      </c>
      <c r="Q1529">
        <v>17</v>
      </c>
      <c r="R1529" t="s">
        <v>47</v>
      </c>
      <c r="S1529">
        <v>-0.79909840648522601</v>
      </c>
      <c r="T1529" t="b">
        <v>0</v>
      </c>
      <c r="U1529" t="b">
        <v>0</v>
      </c>
      <c r="V1529" t="b">
        <f t="shared" si="46"/>
        <v>1</v>
      </c>
      <c r="W1529">
        <v>0</v>
      </c>
      <c r="Y1529">
        <f t="shared" si="47"/>
        <v>0</v>
      </c>
    </row>
    <row r="1530" spans="1:25" x14ac:dyDescent="0.3">
      <c r="A1530" t="s">
        <v>3339</v>
      </c>
      <c r="B1530" t="s">
        <v>103</v>
      </c>
      <c r="C1530">
        <v>111.79</v>
      </c>
      <c r="D1530" s="1">
        <v>45286.736377314817</v>
      </c>
      <c r="E1530" t="s">
        <v>25</v>
      </c>
      <c r="F1530" t="s">
        <v>405</v>
      </c>
      <c r="G1530" t="s">
        <v>144</v>
      </c>
      <c r="H1530" t="s">
        <v>800</v>
      </c>
      <c r="I1530" t="s">
        <v>695</v>
      </c>
      <c r="J1530" t="s">
        <v>45</v>
      </c>
      <c r="K1530">
        <v>62</v>
      </c>
      <c r="L1530" t="s">
        <v>31</v>
      </c>
      <c r="M1530">
        <v>49</v>
      </c>
      <c r="N1530">
        <v>1</v>
      </c>
      <c r="O1530">
        <v>10887.59</v>
      </c>
      <c r="P1530" s="1">
        <v>45600.341365740744</v>
      </c>
      <c r="Q1530">
        <v>17</v>
      </c>
      <c r="R1530" t="s">
        <v>32</v>
      </c>
      <c r="S1530">
        <v>-0.63643147352595397</v>
      </c>
      <c r="T1530" t="b">
        <v>0</v>
      </c>
      <c r="U1530" t="b">
        <v>0</v>
      </c>
      <c r="V1530" t="b">
        <f t="shared" si="46"/>
        <v>1</v>
      </c>
      <c r="W1530">
        <v>0</v>
      </c>
      <c r="Y1530">
        <f t="shared" si="47"/>
        <v>0</v>
      </c>
    </row>
    <row r="1531" spans="1:25" x14ac:dyDescent="0.3">
      <c r="A1531" t="s">
        <v>3340</v>
      </c>
      <c r="B1531" t="s">
        <v>3052</v>
      </c>
      <c r="C1531">
        <v>927.16</v>
      </c>
      <c r="D1531" s="1">
        <v>45005.7</v>
      </c>
      <c r="E1531" t="s">
        <v>25</v>
      </c>
      <c r="F1531" t="s">
        <v>225</v>
      </c>
      <c r="G1531" t="s">
        <v>1071</v>
      </c>
      <c r="H1531" t="s">
        <v>1616</v>
      </c>
      <c r="I1531" t="s">
        <v>772</v>
      </c>
      <c r="J1531" t="s">
        <v>30</v>
      </c>
      <c r="K1531">
        <v>59</v>
      </c>
      <c r="L1531" t="s">
        <v>82</v>
      </c>
      <c r="M1531">
        <v>153</v>
      </c>
      <c r="N1531">
        <v>1</v>
      </c>
      <c r="O1531">
        <v>7104.61</v>
      </c>
      <c r="P1531" s="1">
        <v>45600.340509259258</v>
      </c>
      <c r="Q1531">
        <v>16</v>
      </c>
      <c r="R1531" t="s">
        <v>47</v>
      </c>
      <c r="S1531">
        <v>2.15644570329026</v>
      </c>
      <c r="T1531" t="b">
        <v>1</v>
      </c>
      <c r="U1531" t="b">
        <v>0</v>
      </c>
      <c r="V1531" t="b">
        <f t="shared" si="46"/>
        <v>1</v>
      </c>
      <c r="W1531">
        <v>1</v>
      </c>
      <c r="Y1531">
        <f t="shared" si="47"/>
        <v>1</v>
      </c>
    </row>
    <row r="1532" spans="1:25" x14ac:dyDescent="0.3">
      <c r="A1532" t="s">
        <v>3341</v>
      </c>
      <c r="B1532" t="s">
        <v>1574</v>
      </c>
      <c r="C1532">
        <v>613.70000000000005</v>
      </c>
      <c r="D1532" s="1">
        <v>44979.731898148151</v>
      </c>
      <c r="E1532" t="s">
        <v>57</v>
      </c>
      <c r="F1532" t="s">
        <v>170</v>
      </c>
      <c r="G1532" t="s">
        <v>1535</v>
      </c>
      <c r="H1532" t="s">
        <v>2994</v>
      </c>
      <c r="I1532" t="s">
        <v>301</v>
      </c>
      <c r="J1532" t="s">
        <v>81</v>
      </c>
      <c r="K1532">
        <v>61</v>
      </c>
      <c r="L1532" t="s">
        <v>82</v>
      </c>
      <c r="M1532">
        <v>37</v>
      </c>
      <c r="N1532">
        <v>1</v>
      </c>
      <c r="O1532">
        <v>7307.11</v>
      </c>
      <c r="P1532" s="1">
        <v>45600.340891203705</v>
      </c>
      <c r="Q1532">
        <v>17</v>
      </c>
      <c r="R1532" t="s">
        <v>74</v>
      </c>
      <c r="S1532">
        <v>1.0827548882678599</v>
      </c>
      <c r="T1532" t="b">
        <v>0</v>
      </c>
      <c r="U1532" t="b">
        <v>0</v>
      </c>
      <c r="V1532" t="b">
        <f t="shared" si="46"/>
        <v>1</v>
      </c>
      <c r="W1532">
        <v>0</v>
      </c>
      <c r="Y1532">
        <f t="shared" si="47"/>
        <v>0</v>
      </c>
    </row>
    <row r="1533" spans="1:25" x14ac:dyDescent="0.3">
      <c r="A1533" t="s">
        <v>3342</v>
      </c>
      <c r="B1533" t="s">
        <v>2110</v>
      </c>
      <c r="C1533">
        <v>26.07</v>
      </c>
      <c r="D1533" s="1">
        <v>45001.708668981482</v>
      </c>
      <c r="E1533" t="s">
        <v>25</v>
      </c>
      <c r="F1533" t="s">
        <v>210</v>
      </c>
      <c r="G1533" t="s">
        <v>2688</v>
      </c>
      <c r="H1533" t="s">
        <v>315</v>
      </c>
      <c r="I1533" t="s">
        <v>898</v>
      </c>
      <c r="J1533" t="s">
        <v>81</v>
      </c>
      <c r="K1533">
        <v>20</v>
      </c>
      <c r="L1533" t="s">
        <v>46</v>
      </c>
      <c r="M1533">
        <v>19</v>
      </c>
      <c r="N1533">
        <v>3</v>
      </c>
      <c r="O1533">
        <v>349.98</v>
      </c>
      <c r="P1533" s="1">
        <v>45600.340462962966</v>
      </c>
      <c r="Q1533">
        <v>17</v>
      </c>
      <c r="R1533" t="s">
        <v>141</v>
      </c>
      <c r="S1533">
        <v>-0.93004717142590798</v>
      </c>
      <c r="T1533" t="b">
        <v>0</v>
      </c>
      <c r="U1533" t="b">
        <v>1</v>
      </c>
      <c r="V1533" t="b">
        <f t="shared" si="46"/>
        <v>1</v>
      </c>
      <c r="W1533">
        <v>1</v>
      </c>
      <c r="Y1533">
        <f t="shared" si="47"/>
        <v>0</v>
      </c>
    </row>
    <row r="1534" spans="1:25" x14ac:dyDescent="0.3">
      <c r="A1534" t="s">
        <v>3343</v>
      </c>
      <c r="B1534" t="s">
        <v>1625</v>
      </c>
      <c r="C1534">
        <v>170.45</v>
      </c>
      <c r="D1534" s="1">
        <v>44931.706122685187</v>
      </c>
      <c r="E1534" t="s">
        <v>25</v>
      </c>
      <c r="F1534" t="s">
        <v>225</v>
      </c>
      <c r="G1534" t="s">
        <v>1872</v>
      </c>
      <c r="H1534" t="s">
        <v>1111</v>
      </c>
      <c r="I1534" t="s">
        <v>620</v>
      </c>
      <c r="J1534" t="s">
        <v>81</v>
      </c>
      <c r="K1534">
        <v>60</v>
      </c>
      <c r="L1534" t="s">
        <v>89</v>
      </c>
      <c r="M1534">
        <v>199</v>
      </c>
      <c r="N1534">
        <v>1</v>
      </c>
      <c r="O1534">
        <v>2284.41</v>
      </c>
      <c r="P1534" s="1">
        <v>45600.339780092596</v>
      </c>
      <c r="Q1534">
        <v>16</v>
      </c>
      <c r="R1534" t="s">
        <v>141</v>
      </c>
      <c r="S1534">
        <v>-0.435504072233241</v>
      </c>
      <c r="T1534" t="b">
        <v>0</v>
      </c>
      <c r="U1534" t="b">
        <v>0</v>
      </c>
      <c r="V1534" t="b">
        <f t="shared" si="46"/>
        <v>1</v>
      </c>
      <c r="W1534">
        <v>0</v>
      </c>
      <c r="Y1534">
        <f t="shared" si="47"/>
        <v>0</v>
      </c>
    </row>
    <row r="1535" spans="1:25" x14ac:dyDescent="0.3">
      <c r="A1535" t="s">
        <v>3344</v>
      </c>
      <c r="B1535" t="s">
        <v>3345</v>
      </c>
      <c r="C1535">
        <v>344.27</v>
      </c>
      <c r="D1535" s="1">
        <v>45188.72446759259</v>
      </c>
      <c r="E1535" t="s">
        <v>25</v>
      </c>
      <c r="F1535" t="s">
        <v>250</v>
      </c>
      <c r="G1535" t="s">
        <v>1958</v>
      </c>
      <c r="H1535" t="s">
        <v>2327</v>
      </c>
      <c r="I1535" t="s">
        <v>1013</v>
      </c>
      <c r="J1535" t="s">
        <v>81</v>
      </c>
      <c r="K1535">
        <v>22</v>
      </c>
      <c r="L1535" t="s">
        <v>46</v>
      </c>
      <c r="M1535">
        <v>123</v>
      </c>
      <c r="N1535">
        <v>1</v>
      </c>
      <c r="O1535">
        <v>1918.36</v>
      </c>
      <c r="P1535" s="1">
        <v>45600.340011574073</v>
      </c>
      <c r="Q1535">
        <v>17</v>
      </c>
      <c r="R1535" t="s">
        <v>32</v>
      </c>
      <c r="S1535">
        <v>0.159879509299307</v>
      </c>
      <c r="T1535" t="b">
        <v>0</v>
      </c>
      <c r="U1535" t="b">
        <v>0</v>
      </c>
      <c r="V1535" t="b">
        <f t="shared" si="46"/>
        <v>1</v>
      </c>
      <c r="W1535">
        <v>0</v>
      </c>
      <c r="Y1535">
        <f t="shared" si="47"/>
        <v>0</v>
      </c>
    </row>
    <row r="1536" spans="1:25" x14ac:dyDescent="0.3">
      <c r="A1536" t="s">
        <v>3346</v>
      </c>
      <c r="B1536" t="s">
        <v>1582</v>
      </c>
      <c r="C1536">
        <v>872.72</v>
      </c>
      <c r="D1536" s="1">
        <v>45040.699502314812</v>
      </c>
      <c r="E1536" t="s">
        <v>25</v>
      </c>
      <c r="F1536" t="s">
        <v>466</v>
      </c>
      <c r="G1536" t="s">
        <v>1910</v>
      </c>
      <c r="H1536" t="s">
        <v>3347</v>
      </c>
      <c r="I1536" t="s">
        <v>463</v>
      </c>
      <c r="J1536" t="s">
        <v>45</v>
      </c>
      <c r="K1536">
        <v>22</v>
      </c>
      <c r="L1536" t="s">
        <v>46</v>
      </c>
      <c r="M1536">
        <v>288</v>
      </c>
      <c r="N1536">
        <v>1</v>
      </c>
      <c r="O1536">
        <v>503.01</v>
      </c>
      <c r="P1536" s="1">
        <v>45600.340844907405</v>
      </c>
      <c r="Q1536">
        <v>16</v>
      </c>
      <c r="R1536" t="s">
        <v>47</v>
      </c>
      <c r="S1536">
        <v>1.9699730178764301</v>
      </c>
      <c r="T1536" t="b">
        <v>0</v>
      </c>
      <c r="U1536" t="b">
        <v>0</v>
      </c>
      <c r="V1536" t="b">
        <f t="shared" si="46"/>
        <v>1</v>
      </c>
      <c r="W1536">
        <v>0</v>
      </c>
      <c r="Y1536">
        <f t="shared" si="47"/>
        <v>0</v>
      </c>
    </row>
    <row r="1537" spans="1:25" x14ac:dyDescent="0.3">
      <c r="A1537" t="s">
        <v>3348</v>
      </c>
      <c r="B1537" t="s">
        <v>255</v>
      </c>
      <c r="C1537">
        <v>292.95</v>
      </c>
      <c r="D1537" s="1">
        <v>44973.682766203703</v>
      </c>
      <c r="E1537" t="s">
        <v>25</v>
      </c>
      <c r="F1537" t="s">
        <v>104</v>
      </c>
      <c r="G1537" t="s">
        <v>743</v>
      </c>
      <c r="H1537" t="s">
        <v>128</v>
      </c>
      <c r="I1537" t="s">
        <v>301</v>
      </c>
      <c r="J1537" t="s">
        <v>81</v>
      </c>
      <c r="K1537">
        <v>37</v>
      </c>
      <c r="L1537" t="s">
        <v>89</v>
      </c>
      <c r="M1537">
        <v>56</v>
      </c>
      <c r="N1537">
        <v>1</v>
      </c>
      <c r="O1537">
        <v>1216.9100000000001</v>
      </c>
      <c r="P1537" s="1">
        <v>45600.341122685182</v>
      </c>
      <c r="Q1537">
        <v>16</v>
      </c>
      <c r="R1537" t="s">
        <v>141</v>
      </c>
      <c r="S1537">
        <v>-1.59062771708939E-2</v>
      </c>
      <c r="T1537" t="b">
        <v>0</v>
      </c>
      <c r="U1537" t="b">
        <v>0</v>
      </c>
      <c r="V1537" t="b">
        <f t="shared" si="46"/>
        <v>1</v>
      </c>
      <c r="W1537">
        <v>0</v>
      </c>
      <c r="Y1537">
        <f t="shared" si="47"/>
        <v>0</v>
      </c>
    </row>
    <row r="1538" spans="1:25" x14ac:dyDescent="0.3">
      <c r="A1538" t="s">
        <v>3349</v>
      </c>
      <c r="B1538" t="s">
        <v>205</v>
      </c>
      <c r="C1538">
        <v>28.44</v>
      </c>
      <c r="D1538" s="1">
        <v>45169.738634259258</v>
      </c>
      <c r="E1538" t="s">
        <v>25</v>
      </c>
      <c r="F1538" t="s">
        <v>571</v>
      </c>
      <c r="G1538" t="s">
        <v>2605</v>
      </c>
      <c r="H1538" t="s">
        <v>1228</v>
      </c>
      <c r="I1538" t="s">
        <v>491</v>
      </c>
      <c r="J1538" t="s">
        <v>30</v>
      </c>
      <c r="K1538">
        <v>18</v>
      </c>
      <c r="L1538" t="s">
        <v>46</v>
      </c>
      <c r="M1538">
        <v>243</v>
      </c>
      <c r="N1538">
        <v>1</v>
      </c>
      <c r="O1538">
        <v>1071.04</v>
      </c>
      <c r="P1538" s="1">
        <v>45600.339618055557</v>
      </c>
      <c r="Q1538">
        <v>17</v>
      </c>
      <c r="R1538" t="s">
        <v>141</v>
      </c>
      <c r="S1538">
        <v>-0.92192923857449804</v>
      </c>
      <c r="T1538" t="b">
        <v>0</v>
      </c>
      <c r="U1538" t="b">
        <v>0</v>
      </c>
      <c r="V1538" t="b">
        <f t="shared" si="46"/>
        <v>1</v>
      </c>
      <c r="W1538">
        <v>0</v>
      </c>
      <c r="Y1538">
        <f t="shared" si="47"/>
        <v>0</v>
      </c>
    </row>
    <row r="1539" spans="1:25" x14ac:dyDescent="0.3">
      <c r="A1539" t="s">
        <v>3350</v>
      </c>
      <c r="B1539" t="s">
        <v>2242</v>
      </c>
      <c r="C1539">
        <v>209.02</v>
      </c>
      <c r="D1539" s="1">
        <v>44988.714305555557</v>
      </c>
      <c r="E1539" t="s">
        <v>25</v>
      </c>
      <c r="F1539" t="s">
        <v>519</v>
      </c>
      <c r="G1539" t="s">
        <v>1506</v>
      </c>
      <c r="H1539" t="s">
        <v>1483</v>
      </c>
      <c r="I1539" t="s">
        <v>194</v>
      </c>
      <c r="J1539" t="s">
        <v>30</v>
      </c>
      <c r="K1539">
        <v>21</v>
      </c>
      <c r="L1539" t="s">
        <v>46</v>
      </c>
      <c r="M1539">
        <v>74</v>
      </c>
      <c r="N1539">
        <v>1</v>
      </c>
      <c r="O1539">
        <v>187.9</v>
      </c>
      <c r="P1539" s="1">
        <v>45600.341192129628</v>
      </c>
      <c r="Q1539">
        <v>17</v>
      </c>
      <c r="R1539" t="s">
        <v>54</v>
      </c>
      <c r="S1539">
        <v>-0.30339070933075302</v>
      </c>
      <c r="T1539" t="b">
        <v>0</v>
      </c>
      <c r="U1539" t="b">
        <v>0</v>
      </c>
      <c r="V1539" t="b">
        <f t="shared" ref="V1539:V1602" si="48">ISLOGICAL(T1539)</f>
        <v>1</v>
      </c>
      <c r="W1539">
        <v>0</v>
      </c>
      <c r="Y1539">
        <f t="shared" ref="Y1539:Y1602" si="49">--T1539</f>
        <v>0</v>
      </c>
    </row>
    <row r="1540" spans="1:25" x14ac:dyDescent="0.3">
      <c r="A1540" t="s">
        <v>3351</v>
      </c>
      <c r="B1540" t="s">
        <v>1033</v>
      </c>
      <c r="C1540">
        <v>20.05</v>
      </c>
      <c r="D1540" s="1">
        <v>45259.73878472222</v>
      </c>
      <c r="E1540" t="s">
        <v>25</v>
      </c>
      <c r="F1540" t="s">
        <v>278</v>
      </c>
      <c r="G1540" t="s">
        <v>1579</v>
      </c>
      <c r="H1540" t="s">
        <v>1117</v>
      </c>
      <c r="I1540" t="s">
        <v>775</v>
      </c>
      <c r="J1540" t="s">
        <v>30</v>
      </c>
      <c r="K1540">
        <v>72</v>
      </c>
      <c r="L1540" t="s">
        <v>82</v>
      </c>
      <c r="M1540">
        <v>171</v>
      </c>
      <c r="N1540">
        <v>1</v>
      </c>
      <c r="O1540">
        <v>7145.67</v>
      </c>
      <c r="P1540" s="1">
        <v>45600.338888888888</v>
      </c>
      <c r="Q1540">
        <v>17</v>
      </c>
      <c r="R1540" t="s">
        <v>74</v>
      </c>
      <c r="S1540">
        <v>-0.95066740592611498</v>
      </c>
      <c r="T1540" t="b">
        <v>0</v>
      </c>
      <c r="U1540" t="b">
        <v>0</v>
      </c>
      <c r="V1540" t="b">
        <f t="shared" si="48"/>
        <v>1</v>
      </c>
      <c r="W1540">
        <v>0</v>
      </c>
      <c r="Y1540">
        <f t="shared" si="49"/>
        <v>0</v>
      </c>
    </row>
    <row r="1541" spans="1:25" x14ac:dyDescent="0.3">
      <c r="A1541" t="s">
        <v>3352</v>
      </c>
      <c r="B1541" t="s">
        <v>3105</v>
      </c>
      <c r="C1541">
        <v>175.02</v>
      </c>
      <c r="D1541" s="1">
        <v>45026.683252314811</v>
      </c>
      <c r="E1541" t="s">
        <v>25</v>
      </c>
      <c r="F1541" t="s">
        <v>438</v>
      </c>
      <c r="G1541" t="s">
        <v>1011</v>
      </c>
      <c r="H1541" t="s">
        <v>3353</v>
      </c>
      <c r="I1541" t="s">
        <v>199</v>
      </c>
      <c r="J1541" t="s">
        <v>45</v>
      </c>
      <c r="K1541">
        <v>28</v>
      </c>
      <c r="L1541" t="s">
        <v>46</v>
      </c>
      <c r="M1541">
        <v>71</v>
      </c>
      <c r="N1541">
        <v>1</v>
      </c>
      <c r="O1541">
        <v>1493.88</v>
      </c>
      <c r="P1541" s="1">
        <v>45600.339826388888</v>
      </c>
      <c r="Q1541">
        <v>16</v>
      </c>
      <c r="R1541" t="s">
        <v>47</v>
      </c>
      <c r="S1541">
        <v>-0.41985050551132302</v>
      </c>
      <c r="T1541" t="b">
        <v>0</v>
      </c>
      <c r="U1541" t="b">
        <v>0</v>
      </c>
      <c r="V1541" t="b">
        <f t="shared" si="48"/>
        <v>1</v>
      </c>
      <c r="W1541">
        <v>0</v>
      </c>
      <c r="Y1541">
        <f t="shared" si="49"/>
        <v>0</v>
      </c>
    </row>
    <row r="1542" spans="1:25" x14ac:dyDescent="0.3">
      <c r="A1542" t="s">
        <v>3354</v>
      </c>
      <c r="B1542" t="s">
        <v>1720</v>
      </c>
      <c r="C1542">
        <v>89.5</v>
      </c>
      <c r="D1542" s="1">
        <v>45159.682013888887</v>
      </c>
      <c r="E1542" t="s">
        <v>57</v>
      </c>
      <c r="F1542" t="s">
        <v>120</v>
      </c>
      <c r="G1542" t="s">
        <v>875</v>
      </c>
      <c r="H1542" t="s">
        <v>1832</v>
      </c>
      <c r="I1542" t="s">
        <v>80</v>
      </c>
      <c r="J1542" t="s">
        <v>81</v>
      </c>
      <c r="K1542">
        <v>41</v>
      </c>
      <c r="L1542" t="s">
        <v>89</v>
      </c>
      <c r="M1542">
        <v>134</v>
      </c>
      <c r="N1542">
        <v>1</v>
      </c>
      <c r="O1542">
        <v>8658.9500000000007</v>
      </c>
      <c r="P1542" s="1">
        <v>45600.339594907404</v>
      </c>
      <c r="Q1542">
        <v>16</v>
      </c>
      <c r="R1542" t="s">
        <v>47</v>
      </c>
      <c r="S1542">
        <v>-0.71278114578668605</v>
      </c>
      <c r="T1542" t="b">
        <v>0</v>
      </c>
      <c r="U1542" t="b">
        <v>0</v>
      </c>
      <c r="V1542" t="b">
        <f t="shared" si="48"/>
        <v>1</v>
      </c>
      <c r="W1542">
        <v>0</v>
      </c>
      <c r="Y1542">
        <f t="shared" si="49"/>
        <v>0</v>
      </c>
    </row>
    <row r="1543" spans="1:25" x14ac:dyDescent="0.3">
      <c r="A1543" t="s">
        <v>3355</v>
      </c>
      <c r="B1543" t="s">
        <v>2815</v>
      </c>
      <c r="C1543">
        <v>69.959999999999994</v>
      </c>
      <c r="D1543" s="1">
        <v>45215.738194444442</v>
      </c>
      <c r="E1543" t="s">
        <v>25</v>
      </c>
      <c r="F1543" t="s">
        <v>210</v>
      </c>
      <c r="G1543" t="s">
        <v>288</v>
      </c>
      <c r="H1543" t="s">
        <v>916</v>
      </c>
      <c r="I1543" t="s">
        <v>419</v>
      </c>
      <c r="J1543" t="s">
        <v>81</v>
      </c>
      <c r="K1543">
        <v>28</v>
      </c>
      <c r="L1543" t="s">
        <v>46</v>
      </c>
      <c r="M1543">
        <v>31</v>
      </c>
      <c r="N1543">
        <v>1</v>
      </c>
      <c r="O1543">
        <v>164.12</v>
      </c>
      <c r="P1543" s="1">
        <v>45600.339039351849</v>
      </c>
      <c r="Q1543">
        <v>17</v>
      </c>
      <c r="R1543" t="s">
        <v>47</v>
      </c>
      <c r="S1543">
        <v>-0.779711275709284</v>
      </c>
      <c r="T1543" t="b">
        <v>0</v>
      </c>
      <c r="U1543" t="b">
        <v>0</v>
      </c>
      <c r="V1543" t="b">
        <f t="shared" si="48"/>
        <v>1</v>
      </c>
      <c r="W1543">
        <v>0</v>
      </c>
      <c r="Y1543">
        <f t="shared" si="49"/>
        <v>0</v>
      </c>
    </row>
    <row r="1544" spans="1:25" x14ac:dyDescent="0.3">
      <c r="A1544" t="s">
        <v>3356</v>
      </c>
      <c r="B1544" t="s">
        <v>209</v>
      </c>
      <c r="C1544">
        <v>146.51</v>
      </c>
      <c r="D1544" s="1">
        <v>44951.716863425929</v>
      </c>
      <c r="E1544" t="s">
        <v>25</v>
      </c>
      <c r="F1544" t="s">
        <v>98</v>
      </c>
      <c r="G1544" t="s">
        <v>3357</v>
      </c>
      <c r="H1544" t="s">
        <v>1490</v>
      </c>
      <c r="I1544" t="s">
        <v>361</v>
      </c>
      <c r="J1544" t="s">
        <v>30</v>
      </c>
      <c r="K1544">
        <v>53</v>
      </c>
      <c r="L1544" t="s">
        <v>89</v>
      </c>
      <c r="M1544">
        <v>68</v>
      </c>
      <c r="N1544">
        <v>1</v>
      </c>
      <c r="O1544">
        <v>7089.9</v>
      </c>
      <c r="P1544" s="1">
        <v>45600.340729166666</v>
      </c>
      <c r="Q1544">
        <v>17</v>
      </c>
      <c r="R1544" t="s">
        <v>74</v>
      </c>
      <c r="S1544">
        <v>-0.51750546989685398</v>
      </c>
      <c r="T1544" t="b">
        <v>0</v>
      </c>
      <c r="U1544" t="b">
        <v>0</v>
      </c>
      <c r="V1544" t="b">
        <f t="shared" si="48"/>
        <v>1</v>
      </c>
      <c r="W1544">
        <v>0</v>
      </c>
      <c r="Y1544">
        <f t="shared" si="49"/>
        <v>0</v>
      </c>
    </row>
    <row r="1545" spans="1:25" x14ac:dyDescent="0.3">
      <c r="A1545" t="s">
        <v>3358</v>
      </c>
      <c r="B1545" t="s">
        <v>1127</v>
      </c>
      <c r="C1545">
        <v>376.78</v>
      </c>
      <c r="D1545" s="1">
        <v>45152.725856481484</v>
      </c>
      <c r="E1545" t="s">
        <v>57</v>
      </c>
      <c r="F1545" t="s">
        <v>92</v>
      </c>
      <c r="G1545" t="s">
        <v>1375</v>
      </c>
      <c r="H1545" t="s">
        <v>181</v>
      </c>
      <c r="I1545" t="s">
        <v>898</v>
      </c>
      <c r="J1545" t="s">
        <v>45</v>
      </c>
      <c r="K1545">
        <v>21</v>
      </c>
      <c r="L1545" t="s">
        <v>46</v>
      </c>
      <c r="M1545">
        <v>88</v>
      </c>
      <c r="N1545">
        <v>1</v>
      </c>
      <c r="O1545">
        <v>841.65</v>
      </c>
      <c r="P1545" s="1">
        <v>45600.338761574072</v>
      </c>
      <c r="Q1545">
        <v>17</v>
      </c>
      <c r="R1545" t="s">
        <v>47</v>
      </c>
      <c r="S1545">
        <v>0.27123562617667002</v>
      </c>
      <c r="T1545" t="b">
        <v>0</v>
      </c>
      <c r="U1545" t="b">
        <v>0</v>
      </c>
      <c r="V1545" t="b">
        <f t="shared" si="48"/>
        <v>1</v>
      </c>
      <c r="W1545">
        <v>0</v>
      </c>
      <c r="Y1545">
        <f t="shared" si="49"/>
        <v>0</v>
      </c>
    </row>
    <row r="1546" spans="1:25" x14ac:dyDescent="0.3">
      <c r="A1546" t="s">
        <v>3359</v>
      </c>
      <c r="B1546" t="s">
        <v>235</v>
      </c>
      <c r="C1546">
        <v>148.54</v>
      </c>
      <c r="D1546" s="1">
        <v>45282.684212962966</v>
      </c>
      <c r="E1546" t="s">
        <v>57</v>
      </c>
      <c r="F1546" t="s">
        <v>137</v>
      </c>
      <c r="G1546" t="s">
        <v>1405</v>
      </c>
      <c r="H1546" t="s">
        <v>3360</v>
      </c>
      <c r="I1546" t="s">
        <v>134</v>
      </c>
      <c r="J1546" t="s">
        <v>81</v>
      </c>
      <c r="K1546">
        <v>71</v>
      </c>
      <c r="L1546" t="s">
        <v>82</v>
      </c>
      <c r="M1546">
        <v>107</v>
      </c>
      <c r="N1546">
        <v>1</v>
      </c>
      <c r="O1546">
        <v>5677.05</v>
      </c>
      <c r="P1546" s="1">
        <v>45600.341574074075</v>
      </c>
      <c r="Q1546">
        <v>16</v>
      </c>
      <c r="R1546" t="s">
        <v>54</v>
      </c>
      <c r="S1546">
        <v>-0.51055213500724905</v>
      </c>
      <c r="T1546" t="b">
        <v>0</v>
      </c>
      <c r="U1546" t="b">
        <v>0</v>
      </c>
      <c r="V1546" t="b">
        <f t="shared" si="48"/>
        <v>1</v>
      </c>
      <c r="W1546">
        <v>0</v>
      </c>
      <c r="Y1546">
        <f t="shared" si="49"/>
        <v>0</v>
      </c>
    </row>
    <row r="1547" spans="1:25" x14ac:dyDescent="0.3">
      <c r="A1547" t="s">
        <v>3361</v>
      </c>
      <c r="B1547" t="s">
        <v>677</v>
      </c>
      <c r="C1547">
        <v>388.77</v>
      </c>
      <c r="D1547" s="1">
        <v>45271.706342592595</v>
      </c>
      <c r="E1547" t="s">
        <v>57</v>
      </c>
      <c r="F1547" t="s">
        <v>405</v>
      </c>
      <c r="G1547" t="s">
        <v>859</v>
      </c>
      <c r="H1547" t="s">
        <v>247</v>
      </c>
      <c r="I1547" t="s">
        <v>162</v>
      </c>
      <c r="J1547" t="s">
        <v>45</v>
      </c>
      <c r="K1547">
        <v>26</v>
      </c>
      <c r="L1547" t="s">
        <v>46</v>
      </c>
      <c r="M1547">
        <v>30</v>
      </c>
      <c r="N1547">
        <v>1</v>
      </c>
      <c r="O1547">
        <v>1658.49</v>
      </c>
      <c r="P1547" s="1">
        <v>45600.34103009259</v>
      </c>
      <c r="Q1547">
        <v>16</v>
      </c>
      <c r="R1547" t="s">
        <v>47</v>
      </c>
      <c r="S1547">
        <v>0.31230483077093502</v>
      </c>
      <c r="T1547" t="b">
        <v>0</v>
      </c>
      <c r="U1547" t="b">
        <v>0</v>
      </c>
      <c r="V1547" t="b">
        <f t="shared" si="48"/>
        <v>1</v>
      </c>
      <c r="W1547">
        <v>0</v>
      </c>
      <c r="Y1547">
        <f t="shared" si="49"/>
        <v>0</v>
      </c>
    </row>
    <row r="1548" spans="1:25" x14ac:dyDescent="0.3">
      <c r="A1548" t="s">
        <v>3362</v>
      </c>
      <c r="B1548" t="s">
        <v>2091</v>
      </c>
      <c r="C1548">
        <v>100.38</v>
      </c>
      <c r="D1548" s="1">
        <v>45257.743923611109</v>
      </c>
      <c r="E1548" t="s">
        <v>25</v>
      </c>
      <c r="F1548" t="s">
        <v>70</v>
      </c>
      <c r="G1548" t="s">
        <v>364</v>
      </c>
      <c r="H1548" t="s">
        <v>3363</v>
      </c>
      <c r="I1548" t="s">
        <v>419</v>
      </c>
      <c r="J1548" t="s">
        <v>81</v>
      </c>
      <c r="K1548">
        <v>63</v>
      </c>
      <c r="L1548" t="s">
        <v>31</v>
      </c>
      <c r="M1548">
        <v>49</v>
      </c>
      <c r="N1548">
        <v>1</v>
      </c>
      <c r="O1548">
        <v>10171.68</v>
      </c>
      <c r="P1548" s="1">
        <v>45600.339791666665</v>
      </c>
      <c r="Q1548">
        <v>17</v>
      </c>
      <c r="R1548" t="s">
        <v>47</v>
      </c>
      <c r="S1548">
        <v>-0.67551401100890396</v>
      </c>
      <c r="T1548" t="b">
        <v>0</v>
      </c>
      <c r="U1548" t="b">
        <v>0</v>
      </c>
      <c r="V1548" t="b">
        <f t="shared" si="48"/>
        <v>1</v>
      </c>
      <c r="W1548">
        <v>0</v>
      </c>
      <c r="Y1548">
        <f t="shared" si="49"/>
        <v>0</v>
      </c>
    </row>
    <row r="1549" spans="1:25" x14ac:dyDescent="0.3">
      <c r="A1549" t="s">
        <v>3364</v>
      </c>
      <c r="B1549" t="s">
        <v>1644</v>
      </c>
      <c r="C1549">
        <v>137.22999999999999</v>
      </c>
      <c r="D1549" s="1">
        <v>45023.701643518521</v>
      </c>
      <c r="E1549" t="s">
        <v>25</v>
      </c>
      <c r="F1549" t="s">
        <v>571</v>
      </c>
      <c r="G1549" t="s">
        <v>1052</v>
      </c>
      <c r="H1549" t="s">
        <v>3365</v>
      </c>
      <c r="I1549" t="s">
        <v>833</v>
      </c>
      <c r="J1549" t="s">
        <v>81</v>
      </c>
      <c r="K1549">
        <v>64</v>
      </c>
      <c r="L1549" t="s">
        <v>31</v>
      </c>
      <c r="M1549">
        <v>63</v>
      </c>
      <c r="N1549">
        <v>1</v>
      </c>
      <c r="O1549">
        <v>13847.99</v>
      </c>
      <c r="P1549" s="1">
        <v>45600.339363425926</v>
      </c>
      <c r="Q1549">
        <v>16</v>
      </c>
      <c r="R1549" t="s">
        <v>54</v>
      </c>
      <c r="S1549">
        <v>-0.54929214367790402</v>
      </c>
      <c r="T1549" t="b">
        <v>0</v>
      </c>
      <c r="U1549" t="b">
        <v>0</v>
      </c>
      <c r="V1549" t="b">
        <f t="shared" si="48"/>
        <v>1</v>
      </c>
      <c r="W1549">
        <v>0</v>
      </c>
      <c r="Y1549">
        <f t="shared" si="49"/>
        <v>0</v>
      </c>
    </row>
    <row r="1550" spans="1:25" x14ac:dyDescent="0.3">
      <c r="A1550" t="s">
        <v>3366</v>
      </c>
      <c r="B1550" t="s">
        <v>3367</v>
      </c>
      <c r="C1550">
        <v>870.3</v>
      </c>
      <c r="D1550" s="1">
        <v>45166.747673611113</v>
      </c>
      <c r="E1550" t="s">
        <v>25</v>
      </c>
      <c r="F1550" t="s">
        <v>236</v>
      </c>
      <c r="G1550" t="s">
        <v>3368</v>
      </c>
      <c r="H1550" t="s">
        <v>565</v>
      </c>
      <c r="I1550" t="s">
        <v>375</v>
      </c>
      <c r="J1550" t="s">
        <v>30</v>
      </c>
      <c r="K1550">
        <v>51</v>
      </c>
      <c r="L1550" t="s">
        <v>82</v>
      </c>
      <c r="M1550">
        <v>229</v>
      </c>
      <c r="N1550">
        <v>1</v>
      </c>
      <c r="O1550">
        <v>3688.98</v>
      </c>
      <c r="P1550" s="1">
        <v>45600.339513888888</v>
      </c>
      <c r="Q1550">
        <v>17</v>
      </c>
      <c r="R1550" t="s">
        <v>47</v>
      </c>
      <c r="S1550">
        <v>1.96168382061887</v>
      </c>
      <c r="T1550" t="b">
        <v>0</v>
      </c>
      <c r="U1550" t="b">
        <v>0</v>
      </c>
      <c r="V1550" t="b">
        <f t="shared" si="48"/>
        <v>1</v>
      </c>
      <c r="W1550">
        <v>0</v>
      </c>
      <c r="Y1550">
        <f t="shared" si="49"/>
        <v>0</v>
      </c>
    </row>
    <row r="1551" spans="1:25" x14ac:dyDescent="0.3">
      <c r="A1551" t="s">
        <v>3369</v>
      </c>
      <c r="B1551" t="s">
        <v>624</v>
      </c>
      <c r="C1551">
        <v>458.94</v>
      </c>
      <c r="D1551" s="1">
        <v>45125.754432870373</v>
      </c>
      <c r="E1551" t="s">
        <v>25</v>
      </c>
      <c r="F1551" t="s">
        <v>85</v>
      </c>
      <c r="G1551" t="s">
        <v>2441</v>
      </c>
      <c r="H1551" t="s">
        <v>1702</v>
      </c>
      <c r="I1551" t="s">
        <v>605</v>
      </c>
      <c r="J1551" t="s">
        <v>81</v>
      </c>
      <c r="K1551">
        <v>52</v>
      </c>
      <c r="L1551" t="s">
        <v>89</v>
      </c>
      <c r="M1551">
        <v>180</v>
      </c>
      <c r="N1551">
        <v>1</v>
      </c>
      <c r="O1551">
        <v>5619.95</v>
      </c>
      <c r="P1551" s="1">
        <v>45600.33929398148</v>
      </c>
      <c r="Q1551">
        <v>18</v>
      </c>
      <c r="R1551" t="s">
        <v>32</v>
      </c>
      <c r="S1551">
        <v>0.55265729835889399</v>
      </c>
      <c r="T1551" t="b">
        <v>0</v>
      </c>
      <c r="U1551" t="b">
        <v>0</v>
      </c>
      <c r="V1551" t="b">
        <f t="shared" si="48"/>
        <v>1</v>
      </c>
      <c r="W1551">
        <v>0</v>
      </c>
      <c r="Y1551">
        <f t="shared" si="49"/>
        <v>0</v>
      </c>
    </row>
    <row r="1552" spans="1:25" x14ac:dyDescent="0.3">
      <c r="A1552" t="s">
        <v>3370</v>
      </c>
      <c r="B1552" t="s">
        <v>1150</v>
      </c>
      <c r="C1552">
        <v>327.35000000000002</v>
      </c>
      <c r="D1552" s="1">
        <v>45194.784004629626</v>
      </c>
      <c r="E1552" t="s">
        <v>57</v>
      </c>
      <c r="F1552" t="s">
        <v>104</v>
      </c>
      <c r="G1552" t="s">
        <v>915</v>
      </c>
      <c r="H1552" t="s">
        <v>1975</v>
      </c>
      <c r="I1552" t="s">
        <v>140</v>
      </c>
      <c r="J1552" t="s">
        <v>81</v>
      </c>
      <c r="K1552">
        <v>20</v>
      </c>
      <c r="L1552" t="s">
        <v>46</v>
      </c>
      <c r="M1552">
        <v>175</v>
      </c>
      <c r="N1552">
        <v>1</v>
      </c>
      <c r="O1552">
        <v>342.08</v>
      </c>
      <c r="P1552" s="1">
        <v>45600.341192129628</v>
      </c>
      <c r="Q1552">
        <v>18</v>
      </c>
      <c r="R1552" t="s">
        <v>47</v>
      </c>
      <c r="S1552">
        <v>0.101923634258859</v>
      </c>
      <c r="T1552" t="b">
        <v>0</v>
      </c>
      <c r="U1552" t="b">
        <v>0</v>
      </c>
      <c r="V1552" t="b">
        <f t="shared" si="48"/>
        <v>1</v>
      </c>
      <c r="W1552">
        <v>0</v>
      </c>
      <c r="Y1552">
        <f t="shared" si="49"/>
        <v>0</v>
      </c>
    </row>
    <row r="1553" spans="1:25" x14ac:dyDescent="0.3">
      <c r="A1553" t="s">
        <v>3371</v>
      </c>
      <c r="B1553" t="s">
        <v>480</v>
      </c>
      <c r="C1553">
        <v>757.15</v>
      </c>
      <c r="D1553" s="1">
        <v>44943.703564814816</v>
      </c>
      <c r="E1553" t="s">
        <v>25</v>
      </c>
      <c r="F1553" t="s">
        <v>50</v>
      </c>
      <c r="G1553" t="s">
        <v>2092</v>
      </c>
      <c r="H1553" t="s">
        <v>52</v>
      </c>
      <c r="I1553" t="s">
        <v>687</v>
      </c>
      <c r="J1553" t="s">
        <v>45</v>
      </c>
      <c r="K1553">
        <v>53</v>
      </c>
      <c r="L1553" t="s">
        <v>89</v>
      </c>
      <c r="M1553">
        <v>38</v>
      </c>
      <c r="N1553">
        <v>1</v>
      </c>
      <c r="O1553">
        <v>4702.8599999999997</v>
      </c>
      <c r="P1553" s="1">
        <v>45600.338958333334</v>
      </c>
      <c r="Q1553">
        <v>16</v>
      </c>
      <c r="R1553" t="s">
        <v>32</v>
      </c>
      <c r="S1553">
        <v>1.5741124695061799</v>
      </c>
      <c r="T1553" t="b">
        <v>0</v>
      </c>
      <c r="U1553" t="b">
        <v>0</v>
      </c>
      <c r="V1553" t="b">
        <f t="shared" si="48"/>
        <v>1</v>
      </c>
      <c r="W1553">
        <v>0</v>
      </c>
      <c r="Y1553">
        <f t="shared" si="49"/>
        <v>0</v>
      </c>
    </row>
    <row r="1554" spans="1:25" x14ac:dyDescent="0.3">
      <c r="A1554" t="s">
        <v>3372</v>
      </c>
      <c r="B1554" t="s">
        <v>1728</v>
      </c>
      <c r="C1554">
        <v>5.64</v>
      </c>
      <c r="D1554" s="1">
        <v>44993.706597222219</v>
      </c>
      <c r="E1554" t="s">
        <v>25</v>
      </c>
      <c r="F1554" t="s">
        <v>401</v>
      </c>
      <c r="G1554" t="s">
        <v>3373</v>
      </c>
      <c r="H1554" t="s">
        <v>274</v>
      </c>
      <c r="I1554" t="s">
        <v>344</v>
      </c>
      <c r="J1554" t="s">
        <v>45</v>
      </c>
      <c r="K1554">
        <v>59</v>
      </c>
      <c r="L1554" t="s">
        <v>31</v>
      </c>
      <c r="M1554">
        <v>47</v>
      </c>
      <c r="N1554">
        <v>1</v>
      </c>
      <c r="O1554">
        <v>12703.24</v>
      </c>
      <c r="P1554" s="1">
        <v>45600.341087962966</v>
      </c>
      <c r="Q1554">
        <v>16</v>
      </c>
      <c r="R1554" t="s">
        <v>74</v>
      </c>
      <c r="S1554">
        <v>-1.00002580777793</v>
      </c>
      <c r="T1554" t="b">
        <v>0</v>
      </c>
      <c r="U1554" t="b">
        <v>0</v>
      </c>
      <c r="V1554" t="b">
        <f t="shared" si="48"/>
        <v>1</v>
      </c>
      <c r="W1554">
        <v>0</v>
      </c>
      <c r="Y1554">
        <f t="shared" si="49"/>
        <v>0</v>
      </c>
    </row>
    <row r="1555" spans="1:25" x14ac:dyDescent="0.3">
      <c r="A1555" t="s">
        <v>3374</v>
      </c>
      <c r="B1555" t="s">
        <v>1253</v>
      </c>
      <c r="C1555">
        <v>47.23</v>
      </c>
      <c r="D1555" s="1">
        <v>45141.763148148151</v>
      </c>
      <c r="E1555" t="s">
        <v>57</v>
      </c>
      <c r="F1555" t="s">
        <v>104</v>
      </c>
      <c r="G1555" t="s">
        <v>1586</v>
      </c>
      <c r="H1555" t="s">
        <v>1608</v>
      </c>
      <c r="I1555" t="s">
        <v>652</v>
      </c>
      <c r="J1555" t="s">
        <v>45</v>
      </c>
      <c r="K1555">
        <v>73</v>
      </c>
      <c r="L1555" t="s">
        <v>82</v>
      </c>
      <c r="M1555">
        <v>160</v>
      </c>
      <c r="N1555">
        <v>1</v>
      </c>
      <c r="O1555">
        <v>6659.81</v>
      </c>
      <c r="P1555" s="1">
        <v>45600.341053240743</v>
      </c>
      <c r="Q1555">
        <v>18</v>
      </c>
      <c r="R1555" t="s">
        <v>141</v>
      </c>
      <c r="S1555">
        <v>-0.857568074744118</v>
      </c>
      <c r="T1555" t="b">
        <v>0</v>
      </c>
      <c r="U1555" t="b">
        <v>0</v>
      </c>
      <c r="V1555" t="b">
        <f t="shared" si="48"/>
        <v>1</v>
      </c>
      <c r="W1555">
        <v>0</v>
      </c>
      <c r="Y1555">
        <f t="shared" si="49"/>
        <v>0</v>
      </c>
    </row>
    <row r="1556" spans="1:25" x14ac:dyDescent="0.3">
      <c r="A1556" t="s">
        <v>3375</v>
      </c>
      <c r="B1556" t="s">
        <v>2069</v>
      </c>
      <c r="C1556">
        <v>239.41</v>
      </c>
      <c r="D1556" s="1">
        <v>45231.72483796296</v>
      </c>
      <c r="E1556" t="s">
        <v>57</v>
      </c>
      <c r="F1556" t="s">
        <v>210</v>
      </c>
      <c r="G1556" t="s">
        <v>1274</v>
      </c>
      <c r="H1556" t="s">
        <v>374</v>
      </c>
      <c r="I1556" t="s">
        <v>344</v>
      </c>
      <c r="J1556" t="s">
        <v>45</v>
      </c>
      <c r="K1556">
        <v>42</v>
      </c>
      <c r="L1556" t="s">
        <v>31</v>
      </c>
      <c r="M1556">
        <v>248</v>
      </c>
      <c r="N1556">
        <v>1</v>
      </c>
      <c r="O1556">
        <v>7860.65</v>
      </c>
      <c r="P1556" s="1">
        <v>45600.338414351849</v>
      </c>
      <c r="Q1556">
        <v>17</v>
      </c>
      <c r="R1556" t="s">
        <v>74</v>
      </c>
      <c r="S1556">
        <v>-0.199296203274062</v>
      </c>
      <c r="T1556" t="b">
        <v>0</v>
      </c>
      <c r="U1556" t="b">
        <v>0</v>
      </c>
      <c r="V1556" t="b">
        <f t="shared" si="48"/>
        <v>1</v>
      </c>
      <c r="W1556">
        <v>0</v>
      </c>
      <c r="Y1556">
        <f t="shared" si="49"/>
        <v>0</v>
      </c>
    </row>
    <row r="1557" spans="1:25" x14ac:dyDescent="0.3">
      <c r="A1557" t="s">
        <v>3376</v>
      </c>
      <c r="B1557" t="s">
        <v>1541</v>
      </c>
      <c r="C1557">
        <v>7.48</v>
      </c>
      <c r="D1557" s="1">
        <v>45110.698842592596</v>
      </c>
      <c r="E1557" t="s">
        <v>25</v>
      </c>
      <c r="F1557" t="s">
        <v>250</v>
      </c>
      <c r="G1557" t="s">
        <v>3113</v>
      </c>
      <c r="H1557" t="s">
        <v>3377</v>
      </c>
      <c r="I1557" t="s">
        <v>117</v>
      </c>
      <c r="J1557" t="s">
        <v>30</v>
      </c>
      <c r="K1557">
        <v>55</v>
      </c>
      <c r="L1557" t="s">
        <v>89</v>
      </c>
      <c r="M1557">
        <v>29</v>
      </c>
      <c r="N1557">
        <v>1</v>
      </c>
      <c r="O1557">
        <v>1275.2</v>
      </c>
      <c r="P1557" s="1">
        <v>45600.341909722221</v>
      </c>
      <c r="Q1557">
        <v>16</v>
      </c>
      <c r="R1557" t="s">
        <v>47</v>
      </c>
      <c r="S1557">
        <v>-0.99372327763169599</v>
      </c>
      <c r="T1557" t="b">
        <v>0</v>
      </c>
      <c r="U1557" t="b">
        <v>0</v>
      </c>
      <c r="V1557" t="b">
        <f t="shared" si="48"/>
        <v>1</v>
      </c>
      <c r="W1557">
        <v>0</v>
      </c>
      <c r="Y1557">
        <f t="shared" si="49"/>
        <v>0</v>
      </c>
    </row>
    <row r="1558" spans="1:25" x14ac:dyDescent="0.3">
      <c r="A1558" t="s">
        <v>3378</v>
      </c>
      <c r="B1558" t="s">
        <v>1043</v>
      </c>
      <c r="C1558">
        <v>170.97</v>
      </c>
      <c r="D1558" s="1">
        <v>45047.711458333331</v>
      </c>
      <c r="E1558" t="s">
        <v>25</v>
      </c>
      <c r="F1558" t="s">
        <v>92</v>
      </c>
      <c r="G1558" t="s">
        <v>3379</v>
      </c>
      <c r="H1558" t="s">
        <v>1670</v>
      </c>
      <c r="I1558" t="s">
        <v>265</v>
      </c>
      <c r="J1558" t="s">
        <v>81</v>
      </c>
      <c r="K1558">
        <v>26</v>
      </c>
      <c r="L1558" t="s">
        <v>46</v>
      </c>
      <c r="M1558">
        <v>292</v>
      </c>
      <c r="N1558">
        <v>1</v>
      </c>
      <c r="O1558">
        <v>1265.27</v>
      </c>
      <c r="P1558" s="1">
        <v>45600.338784722226</v>
      </c>
      <c r="Q1558">
        <v>17</v>
      </c>
      <c r="R1558" t="s">
        <v>47</v>
      </c>
      <c r="S1558">
        <v>-0.43372292240930299</v>
      </c>
      <c r="T1558" t="b">
        <v>0</v>
      </c>
      <c r="U1558" t="b">
        <v>0</v>
      </c>
      <c r="V1558" t="b">
        <f t="shared" si="48"/>
        <v>1</v>
      </c>
      <c r="W1558">
        <v>0</v>
      </c>
      <c r="Y1558">
        <f t="shared" si="49"/>
        <v>0</v>
      </c>
    </row>
    <row r="1559" spans="1:25" x14ac:dyDescent="0.3">
      <c r="A1559" t="s">
        <v>3380</v>
      </c>
      <c r="B1559" t="s">
        <v>2792</v>
      </c>
      <c r="C1559">
        <v>262.43</v>
      </c>
      <c r="D1559" s="1">
        <v>45090.727013888885</v>
      </c>
      <c r="E1559" t="s">
        <v>57</v>
      </c>
      <c r="F1559" t="s">
        <v>26</v>
      </c>
      <c r="G1559" t="s">
        <v>2679</v>
      </c>
      <c r="H1559" t="s">
        <v>3159</v>
      </c>
      <c r="I1559" t="s">
        <v>259</v>
      </c>
      <c r="J1559" t="s">
        <v>45</v>
      </c>
      <c r="K1559">
        <v>37</v>
      </c>
      <c r="L1559" t="s">
        <v>31</v>
      </c>
      <c r="M1559">
        <v>274</v>
      </c>
      <c r="N1559">
        <v>5</v>
      </c>
      <c r="O1559">
        <v>12841.01</v>
      </c>
      <c r="P1559" s="1">
        <v>45600.338726851849</v>
      </c>
      <c r="Q1559">
        <v>17</v>
      </c>
      <c r="R1559" t="s">
        <v>32</v>
      </c>
      <c r="S1559">
        <v>-0.12044607068356999</v>
      </c>
      <c r="T1559" t="b">
        <v>0</v>
      </c>
      <c r="U1559" t="b">
        <v>1</v>
      </c>
      <c r="V1559" t="b">
        <f t="shared" si="48"/>
        <v>1</v>
      </c>
      <c r="W1559">
        <v>1</v>
      </c>
      <c r="Y1559">
        <f t="shared" si="49"/>
        <v>0</v>
      </c>
    </row>
    <row r="1560" spans="1:25" x14ac:dyDescent="0.3">
      <c r="A1560" t="s">
        <v>3381</v>
      </c>
      <c r="B1560" t="s">
        <v>255</v>
      </c>
      <c r="C1560">
        <v>659.15</v>
      </c>
      <c r="D1560" s="1">
        <v>44957.668321759258</v>
      </c>
      <c r="E1560" t="s">
        <v>25</v>
      </c>
      <c r="F1560" t="s">
        <v>401</v>
      </c>
      <c r="G1560" t="s">
        <v>2700</v>
      </c>
      <c r="H1560" t="s">
        <v>2040</v>
      </c>
      <c r="I1560" t="s">
        <v>253</v>
      </c>
      <c r="J1560" t="s">
        <v>30</v>
      </c>
      <c r="K1560">
        <v>22</v>
      </c>
      <c r="L1560" t="s">
        <v>46</v>
      </c>
      <c r="M1560">
        <v>204</v>
      </c>
      <c r="N1560">
        <v>1</v>
      </c>
      <c r="O1560">
        <v>1241.5899999999999</v>
      </c>
      <c r="P1560" s="1">
        <v>45600.337777777779</v>
      </c>
      <c r="Q1560">
        <v>16</v>
      </c>
      <c r="R1560" t="s">
        <v>32</v>
      </c>
      <c r="S1560">
        <v>1.2384342334563001</v>
      </c>
      <c r="T1560" t="b">
        <v>0</v>
      </c>
      <c r="U1560" t="b">
        <v>0</v>
      </c>
      <c r="V1560" t="b">
        <f t="shared" si="48"/>
        <v>1</v>
      </c>
      <c r="W1560">
        <v>0</v>
      </c>
      <c r="Y1560">
        <f t="shared" si="49"/>
        <v>0</v>
      </c>
    </row>
    <row r="1561" spans="1:25" x14ac:dyDescent="0.3">
      <c r="A1561" t="s">
        <v>3382</v>
      </c>
      <c r="B1561" t="s">
        <v>272</v>
      </c>
      <c r="C1561">
        <v>31.53</v>
      </c>
      <c r="D1561" s="1">
        <v>45280.718912037039</v>
      </c>
      <c r="E1561" t="s">
        <v>25</v>
      </c>
      <c r="F1561" t="s">
        <v>304</v>
      </c>
      <c r="G1561" t="s">
        <v>3383</v>
      </c>
      <c r="H1561" t="s">
        <v>3240</v>
      </c>
      <c r="I1561" t="s">
        <v>325</v>
      </c>
      <c r="J1561" t="s">
        <v>45</v>
      </c>
      <c r="K1561">
        <v>25</v>
      </c>
      <c r="L1561" t="s">
        <v>46</v>
      </c>
      <c r="M1561">
        <v>283</v>
      </c>
      <c r="N1561">
        <v>1</v>
      </c>
      <c r="O1561">
        <v>874.93</v>
      </c>
      <c r="P1561" s="1">
        <v>45600.337881944448</v>
      </c>
      <c r="Q1561">
        <v>17</v>
      </c>
      <c r="R1561" t="s">
        <v>74</v>
      </c>
      <c r="S1561">
        <v>-0.91134509827455801</v>
      </c>
      <c r="T1561" t="b">
        <v>0</v>
      </c>
      <c r="U1561" t="b">
        <v>0</v>
      </c>
      <c r="V1561" t="b">
        <f t="shared" si="48"/>
        <v>1</v>
      </c>
      <c r="W1561">
        <v>0</v>
      </c>
      <c r="Y1561">
        <f t="shared" si="49"/>
        <v>0</v>
      </c>
    </row>
    <row r="1562" spans="1:25" x14ac:dyDescent="0.3">
      <c r="A1562" t="s">
        <v>3384</v>
      </c>
      <c r="B1562" t="s">
        <v>1127</v>
      </c>
      <c r="C1562">
        <v>111.66</v>
      </c>
      <c r="D1562" s="1">
        <v>45084.762870370374</v>
      </c>
      <c r="E1562" t="s">
        <v>57</v>
      </c>
      <c r="F1562" t="s">
        <v>466</v>
      </c>
      <c r="G1562" t="s">
        <v>2155</v>
      </c>
      <c r="H1562" t="s">
        <v>651</v>
      </c>
      <c r="I1562" t="s">
        <v>1537</v>
      </c>
      <c r="J1562" t="s">
        <v>45</v>
      </c>
      <c r="K1562">
        <v>48</v>
      </c>
      <c r="L1562" t="s">
        <v>89</v>
      </c>
      <c r="M1562">
        <v>140</v>
      </c>
      <c r="N1562">
        <v>1</v>
      </c>
      <c r="O1562">
        <v>5716.72</v>
      </c>
      <c r="P1562" s="1">
        <v>45600.33861111111</v>
      </c>
      <c r="Q1562">
        <v>18</v>
      </c>
      <c r="R1562" t="s">
        <v>74</v>
      </c>
      <c r="S1562">
        <v>-0.63687676098193802</v>
      </c>
      <c r="T1562" t="b">
        <v>0</v>
      </c>
      <c r="U1562" t="b">
        <v>0</v>
      </c>
      <c r="V1562" t="b">
        <f t="shared" si="48"/>
        <v>1</v>
      </c>
      <c r="W1562">
        <v>0</v>
      </c>
      <c r="Y1562">
        <f t="shared" si="49"/>
        <v>0</v>
      </c>
    </row>
    <row r="1563" spans="1:25" x14ac:dyDescent="0.3">
      <c r="A1563" t="s">
        <v>3385</v>
      </c>
      <c r="B1563" t="s">
        <v>3254</v>
      </c>
      <c r="C1563">
        <v>250.01</v>
      </c>
      <c r="D1563" s="1">
        <v>45236.686284722222</v>
      </c>
      <c r="E1563" t="s">
        <v>25</v>
      </c>
      <c r="F1563" t="s">
        <v>304</v>
      </c>
      <c r="G1563" t="s">
        <v>1018</v>
      </c>
      <c r="H1563" t="s">
        <v>1881</v>
      </c>
      <c r="I1563" t="s">
        <v>112</v>
      </c>
      <c r="J1563" t="s">
        <v>30</v>
      </c>
      <c r="K1563">
        <v>62</v>
      </c>
      <c r="L1563" t="s">
        <v>82</v>
      </c>
      <c r="M1563">
        <v>88</v>
      </c>
      <c r="N1563">
        <v>1</v>
      </c>
      <c r="O1563">
        <v>1541.48</v>
      </c>
      <c r="P1563" s="1">
        <v>45600.341782407406</v>
      </c>
      <c r="Q1563">
        <v>16</v>
      </c>
      <c r="R1563" t="s">
        <v>47</v>
      </c>
      <c r="S1563">
        <v>-0.162988149170707</v>
      </c>
      <c r="T1563" t="b">
        <v>0</v>
      </c>
      <c r="U1563" t="b">
        <v>0</v>
      </c>
      <c r="V1563" t="b">
        <f t="shared" si="48"/>
        <v>1</v>
      </c>
      <c r="W1563">
        <v>0</v>
      </c>
      <c r="Y1563">
        <f t="shared" si="49"/>
        <v>0</v>
      </c>
    </row>
    <row r="1564" spans="1:25" x14ac:dyDescent="0.3">
      <c r="A1564" t="s">
        <v>3386</v>
      </c>
      <c r="B1564" t="s">
        <v>3387</v>
      </c>
      <c r="C1564">
        <v>554.15</v>
      </c>
      <c r="D1564" s="1">
        <v>45034.720567129632</v>
      </c>
      <c r="E1564" t="s">
        <v>25</v>
      </c>
      <c r="F1564" t="s">
        <v>50</v>
      </c>
      <c r="G1564" t="s">
        <v>3388</v>
      </c>
      <c r="H1564" t="s">
        <v>1702</v>
      </c>
      <c r="I1564" t="s">
        <v>399</v>
      </c>
      <c r="J1564" t="s">
        <v>30</v>
      </c>
      <c r="K1564">
        <v>49</v>
      </c>
      <c r="L1564" t="s">
        <v>31</v>
      </c>
      <c r="M1564">
        <v>108</v>
      </c>
      <c r="N1564">
        <v>1</v>
      </c>
      <c r="O1564">
        <v>14817.22</v>
      </c>
      <c r="P1564" s="1">
        <v>45600.341793981483</v>
      </c>
      <c r="Q1564">
        <v>17</v>
      </c>
      <c r="R1564" t="s">
        <v>32</v>
      </c>
      <c r="S1564">
        <v>0.87877898054571901</v>
      </c>
      <c r="T1564" t="b">
        <v>0</v>
      </c>
      <c r="U1564" t="b">
        <v>0</v>
      </c>
      <c r="V1564" t="b">
        <f t="shared" si="48"/>
        <v>1</v>
      </c>
      <c r="W1564">
        <v>0</v>
      </c>
      <c r="Y1564">
        <f t="shared" si="49"/>
        <v>0</v>
      </c>
    </row>
    <row r="1565" spans="1:25" x14ac:dyDescent="0.3">
      <c r="A1565" t="s">
        <v>3389</v>
      </c>
      <c r="B1565" t="s">
        <v>190</v>
      </c>
      <c r="C1565">
        <v>598.66</v>
      </c>
      <c r="D1565" s="1">
        <v>44936.702592592592</v>
      </c>
      <c r="E1565" t="s">
        <v>57</v>
      </c>
      <c r="F1565" t="s">
        <v>262</v>
      </c>
      <c r="G1565" t="s">
        <v>3084</v>
      </c>
      <c r="H1565" t="s">
        <v>2671</v>
      </c>
      <c r="I1565" t="s">
        <v>431</v>
      </c>
      <c r="J1565" t="s">
        <v>81</v>
      </c>
      <c r="K1565">
        <v>32</v>
      </c>
      <c r="L1565" t="s">
        <v>89</v>
      </c>
      <c r="M1565">
        <v>222</v>
      </c>
      <c r="N1565">
        <v>1</v>
      </c>
      <c r="O1565">
        <v>2587.11</v>
      </c>
      <c r="P1565" s="1">
        <v>45600.341446759259</v>
      </c>
      <c r="Q1565">
        <v>16</v>
      </c>
      <c r="R1565" t="s">
        <v>32</v>
      </c>
      <c r="S1565">
        <v>1.0312385548985701</v>
      </c>
      <c r="T1565" t="b">
        <v>0</v>
      </c>
      <c r="U1565" t="b">
        <v>0</v>
      </c>
      <c r="V1565" t="b">
        <f t="shared" si="48"/>
        <v>1</v>
      </c>
      <c r="W1565">
        <v>0</v>
      </c>
      <c r="Y1565">
        <f t="shared" si="49"/>
        <v>0</v>
      </c>
    </row>
    <row r="1566" spans="1:25" x14ac:dyDescent="0.3">
      <c r="A1566" t="s">
        <v>3390</v>
      </c>
      <c r="B1566" t="s">
        <v>63</v>
      </c>
      <c r="C1566">
        <v>28.38</v>
      </c>
      <c r="D1566" s="1">
        <v>45064.683518518519</v>
      </c>
      <c r="E1566" t="s">
        <v>25</v>
      </c>
      <c r="F1566" t="s">
        <v>298</v>
      </c>
      <c r="G1566" t="s">
        <v>906</v>
      </c>
      <c r="H1566" t="s">
        <v>509</v>
      </c>
      <c r="I1566" t="s">
        <v>173</v>
      </c>
      <c r="J1566" t="s">
        <v>81</v>
      </c>
      <c r="K1566">
        <v>55</v>
      </c>
      <c r="L1566" t="s">
        <v>31</v>
      </c>
      <c r="M1566">
        <v>98</v>
      </c>
      <c r="N1566">
        <v>1</v>
      </c>
      <c r="O1566">
        <v>173.7</v>
      </c>
      <c r="P1566" s="1">
        <v>45600.339537037034</v>
      </c>
      <c r="Q1566">
        <v>16</v>
      </c>
      <c r="R1566" t="s">
        <v>141</v>
      </c>
      <c r="S1566">
        <v>-0.92213475586187499</v>
      </c>
      <c r="T1566" t="b">
        <v>0</v>
      </c>
      <c r="U1566" t="b">
        <v>0</v>
      </c>
      <c r="V1566" t="b">
        <f t="shared" si="48"/>
        <v>1</v>
      </c>
      <c r="W1566">
        <v>0</v>
      </c>
      <c r="Y1566">
        <f t="shared" si="49"/>
        <v>0</v>
      </c>
    </row>
    <row r="1567" spans="1:25" x14ac:dyDescent="0.3">
      <c r="A1567" t="s">
        <v>3391</v>
      </c>
      <c r="B1567" t="s">
        <v>1199</v>
      </c>
      <c r="C1567">
        <v>16.8</v>
      </c>
      <c r="D1567" s="1">
        <v>45257.709583333337</v>
      </c>
      <c r="E1567" t="s">
        <v>25</v>
      </c>
      <c r="F1567" t="s">
        <v>26</v>
      </c>
      <c r="G1567" t="s">
        <v>662</v>
      </c>
      <c r="H1567" t="s">
        <v>1221</v>
      </c>
      <c r="I1567" t="s">
        <v>1050</v>
      </c>
      <c r="J1567" t="s">
        <v>30</v>
      </c>
      <c r="K1567">
        <v>49</v>
      </c>
      <c r="L1567" t="s">
        <v>31</v>
      </c>
      <c r="M1567">
        <v>94</v>
      </c>
      <c r="N1567">
        <v>1</v>
      </c>
      <c r="O1567">
        <v>11847.07</v>
      </c>
      <c r="P1567" s="1">
        <v>45600.340173611112</v>
      </c>
      <c r="Q1567">
        <v>17</v>
      </c>
      <c r="R1567" t="s">
        <v>47</v>
      </c>
      <c r="S1567">
        <v>-0.96179959232572798</v>
      </c>
      <c r="T1567" t="b">
        <v>0</v>
      </c>
      <c r="U1567" t="b">
        <v>0</v>
      </c>
      <c r="V1567" t="b">
        <f t="shared" si="48"/>
        <v>1</v>
      </c>
      <c r="W1567">
        <v>0</v>
      </c>
      <c r="Y1567">
        <f t="shared" si="49"/>
        <v>0</v>
      </c>
    </row>
    <row r="1568" spans="1:25" x14ac:dyDescent="0.3">
      <c r="A1568" t="s">
        <v>3392</v>
      </c>
      <c r="B1568" t="s">
        <v>1185</v>
      </c>
      <c r="C1568">
        <v>896.79</v>
      </c>
      <c r="D1568" s="1">
        <v>45236.691655092596</v>
      </c>
      <c r="E1568" t="s">
        <v>25</v>
      </c>
      <c r="F1568" t="s">
        <v>336</v>
      </c>
      <c r="G1568" t="s">
        <v>890</v>
      </c>
      <c r="H1568" t="s">
        <v>659</v>
      </c>
      <c r="I1568" t="s">
        <v>356</v>
      </c>
      <c r="J1568" t="s">
        <v>45</v>
      </c>
      <c r="K1568">
        <v>33</v>
      </c>
      <c r="L1568" t="s">
        <v>31</v>
      </c>
      <c r="M1568">
        <v>168</v>
      </c>
      <c r="N1568">
        <v>1</v>
      </c>
      <c r="O1568">
        <v>11146.74</v>
      </c>
      <c r="P1568" s="1">
        <v>45600.338020833333</v>
      </c>
      <c r="Q1568">
        <v>16</v>
      </c>
      <c r="R1568" t="s">
        <v>47</v>
      </c>
      <c r="S1568">
        <v>2.0524197029960201</v>
      </c>
      <c r="T1568" t="b">
        <v>0</v>
      </c>
      <c r="U1568" t="b">
        <v>0</v>
      </c>
      <c r="V1568" t="b">
        <f t="shared" si="48"/>
        <v>1</v>
      </c>
      <c r="W1568">
        <v>0</v>
      </c>
      <c r="Y1568">
        <f t="shared" si="49"/>
        <v>0</v>
      </c>
    </row>
    <row r="1569" spans="1:25" x14ac:dyDescent="0.3">
      <c r="A1569" t="s">
        <v>3393</v>
      </c>
      <c r="B1569" t="s">
        <v>169</v>
      </c>
      <c r="C1569">
        <v>159</v>
      </c>
      <c r="D1569" s="1">
        <v>44991.753148148149</v>
      </c>
      <c r="E1569" t="s">
        <v>25</v>
      </c>
      <c r="F1569" t="s">
        <v>159</v>
      </c>
      <c r="G1569" t="s">
        <v>2957</v>
      </c>
      <c r="H1569" t="s">
        <v>2447</v>
      </c>
      <c r="I1569" t="s">
        <v>140</v>
      </c>
      <c r="J1569" t="s">
        <v>30</v>
      </c>
      <c r="K1569">
        <v>49</v>
      </c>
      <c r="L1569" t="s">
        <v>89</v>
      </c>
      <c r="M1569">
        <v>38</v>
      </c>
      <c r="N1569">
        <v>1</v>
      </c>
      <c r="O1569">
        <v>369.79</v>
      </c>
      <c r="P1569" s="1">
        <v>45600.33929398148</v>
      </c>
      <c r="Q1569">
        <v>18</v>
      </c>
      <c r="R1569" t="s">
        <v>47</v>
      </c>
      <c r="S1569">
        <v>-0.47472362124110901</v>
      </c>
      <c r="T1569" t="b">
        <v>0</v>
      </c>
      <c r="U1569" t="b">
        <v>0</v>
      </c>
      <c r="V1569" t="b">
        <f t="shared" si="48"/>
        <v>1</v>
      </c>
      <c r="W1569">
        <v>0</v>
      </c>
      <c r="Y1569">
        <f t="shared" si="49"/>
        <v>0</v>
      </c>
    </row>
    <row r="1570" spans="1:25" x14ac:dyDescent="0.3">
      <c r="A1570" t="s">
        <v>3394</v>
      </c>
      <c r="B1570" t="s">
        <v>642</v>
      </c>
      <c r="C1570">
        <v>56.31</v>
      </c>
      <c r="D1570" s="1">
        <v>45196.746018518519</v>
      </c>
      <c r="E1570" t="s">
        <v>57</v>
      </c>
      <c r="F1570" t="s">
        <v>35</v>
      </c>
      <c r="G1570" t="s">
        <v>246</v>
      </c>
      <c r="H1570" t="s">
        <v>516</v>
      </c>
      <c r="I1570" t="s">
        <v>577</v>
      </c>
      <c r="J1570" t="s">
        <v>45</v>
      </c>
      <c r="K1570">
        <v>75</v>
      </c>
      <c r="L1570" t="s">
        <v>82</v>
      </c>
      <c r="M1570">
        <v>195</v>
      </c>
      <c r="N1570">
        <v>1</v>
      </c>
      <c r="O1570">
        <v>6396.08</v>
      </c>
      <c r="P1570" s="1">
        <v>45600.33902777778</v>
      </c>
      <c r="Q1570">
        <v>17</v>
      </c>
      <c r="R1570" t="s">
        <v>74</v>
      </c>
      <c r="S1570">
        <v>-0.82646645858765999</v>
      </c>
      <c r="T1570" t="b">
        <v>0</v>
      </c>
      <c r="U1570" t="b">
        <v>0</v>
      </c>
      <c r="V1570" t="b">
        <f t="shared" si="48"/>
        <v>1</v>
      </c>
      <c r="W1570">
        <v>0</v>
      </c>
      <c r="Y1570">
        <f t="shared" si="49"/>
        <v>0</v>
      </c>
    </row>
    <row r="1571" spans="1:25" x14ac:dyDescent="0.3">
      <c r="A1571" t="s">
        <v>3395</v>
      </c>
      <c r="B1571" t="s">
        <v>2703</v>
      </c>
      <c r="C1571">
        <v>203.99</v>
      </c>
      <c r="D1571" s="1">
        <v>44946.690682870372</v>
      </c>
      <c r="E1571" t="s">
        <v>25</v>
      </c>
      <c r="F1571" t="s">
        <v>256</v>
      </c>
      <c r="G1571" t="s">
        <v>913</v>
      </c>
      <c r="H1571" t="s">
        <v>100</v>
      </c>
      <c r="I1571" t="s">
        <v>101</v>
      </c>
      <c r="J1571" t="s">
        <v>45</v>
      </c>
      <c r="K1571">
        <v>52</v>
      </c>
      <c r="L1571" t="s">
        <v>82</v>
      </c>
      <c r="M1571">
        <v>215</v>
      </c>
      <c r="N1571">
        <v>1</v>
      </c>
      <c r="O1571">
        <v>4840.3100000000004</v>
      </c>
      <c r="P1571" s="1">
        <v>45600.340185185189</v>
      </c>
      <c r="Q1571">
        <v>16</v>
      </c>
      <c r="R1571" t="s">
        <v>54</v>
      </c>
      <c r="S1571">
        <v>-0.32061990858923201</v>
      </c>
      <c r="T1571" t="b">
        <v>0</v>
      </c>
      <c r="U1571" t="b">
        <v>0</v>
      </c>
      <c r="V1571" t="b">
        <f t="shared" si="48"/>
        <v>1</v>
      </c>
      <c r="W1571">
        <v>0</v>
      </c>
      <c r="Y1571">
        <f t="shared" si="49"/>
        <v>0</v>
      </c>
    </row>
    <row r="1572" spans="1:25" x14ac:dyDescent="0.3">
      <c r="A1572" t="s">
        <v>3396</v>
      </c>
      <c r="B1572" t="s">
        <v>1394</v>
      </c>
      <c r="C1572">
        <v>50.99</v>
      </c>
      <c r="D1572" s="1">
        <v>45230.697997685187</v>
      </c>
      <c r="E1572" t="s">
        <v>25</v>
      </c>
      <c r="F1572" t="s">
        <v>85</v>
      </c>
      <c r="G1572" t="s">
        <v>1116</v>
      </c>
      <c r="H1572" t="s">
        <v>841</v>
      </c>
      <c r="I1572" t="s">
        <v>375</v>
      </c>
      <c r="J1572" t="s">
        <v>81</v>
      </c>
      <c r="K1572">
        <v>29</v>
      </c>
      <c r="L1572" t="s">
        <v>31</v>
      </c>
      <c r="M1572">
        <v>76</v>
      </c>
      <c r="N1572">
        <v>1</v>
      </c>
      <c r="O1572">
        <v>1334.6</v>
      </c>
      <c r="P1572" s="1">
        <v>45600.340277777781</v>
      </c>
      <c r="Q1572">
        <v>16</v>
      </c>
      <c r="R1572" t="s">
        <v>32</v>
      </c>
      <c r="S1572">
        <v>-0.84468899140179599</v>
      </c>
      <c r="T1572" t="b">
        <v>0</v>
      </c>
      <c r="U1572" t="b">
        <v>0</v>
      </c>
      <c r="V1572" t="b">
        <f t="shared" si="48"/>
        <v>1</v>
      </c>
      <c r="W1572">
        <v>0</v>
      </c>
      <c r="Y1572">
        <f t="shared" si="49"/>
        <v>0</v>
      </c>
    </row>
    <row r="1573" spans="1:25" x14ac:dyDescent="0.3">
      <c r="A1573" t="s">
        <v>3397</v>
      </c>
      <c r="B1573" t="s">
        <v>780</v>
      </c>
      <c r="C1573">
        <v>101.28</v>
      </c>
      <c r="D1573" s="1">
        <v>45161.76326388889</v>
      </c>
      <c r="E1573" t="s">
        <v>57</v>
      </c>
      <c r="F1573" t="s">
        <v>278</v>
      </c>
      <c r="G1573" t="s">
        <v>3398</v>
      </c>
      <c r="H1573" t="s">
        <v>3399</v>
      </c>
      <c r="I1573" t="s">
        <v>295</v>
      </c>
      <c r="J1573" t="s">
        <v>45</v>
      </c>
      <c r="K1573">
        <v>32</v>
      </c>
      <c r="L1573" t="s">
        <v>89</v>
      </c>
      <c r="M1573">
        <v>75</v>
      </c>
      <c r="N1573">
        <v>1</v>
      </c>
      <c r="O1573">
        <v>2774.35</v>
      </c>
      <c r="P1573" s="1">
        <v>45600.338009259256</v>
      </c>
      <c r="Q1573">
        <v>18</v>
      </c>
      <c r="R1573" t="s">
        <v>74</v>
      </c>
      <c r="S1573">
        <v>-0.67243125169824203</v>
      </c>
      <c r="T1573" t="b">
        <v>0</v>
      </c>
      <c r="U1573" t="b">
        <v>0</v>
      </c>
      <c r="V1573" t="b">
        <f t="shared" si="48"/>
        <v>1</v>
      </c>
      <c r="W1573">
        <v>0</v>
      </c>
      <c r="Y1573">
        <f t="shared" si="49"/>
        <v>0</v>
      </c>
    </row>
    <row r="1574" spans="1:25" x14ac:dyDescent="0.3">
      <c r="A1574" t="s">
        <v>3400</v>
      </c>
      <c r="B1574" t="s">
        <v>358</v>
      </c>
      <c r="C1574">
        <v>299.92</v>
      </c>
      <c r="D1574" s="1">
        <v>45208.778715277775</v>
      </c>
      <c r="E1574" t="s">
        <v>25</v>
      </c>
      <c r="F1574" t="s">
        <v>126</v>
      </c>
      <c r="G1574" t="s">
        <v>269</v>
      </c>
      <c r="H1574" t="s">
        <v>1259</v>
      </c>
      <c r="I1574" t="s">
        <v>95</v>
      </c>
      <c r="J1574" t="s">
        <v>30</v>
      </c>
      <c r="K1574">
        <v>27</v>
      </c>
      <c r="L1574" t="s">
        <v>46</v>
      </c>
      <c r="M1574">
        <v>122</v>
      </c>
      <c r="N1574">
        <v>1</v>
      </c>
      <c r="O1574">
        <v>1368</v>
      </c>
      <c r="P1574" s="1">
        <v>45600.339571759258</v>
      </c>
      <c r="Q1574">
        <v>18</v>
      </c>
      <c r="R1574" t="s">
        <v>47</v>
      </c>
      <c r="S1574">
        <v>7.9679810461229308E-3</v>
      </c>
      <c r="T1574" t="b">
        <v>0</v>
      </c>
      <c r="U1574" t="b">
        <v>0</v>
      </c>
      <c r="V1574" t="b">
        <f t="shared" si="48"/>
        <v>1</v>
      </c>
      <c r="W1574">
        <v>0</v>
      </c>
      <c r="Y1574">
        <f t="shared" si="49"/>
        <v>0</v>
      </c>
    </row>
    <row r="1575" spans="1:25" x14ac:dyDescent="0.3">
      <c r="A1575" t="s">
        <v>3401</v>
      </c>
      <c r="B1575" t="s">
        <v>2091</v>
      </c>
      <c r="C1575">
        <v>77.540000000000006</v>
      </c>
      <c r="D1575" s="1">
        <v>44958.717210648145</v>
      </c>
      <c r="E1575" t="s">
        <v>25</v>
      </c>
      <c r="F1575" t="s">
        <v>438</v>
      </c>
      <c r="G1575" t="s">
        <v>1847</v>
      </c>
      <c r="H1575" t="s">
        <v>2424</v>
      </c>
      <c r="I1575" t="s">
        <v>325</v>
      </c>
      <c r="J1575" t="s">
        <v>45</v>
      </c>
      <c r="K1575">
        <v>67</v>
      </c>
      <c r="L1575" t="s">
        <v>82</v>
      </c>
      <c r="M1575">
        <v>73</v>
      </c>
      <c r="N1575">
        <v>1</v>
      </c>
      <c r="O1575">
        <v>4536.38</v>
      </c>
      <c r="P1575" s="1">
        <v>45600.340532407405</v>
      </c>
      <c r="Q1575">
        <v>17</v>
      </c>
      <c r="R1575" t="s">
        <v>74</v>
      </c>
      <c r="S1575">
        <v>-0.75374759173726302</v>
      </c>
      <c r="T1575" t="b">
        <v>0</v>
      </c>
      <c r="U1575" t="b">
        <v>0</v>
      </c>
      <c r="V1575" t="b">
        <f t="shared" si="48"/>
        <v>1</v>
      </c>
      <c r="W1575">
        <v>0</v>
      </c>
      <c r="Y1575">
        <f t="shared" si="49"/>
        <v>0</v>
      </c>
    </row>
    <row r="1576" spans="1:25" x14ac:dyDescent="0.3">
      <c r="A1576" t="s">
        <v>3402</v>
      </c>
      <c r="B1576" t="s">
        <v>2011</v>
      </c>
      <c r="C1576">
        <v>18.350000000000001</v>
      </c>
      <c r="D1576" s="1">
        <v>45187.695127314815</v>
      </c>
      <c r="E1576" t="s">
        <v>25</v>
      </c>
      <c r="F1576" t="s">
        <v>92</v>
      </c>
      <c r="G1576" t="s">
        <v>273</v>
      </c>
      <c r="H1576" t="s">
        <v>1440</v>
      </c>
      <c r="I1576" t="s">
        <v>88</v>
      </c>
      <c r="J1576" t="s">
        <v>81</v>
      </c>
      <c r="K1576">
        <v>21</v>
      </c>
      <c r="L1576" t="s">
        <v>46</v>
      </c>
      <c r="M1576">
        <v>78</v>
      </c>
      <c r="N1576">
        <v>1</v>
      </c>
      <c r="O1576">
        <v>1293.3900000000001</v>
      </c>
      <c r="P1576" s="1">
        <v>45600.34034722222</v>
      </c>
      <c r="Q1576">
        <v>16</v>
      </c>
      <c r="R1576" t="s">
        <v>47</v>
      </c>
      <c r="S1576">
        <v>-0.95649039573514305</v>
      </c>
      <c r="T1576" t="b">
        <v>0</v>
      </c>
      <c r="U1576" t="b">
        <v>0</v>
      </c>
      <c r="V1576" t="b">
        <f t="shared" si="48"/>
        <v>1</v>
      </c>
      <c r="W1576">
        <v>0</v>
      </c>
      <c r="Y1576">
        <f t="shared" si="49"/>
        <v>0</v>
      </c>
    </row>
    <row r="1577" spans="1:25" x14ac:dyDescent="0.3">
      <c r="A1577" t="s">
        <v>3403</v>
      </c>
      <c r="B1577" t="s">
        <v>2846</v>
      </c>
      <c r="C1577">
        <v>732.53</v>
      </c>
      <c r="D1577" s="1">
        <v>45068.70416666667</v>
      </c>
      <c r="E1577" t="s">
        <v>57</v>
      </c>
      <c r="F1577" t="s">
        <v>236</v>
      </c>
      <c r="G1577" t="s">
        <v>1801</v>
      </c>
      <c r="H1577" t="s">
        <v>1475</v>
      </c>
      <c r="I1577" t="s">
        <v>399</v>
      </c>
      <c r="J1577" t="s">
        <v>30</v>
      </c>
      <c r="K1577">
        <v>26</v>
      </c>
      <c r="L1577" t="s">
        <v>46</v>
      </c>
      <c r="M1577">
        <v>116</v>
      </c>
      <c r="N1577">
        <v>1</v>
      </c>
      <c r="O1577">
        <v>441.54</v>
      </c>
      <c r="P1577" s="1">
        <v>45600.341828703706</v>
      </c>
      <c r="Q1577">
        <v>16</v>
      </c>
      <c r="R1577" t="s">
        <v>47</v>
      </c>
      <c r="S1577">
        <v>1.4897818759189501</v>
      </c>
      <c r="T1577" t="b">
        <v>0</v>
      </c>
      <c r="U1577" t="b">
        <v>0</v>
      </c>
      <c r="V1577" t="b">
        <f t="shared" si="48"/>
        <v>1</v>
      </c>
      <c r="W1577">
        <v>0</v>
      </c>
      <c r="Y1577">
        <f t="shared" si="49"/>
        <v>0</v>
      </c>
    </row>
    <row r="1578" spans="1:25" x14ac:dyDescent="0.3">
      <c r="A1578" t="s">
        <v>3404</v>
      </c>
      <c r="B1578" t="s">
        <v>3220</v>
      </c>
      <c r="C1578">
        <v>65.11</v>
      </c>
      <c r="D1578" s="1">
        <v>45176.699872685182</v>
      </c>
      <c r="E1578" t="s">
        <v>25</v>
      </c>
      <c r="F1578" t="s">
        <v>92</v>
      </c>
      <c r="G1578" t="s">
        <v>3405</v>
      </c>
      <c r="H1578" t="s">
        <v>812</v>
      </c>
      <c r="I1578" t="s">
        <v>620</v>
      </c>
      <c r="J1578" t="s">
        <v>30</v>
      </c>
      <c r="K1578">
        <v>34</v>
      </c>
      <c r="L1578" t="s">
        <v>89</v>
      </c>
      <c r="M1578">
        <v>150</v>
      </c>
      <c r="N1578">
        <v>1</v>
      </c>
      <c r="O1578">
        <v>8485.14</v>
      </c>
      <c r="P1578" s="1">
        <v>45600.339525462965</v>
      </c>
      <c r="Q1578">
        <v>16</v>
      </c>
      <c r="R1578" t="s">
        <v>141</v>
      </c>
      <c r="S1578">
        <v>-0.79632392310563005</v>
      </c>
      <c r="T1578" t="b">
        <v>0</v>
      </c>
      <c r="U1578" t="b">
        <v>0</v>
      </c>
      <c r="V1578" t="b">
        <f t="shared" si="48"/>
        <v>1</v>
      </c>
      <c r="W1578">
        <v>0</v>
      </c>
      <c r="Y1578">
        <f t="shared" si="49"/>
        <v>0</v>
      </c>
    </row>
    <row r="1579" spans="1:25" x14ac:dyDescent="0.3">
      <c r="A1579" t="s">
        <v>3406</v>
      </c>
      <c r="B1579" t="s">
        <v>1199</v>
      </c>
      <c r="C1579">
        <v>67.069999999999993</v>
      </c>
      <c r="D1579" s="1">
        <v>45082.683807870373</v>
      </c>
      <c r="E1579" t="s">
        <v>57</v>
      </c>
      <c r="F1579" t="s">
        <v>153</v>
      </c>
      <c r="G1579" t="s">
        <v>246</v>
      </c>
      <c r="H1579" t="s">
        <v>1689</v>
      </c>
      <c r="I1579" t="s">
        <v>134</v>
      </c>
      <c r="J1579" t="s">
        <v>30</v>
      </c>
      <c r="K1579">
        <v>24</v>
      </c>
      <c r="L1579" t="s">
        <v>46</v>
      </c>
      <c r="M1579">
        <v>56</v>
      </c>
      <c r="N1579">
        <v>1</v>
      </c>
      <c r="O1579">
        <v>999.62</v>
      </c>
      <c r="P1579" s="1">
        <v>45600.34065972222</v>
      </c>
      <c r="Q1579">
        <v>16</v>
      </c>
      <c r="R1579" t="s">
        <v>47</v>
      </c>
      <c r="S1579">
        <v>-0.789610358384633</v>
      </c>
      <c r="T1579" t="b">
        <v>0</v>
      </c>
      <c r="U1579" t="b">
        <v>0</v>
      </c>
      <c r="V1579" t="b">
        <f t="shared" si="48"/>
        <v>1</v>
      </c>
      <c r="W1579">
        <v>0</v>
      </c>
      <c r="Y1579">
        <f t="shared" si="49"/>
        <v>0</v>
      </c>
    </row>
    <row r="1580" spans="1:25" x14ac:dyDescent="0.3">
      <c r="A1580" t="s">
        <v>3407</v>
      </c>
      <c r="B1580" t="s">
        <v>416</v>
      </c>
      <c r="C1580">
        <v>137.47999999999999</v>
      </c>
      <c r="D1580" s="1">
        <v>45257.73232638889</v>
      </c>
      <c r="E1580" t="s">
        <v>25</v>
      </c>
      <c r="F1580" t="s">
        <v>70</v>
      </c>
      <c r="G1580" t="s">
        <v>443</v>
      </c>
      <c r="H1580" t="s">
        <v>2188</v>
      </c>
      <c r="I1580" t="s">
        <v>720</v>
      </c>
      <c r="J1580" t="s">
        <v>81</v>
      </c>
      <c r="K1580">
        <v>55</v>
      </c>
      <c r="L1580" t="s">
        <v>31</v>
      </c>
      <c r="M1580">
        <v>47</v>
      </c>
      <c r="N1580">
        <v>1</v>
      </c>
      <c r="O1580">
        <v>14273.42</v>
      </c>
      <c r="P1580" s="1">
        <v>45600.339421296296</v>
      </c>
      <c r="Q1580">
        <v>17</v>
      </c>
      <c r="R1580" t="s">
        <v>47</v>
      </c>
      <c r="S1580">
        <v>-0.54843582164716398</v>
      </c>
      <c r="T1580" t="b">
        <v>0</v>
      </c>
      <c r="U1580" t="b">
        <v>0</v>
      </c>
      <c r="V1580" t="b">
        <f t="shared" si="48"/>
        <v>1</v>
      </c>
      <c r="W1580">
        <v>0</v>
      </c>
      <c r="Y1580">
        <f t="shared" si="49"/>
        <v>0</v>
      </c>
    </row>
    <row r="1581" spans="1:25" x14ac:dyDescent="0.3">
      <c r="A1581" t="s">
        <v>3408</v>
      </c>
      <c r="B1581" t="s">
        <v>3231</v>
      </c>
      <c r="C1581">
        <v>398.36</v>
      </c>
      <c r="D1581" s="1">
        <v>45104.702777777777</v>
      </c>
      <c r="E1581" t="s">
        <v>25</v>
      </c>
      <c r="F1581" t="s">
        <v>137</v>
      </c>
      <c r="G1581" t="s">
        <v>869</v>
      </c>
      <c r="H1581" t="s">
        <v>3409</v>
      </c>
      <c r="I1581" t="s">
        <v>611</v>
      </c>
      <c r="J1581" t="s">
        <v>30</v>
      </c>
      <c r="K1581">
        <v>22</v>
      </c>
      <c r="L1581" t="s">
        <v>46</v>
      </c>
      <c r="M1581">
        <v>56</v>
      </c>
      <c r="N1581">
        <v>1</v>
      </c>
      <c r="O1581">
        <v>1863.7</v>
      </c>
      <c r="P1581" s="1">
        <v>45600.339675925927</v>
      </c>
      <c r="Q1581">
        <v>16</v>
      </c>
      <c r="R1581" t="s">
        <v>32</v>
      </c>
      <c r="S1581">
        <v>0.34515334387010199</v>
      </c>
      <c r="T1581" t="b">
        <v>0</v>
      </c>
      <c r="U1581" t="b">
        <v>0</v>
      </c>
      <c r="V1581" t="b">
        <f t="shared" si="48"/>
        <v>1</v>
      </c>
      <c r="W1581">
        <v>0</v>
      </c>
      <c r="Y1581">
        <f t="shared" si="49"/>
        <v>0</v>
      </c>
    </row>
    <row r="1582" spans="1:25" x14ac:dyDescent="0.3">
      <c r="A1582" t="s">
        <v>3410</v>
      </c>
      <c r="B1582" t="s">
        <v>2920</v>
      </c>
      <c r="C1582">
        <v>469.46</v>
      </c>
      <c r="D1582" s="1">
        <v>45238.767314814817</v>
      </c>
      <c r="E1582" t="s">
        <v>25</v>
      </c>
      <c r="F1582" t="s">
        <v>216</v>
      </c>
      <c r="G1582" t="s">
        <v>655</v>
      </c>
      <c r="H1582" t="s">
        <v>2478</v>
      </c>
      <c r="I1582" t="s">
        <v>1537</v>
      </c>
      <c r="J1582" t="s">
        <v>30</v>
      </c>
      <c r="K1582">
        <v>20</v>
      </c>
      <c r="L1582" t="s">
        <v>46</v>
      </c>
      <c r="M1582">
        <v>149</v>
      </c>
      <c r="N1582">
        <v>1</v>
      </c>
      <c r="O1582">
        <v>8640.56</v>
      </c>
      <c r="P1582" s="1">
        <v>45600.340254629627</v>
      </c>
      <c r="Q1582">
        <v>18</v>
      </c>
      <c r="R1582" t="s">
        <v>74</v>
      </c>
      <c r="S1582">
        <v>0.58869132941241098</v>
      </c>
      <c r="T1582" t="b">
        <v>0</v>
      </c>
      <c r="U1582" t="b">
        <v>0</v>
      </c>
      <c r="V1582" t="b">
        <f t="shared" si="48"/>
        <v>1</v>
      </c>
      <c r="W1582">
        <v>0</v>
      </c>
      <c r="Y1582">
        <f t="shared" si="49"/>
        <v>0</v>
      </c>
    </row>
    <row r="1583" spans="1:25" x14ac:dyDescent="0.3">
      <c r="A1583" t="s">
        <v>3411</v>
      </c>
      <c r="B1583" t="s">
        <v>143</v>
      </c>
      <c r="C1583">
        <v>37.58</v>
      </c>
      <c r="D1583" s="1">
        <v>45033.765706018516</v>
      </c>
      <c r="E1583" t="s">
        <v>25</v>
      </c>
      <c r="F1583" t="s">
        <v>77</v>
      </c>
      <c r="G1583" t="s">
        <v>3412</v>
      </c>
      <c r="H1583" t="s">
        <v>1911</v>
      </c>
      <c r="I1583" t="s">
        <v>280</v>
      </c>
      <c r="J1583" t="s">
        <v>30</v>
      </c>
      <c r="K1583">
        <v>57</v>
      </c>
      <c r="L1583" t="s">
        <v>31</v>
      </c>
      <c r="M1583">
        <v>182</v>
      </c>
      <c r="N1583">
        <v>1</v>
      </c>
      <c r="O1583">
        <v>259.44</v>
      </c>
      <c r="P1583" s="1">
        <v>45600.341828703706</v>
      </c>
      <c r="Q1583">
        <v>18</v>
      </c>
      <c r="R1583" t="s">
        <v>47</v>
      </c>
      <c r="S1583">
        <v>-0.89062210513066298</v>
      </c>
      <c r="T1583" t="b">
        <v>0</v>
      </c>
      <c r="U1583" t="b">
        <v>0</v>
      </c>
      <c r="V1583" t="b">
        <f t="shared" si="48"/>
        <v>1</v>
      </c>
      <c r="W1583">
        <v>0</v>
      </c>
      <c r="Y1583">
        <f t="shared" si="49"/>
        <v>0</v>
      </c>
    </row>
    <row r="1584" spans="1:25" x14ac:dyDescent="0.3">
      <c r="A1584" t="s">
        <v>3413</v>
      </c>
      <c r="B1584" t="s">
        <v>2018</v>
      </c>
      <c r="C1584">
        <v>160.24</v>
      </c>
      <c r="D1584" s="1">
        <v>45146.71297453704</v>
      </c>
      <c r="E1584" t="s">
        <v>25</v>
      </c>
      <c r="F1584" t="s">
        <v>466</v>
      </c>
      <c r="G1584" t="s">
        <v>1894</v>
      </c>
      <c r="H1584" t="s">
        <v>1125</v>
      </c>
      <c r="I1584" t="s">
        <v>73</v>
      </c>
      <c r="J1584" t="s">
        <v>30</v>
      </c>
      <c r="K1584">
        <v>31</v>
      </c>
      <c r="L1584" t="s">
        <v>89</v>
      </c>
      <c r="M1584">
        <v>15</v>
      </c>
      <c r="N1584">
        <v>1</v>
      </c>
      <c r="O1584">
        <v>5526.97</v>
      </c>
      <c r="P1584" s="1">
        <v>45600.33966435185</v>
      </c>
      <c r="Q1584">
        <v>17</v>
      </c>
      <c r="R1584" t="s">
        <v>32</v>
      </c>
      <c r="S1584">
        <v>-0.47047626396864201</v>
      </c>
      <c r="T1584" t="b">
        <v>0</v>
      </c>
      <c r="U1584" t="b">
        <v>0</v>
      </c>
      <c r="V1584" t="b">
        <f t="shared" si="48"/>
        <v>1</v>
      </c>
      <c r="W1584">
        <v>0</v>
      </c>
      <c r="Y1584">
        <f t="shared" si="49"/>
        <v>0</v>
      </c>
    </row>
    <row r="1585" spans="1:25" x14ac:dyDescent="0.3">
      <c r="A1585" t="s">
        <v>3414</v>
      </c>
      <c r="B1585" t="s">
        <v>3415</v>
      </c>
      <c r="C1585">
        <v>315.39</v>
      </c>
      <c r="D1585" s="1">
        <v>45072.703159722223</v>
      </c>
      <c r="E1585" t="s">
        <v>57</v>
      </c>
      <c r="F1585" t="s">
        <v>216</v>
      </c>
      <c r="G1585" t="s">
        <v>1941</v>
      </c>
      <c r="H1585" t="s">
        <v>264</v>
      </c>
      <c r="I1585" t="s">
        <v>194</v>
      </c>
      <c r="J1585" t="s">
        <v>81</v>
      </c>
      <c r="K1585">
        <v>23</v>
      </c>
      <c r="L1585" t="s">
        <v>46</v>
      </c>
      <c r="M1585">
        <v>93</v>
      </c>
      <c r="N1585">
        <v>1</v>
      </c>
      <c r="O1585">
        <v>929.6</v>
      </c>
      <c r="P1585" s="1">
        <v>45600.33898148148</v>
      </c>
      <c r="Q1585">
        <v>16</v>
      </c>
      <c r="R1585" t="s">
        <v>54</v>
      </c>
      <c r="S1585">
        <v>6.0957188308282097E-2</v>
      </c>
      <c r="T1585" t="b">
        <v>0</v>
      </c>
      <c r="U1585" t="b">
        <v>0</v>
      </c>
      <c r="V1585" t="b">
        <f t="shared" si="48"/>
        <v>1</v>
      </c>
      <c r="W1585">
        <v>0</v>
      </c>
      <c r="Y1585">
        <f t="shared" si="49"/>
        <v>0</v>
      </c>
    </row>
    <row r="1586" spans="1:25" x14ac:dyDescent="0.3">
      <c r="A1586" t="s">
        <v>3416</v>
      </c>
      <c r="B1586" t="s">
        <v>598</v>
      </c>
      <c r="C1586">
        <v>434.17</v>
      </c>
      <c r="D1586" s="1">
        <v>44931.694548611114</v>
      </c>
      <c r="E1586" t="s">
        <v>25</v>
      </c>
      <c r="F1586" t="s">
        <v>58</v>
      </c>
      <c r="G1586" t="s">
        <v>2982</v>
      </c>
      <c r="H1586" t="s">
        <v>924</v>
      </c>
      <c r="I1586" t="s">
        <v>765</v>
      </c>
      <c r="J1586" t="s">
        <v>30</v>
      </c>
      <c r="K1586">
        <v>21</v>
      </c>
      <c r="L1586" t="s">
        <v>46</v>
      </c>
      <c r="M1586">
        <v>148</v>
      </c>
      <c r="N1586">
        <v>5</v>
      </c>
      <c r="O1586">
        <v>5335.44</v>
      </c>
      <c r="P1586" s="1">
        <v>45600.340162037035</v>
      </c>
      <c r="Q1586">
        <v>16</v>
      </c>
      <c r="R1586" t="s">
        <v>141</v>
      </c>
      <c r="S1586">
        <v>0.46781291155322602</v>
      </c>
      <c r="T1586" t="b">
        <v>0</v>
      </c>
      <c r="U1586" t="b">
        <v>1</v>
      </c>
      <c r="V1586" t="b">
        <f t="shared" si="48"/>
        <v>1</v>
      </c>
      <c r="W1586">
        <v>1</v>
      </c>
      <c r="Y1586">
        <f t="shared" si="49"/>
        <v>0</v>
      </c>
    </row>
    <row r="1587" spans="1:25" x14ac:dyDescent="0.3">
      <c r="A1587" t="s">
        <v>3417</v>
      </c>
      <c r="B1587" t="s">
        <v>2513</v>
      </c>
      <c r="C1587">
        <v>165.91</v>
      </c>
      <c r="D1587" s="1">
        <v>45000.736296296294</v>
      </c>
      <c r="E1587" t="s">
        <v>25</v>
      </c>
      <c r="F1587" t="s">
        <v>405</v>
      </c>
      <c r="G1587" t="s">
        <v>456</v>
      </c>
      <c r="H1587" t="s">
        <v>333</v>
      </c>
      <c r="I1587" t="s">
        <v>833</v>
      </c>
      <c r="J1587" t="s">
        <v>30</v>
      </c>
      <c r="K1587">
        <v>26</v>
      </c>
      <c r="L1587" t="s">
        <v>46</v>
      </c>
      <c r="M1587">
        <v>84</v>
      </c>
      <c r="N1587">
        <v>1</v>
      </c>
      <c r="O1587">
        <v>587.12</v>
      </c>
      <c r="P1587" s="1">
        <v>45600.339837962965</v>
      </c>
      <c r="Q1587">
        <v>17</v>
      </c>
      <c r="R1587" t="s">
        <v>74</v>
      </c>
      <c r="S1587">
        <v>-0.45105488031147001</v>
      </c>
      <c r="T1587" t="b">
        <v>0</v>
      </c>
      <c r="U1587" t="b">
        <v>0</v>
      </c>
      <c r="V1587" t="b">
        <f t="shared" si="48"/>
        <v>1</v>
      </c>
      <c r="W1587">
        <v>0</v>
      </c>
      <c r="Y1587">
        <f t="shared" si="49"/>
        <v>0</v>
      </c>
    </row>
    <row r="1588" spans="1:25" x14ac:dyDescent="0.3">
      <c r="A1588" t="s">
        <v>3418</v>
      </c>
      <c r="B1588" t="s">
        <v>175</v>
      </c>
      <c r="C1588">
        <v>211.36</v>
      </c>
      <c r="D1588" s="1">
        <v>45183.71435185185</v>
      </c>
      <c r="E1588" t="s">
        <v>25</v>
      </c>
      <c r="F1588" t="s">
        <v>225</v>
      </c>
      <c r="G1588" t="s">
        <v>148</v>
      </c>
      <c r="H1588" t="s">
        <v>3419</v>
      </c>
      <c r="I1588" t="s">
        <v>80</v>
      </c>
      <c r="J1588" t="s">
        <v>81</v>
      </c>
      <c r="K1588">
        <v>47</v>
      </c>
      <c r="L1588" t="s">
        <v>89</v>
      </c>
      <c r="M1588">
        <v>194</v>
      </c>
      <c r="N1588">
        <v>1</v>
      </c>
      <c r="O1588">
        <v>4760.34</v>
      </c>
      <c r="P1588" s="1">
        <v>45600.341249999998</v>
      </c>
      <c r="Q1588">
        <v>17</v>
      </c>
      <c r="R1588" t="s">
        <v>141</v>
      </c>
      <c r="S1588">
        <v>-0.295375535123032</v>
      </c>
      <c r="T1588" t="b">
        <v>0</v>
      </c>
      <c r="U1588" t="b">
        <v>0</v>
      </c>
      <c r="V1588" t="b">
        <f t="shared" si="48"/>
        <v>1</v>
      </c>
      <c r="W1588">
        <v>0</v>
      </c>
      <c r="Y1588">
        <f t="shared" si="49"/>
        <v>0</v>
      </c>
    </row>
    <row r="1589" spans="1:25" x14ac:dyDescent="0.3">
      <c r="A1589" t="s">
        <v>3420</v>
      </c>
      <c r="B1589" t="s">
        <v>451</v>
      </c>
      <c r="C1589">
        <v>241.45</v>
      </c>
      <c r="D1589" s="1">
        <v>45131.668437499997</v>
      </c>
      <c r="E1589" t="s">
        <v>25</v>
      </c>
      <c r="F1589" t="s">
        <v>608</v>
      </c>
      <c r="G1589" t="s">
        <v>378</v>
      </c>
      <c r="H1589" t="s">
        <v>166</v>
      </c>
      <c r="I1589" t="s">
        <v>620</v>
      </c>
      <c r="J1589" t="s">
        <v>45</v>
      </c>
      <c r="K1589">
        <v>26</v>
      </c>
      <c r="L1589" t="s">
        <v>46</v>
      </c>
      <c r="M1589">
        <v>158</v>
      </c>
      <c r="N1589">
        <v>1</v>
      </c>
      <c r="O1589">
        <v>1594.04</v>
      </c>
      <c r="P1589" s="1">
        <v>45600.339375000003</v>
      </c>
      <c r="Q1589">
        <v>16</v>
      </c>
      <c r="R1589" t="s">
        <v>47</v>
      </c>
      <c r="S1589">
        <v>-0.192308615503227</v>
      </c>
      <c r="T1589" t="b">
        <v>0</v>
      </c>
      <c r="U1589" t="b">
        <v>0</v>
      </c>
      <c r="V1589" t="b">
        <f t="shared" si="48"/>
        <v>1</v>
      </c>
      <c r="W1589">
        <v>0</v>
      </c>
      <c r="Y1589">
        <f t="shared" si="49"/>
        <v>0</v>
      </c>
    </row>
    <row r="1590" spans="1:25" x14ac:dyDescent="0.3">
      <c r="A1590" t="s">
        <v>3421</v>
      </c>
      <c r="B1590" t="s">
        <v>835</v>
      </c>
      <c r="C1590">
        <v>23.24</v>
      </c>
      <c r="D1590" s="1">
        <v>45029.695613425924</v>
      </c>
      <c r="E1590" t="s">
        <v>25</v>
      </c>
      <c r="F1590" t="s">
        <v>77</v>
      </c>
      <c r="G1590" t="s">
        <v>843</v>
      </c>
      <c r="H1590" t="s">
        <v>2366</v>
      </c>
      <c r="I1590" t="s">
        <v>67</v>
      </c>
      <c r="J1590" t="s">
        <v>81</v>
      </c>
      <c r="K1590">
        <v>68</v>
      </c>
      <c r="L1590" t="s">
        <v>31</v>
      </c>
      <c r="M1590">
        <v>129</v>
      </c>
      <c r="N1590">
        <v>1</v>
      </c>
      <c r="O1590">
        <v>13777.79</v>
      </c>
      <c r="P1590" s="1">
        <v>45600.340914351851</v>
      </c>
      <c r="Q1590">
        <v>16</v>
      </c>
      <c r="R1590" t="s">
        <v>141</v>
      </c>
      <c r="S1590">
        <v>-0.93974073681387904</v>
      </c>
      <c r="T1590" t="b">
        <v>0</v>
      </c>
      <c r="U1590" t="b">
        <v>0</v>
      </c>
      <c r="V1590" t="b">
        <f t="shared" si="48"/>
        <v>1</v>
      </c>
      <c r="W1590">
        <v>0</v>
      </c>
      <c r="Y1590">
        <f t="shared" si="49"/>
        <v>0</v>
      </c>
    </row>
    <row r="1591" spans="1:25" x14ac:dyDescent="0.3">
      <c r="A1591" t="s">
        <v>3422</v>
      </c>
      <c r="B1591" t="s">
        <v>790</v>
      </c>
      <c r="C1591">
        <v>70.88</v>
      </c>
      <c r="D1591" s="1">
        <v>45264.679618055554</v>
      </c>
      <c r="E1591" t="s">
        <v>57</v>
      </c>
      <c r="F1591" t="s">
        <v>309</v>
      </c>
      <c r="G1591" t="s">
        <v>956</v>
      </c>
      <c r="H1591" t="s">
        <v>1409</v>
      </c>
      <c r="I1591" t="s">
        <v>356</v>
      </c>
      <c r="J1591" t="s">
        <v>81</v>
      </c>
      <c r="K1591">
        <v>74</v>
      </c>
      <c r="L1591" t="s">
        <v>82</v>
      </c>
      <c r="M1591">
        <v>176</v>
      </c>
      <c r="N1591">
        <v>1</v>
      </c>
      <c r="O1591">
        <v>1794.65</v>
      </c>
      <c r="P1591" s="1">
        <v>45600.337800925925</v>
      </c>
      <c r="Q1591">
        <v>16</v>
      </c>
      <c r="R1591" t="s">
        <v>47</v>
      </c>
      <c r="S1591">
        <v>-0.77656001063616298</v>
      </c>
      <c r="T1591" t="b">
        <v>0</v>
      </c>
      <c r="U1591" t="b">
        <v>0</v>
      </c>
      <c r="V1591" t="b">
        <f t="shared" si="48"/>
        <v>1</v>
      </c>
      <c r="W1591">
        <v>0</v>
      </c>
      <c r="Y1591">
        <f t="shared" si="49"/>
        <v>0</v>
      </c>
    </row>
    <row r="1592" spans="1:25" x14ac:dyDescent="0.3">
      <c r="A1592" t="s">
        <v>3423</v>
      </c>
      <c r="B1592" t="s">
        <v>3367</v>
      </c>
      <c r="C1592">
        <v>1143.67</v>
      </c>
      <c r="D1592" s="1">
        <v>45229.679722222223</v>
      </c>
      <c r="E1592" t="s">
        <v>25</v>
      </c>
      <c r="F1592" t="s">
        <v>58</v>
      </c>
      <c r="G1592" t="s">
        <v>1102</v>
      </c>
      <c r="H1592" t="s">
        <v>2402</v>
      </c>
      <c r="I1592" t="s">
        <v>134</v>
      </c>
      <c r="J1592" t="s">
        <v>45</v>
      </c>
      <c r="K1592">
        <v>66</v>
      </c>
      <c r="L1592" t="s">
        <v>82</v>
      </c>
      <c r="M1592">
        <v>111</v>
      </c>
      <c r="N1592">
        <v>1</v>
      </c>
      <c r="O1592">
        <v>7677.76</v>
      </c>
      <c r="P1592" s="1">
        <v>45600.340752314813</v>
      </c>
      <c r="Q1592">
        <v>16</v>
      </c>
      <c r="R1592" t="s">
        <v>47</v>
      </c>
      <c r="S1592">
        <v>2.8980548347918802</v>
      </c>
      <c r="T1592" t="b">
        <v>1</v>
      </c>
      <c r="U1592" t="b">
        <v>0</v>
      </c>
      <c r="V1592" t="b">
        <f t="shared" si="48"/>
        <v>1</v>
      </c>
      <c r="W1592">
        <v>1</v>
      </c>
      <c r="Y1592">
        <f t="shared" si="49"/>
        <v>1</v>
      </c>
    </row>
    <row r="1593" spans="1:25" x14ac:dyDescent="0.3">
      <c r="A1593" t="s">
        <v>3424</v>
      </c>
      <c r="B1593" t="s">
        <v>2815</v>
      </c>
      <c r="C1593">
        <v>314.52</v>
      </c>
      <c r="D1593" s="1">
        <v>45005.723414351851</v>
      </c>
      <c r="E1593" t="s">
        <v>25</v>
      </c>
      <c r="F1593" t="s">
        <v>104</v>
      </c>
      <c r="G1593" t="s">
        <v>3141</v>
      </c>
      <c r="H1593" t="s">
        <v>1132</v>
      </c>
      <c r="I1593" t="s">
        <v>112</v>
      </c>
      <c r="J1593" t="s">
        <v>30</v>
      </c>
      <c r="K1593">
        <v>80</v>
      </c>
      <c r="L1593" t="s">
        <v>82</v>
      </c>
      <c r="M1593">
        <v>229</v>
      </c>
      <c r="N1593">
        <v>1</v>
      </c>
      <c r="O1593">
        <v>7071.32</v>
      </c>
      <c r="P1593" s="1">
        <v>45600.338009259256</v>
      </c>
      <c r="Q1593">
        <v>17</v>
      </c>
      <c r="R1593" t="s">
        <v>47</v>
      </c>
      <c r="S1593">
        <v>5.79771876413087E-2</v>
      </c>
      <c r="T1593" t="b">
        <v>0</v>
      </c>
      <c r="U1593" t="b">
        <v>0</v>
      </c>
      <c r="V1593" t="b">
        <f t="shared" si="48"/>
        <v>1</v>
      </c>
      <c r="W1593">
        <v>0</v>
      </c>
      <c r="Y1593">
        <f t="shared" si="49"/>
        <v>0</v>
      </c>
    </row>
    <row r="1594" spans="1:25" x14ac:dyDescent="0.3">
      <c r="A1594" t="s">
        <v>3425</v>
      </c>
      <c r="B1594" t="s">
        <v>634</v>
      </c>
      <c r="C1594">
        <v>181.81</v>
      </c>
      <c r="D1594" s="1">
        <v>45075.67359953704</v>
      </c>
      <c r="E1594" t="s">
        <v>57</v>
      </c>
      <c r="F1594" t="s">
        <v>131</v>
      </c>
      <c r="G1594" t="s">
        <v>2575</v>
      </c>
      <c r="H1594" t="s">
        <v>3035</v>
      </c>
      <c r="I1594" t="s">
        <v>620</v>
      </c>
      <c r="J1594" t="s">
        <v>45</v>
      </c>
      <c r="K1594">
        <v>78</v>
      </c>
      <c r="L1594" t="s">
        <v>82</v>
      </c>
      <c r="M1594">
        <v>122</v>
      </c>
      <c r="N1594">
        <v>1</v>
      </c>
      <c r="O1594">
        <v>7525.73</v>
      </c>
      <c r="P1594" s="1">
        <v>45600.339629629627</v>
      </c>
      <c r="Q1594">
        <v>16</v>
      </c>
      <c r="R1594" t="s">
        <v>47</v>
      </c>
      <c r="S1594">
        <v>-0.39659279915643902</v>
      </c>
      <c r="T1594" t="b">
        <v>0</v>
      </c>
      <c r="U1594" t="b">
        <v>0</v>
      </c>
      <c r="V1594" t="b">
        <f t="shared" si="48"/>
        <v>1</v>
      </c>
      <c r="W1594">
        <v>0</v>
      </c>
      <c r="Y1594">
        <f t="shared" si="49"/>
        <v>0</v>
      </c>
    </row>
    <row r="1595" spans="1:25" x14ac:dyDescent="0.3">
      <c r="A1595" t="s">
        <v>3426</v>
      </c>
      <c r="B1595" t="s">
        <v>1839</v>
      </c>
      <c r="C1595">
        <v>854.64</v>
      </c>
      <c r="D1595" s="1">
        <v>45237.789733796293</v>
      </c>
      <c r="E1595" t="s">
        <v>25</v>
      </c>
      <c r="F1595" t="s">
        <v>170</v>
      </c>
      <c r="G1595" t="s">
        <v>1399</v>
      </c>
      <c r="H1595" t="s">
        <v>544</v>
      </c>
      <c r="I1595" t="s">
        <v>871</v>
      </c>
      <c r="J1595" t="s">
        <v>81</v>
      </c>
      <c r="K1595">
        <v>56</v>
      </c>
      <c r="L1595" t="s">
        <v>82</v>
      </c>
      <c r="M1595">
        <v>118</v>
      </c>
      <c r="N1595">
        <v>1</v>
      </c>
      <c r="O1595">
        <v>2989.25</v>
      </c>
      <c r="P1595" s="1">
        <v>45600.339513888888</v>
      </c>
      <c r="Q1595">
        <v>18</v>
      </c>
      <c r="R1595" t="s">
        <v>32</v>
      </c>
      <c r="S1595">
        <v>1.90804380861335</v>
      </c>
      <c r="T1595" t="b">
        <v>0</v>
      </c>
      <c r="U1595" t="b">
        <v>0</v>
      </c>
      <c r="V1595" t="b">
        <f t="shared" si="48"/>
        <v>1</v>
      </c>
      <c r="W1595">
        <v>0</v>
      </c>
      <c r="Y1595">
        <f t="shared" si="49"/>
        <v>0</v>
      </c>
    </row>
    <row r="1596" spans="1:25" x14ac:dyDescent="0.3">
      <c r="A1596" t="s">
        <v>3427</v>
      </c>
      <c r="B1596" t="s">
        <v>2146</v>
      </c>
      <c r="C1596">
        <v>261.19</v>
      </c>
      <c r="D1596" s="1">
        <v>44938.716921296298</v>
      </c>
      <c r="E1596" t="s">
        <v>25</v>
      </c>
      <c r="F1596" t="s">
        <v>64</v>
      </c>
      <c r="G1596" t="s">
        <v>2372</v>
      </c>
      <c r="H1596" t="s">
        <v>2490</v>
      </c>
      <c r="I1596" t="s">
        <v>316</v>
      </c>
      <c r="J1596" t="s">
        <v>30</v>
      </c>
      <c r="K1596">
        <v>64</v>
      </c>
      <c r="L1596" t="s">
        <v>82</v>
      </c>
      <c r="M1596">
        <v>52</v>
      </c>
      <c r="N1596">
        <v>1</v>
      </c>
      <c r="O1596">
        <v>7620.6</v>
      </c>
      <c r="P1596" s="1">
        <v>45600.340138888889</v>
      </c>
      <c r="Q1596">
        <v>17</v>
      </c>
      <c r="R1596" t="s">
        <v>141</v>
      </c>
      <c r="S1596">
        <v>-0.12469342795603799</v>
      </c>
      <c r="T1596" t="b">
        <v>0</v>
      </c>
      <c r="U1596" t="b">
        <v>0</v>
      </c>
      <c r="V1596" t="b">
        <f t="shared" si="48"/>
        <v>1</v>
      </c>
      <c r="W1596">
        <v>0</v>
      </c>
      <c r="Y1596">
        <f t="shared" si="49"/>
        <v>0</v>
      </c>
    </row>
    <row r="1597" spans="1:25" x14ac:dyDescent="0.3">
      <c r="A1597" t="s">
        <v>3428</v>
      </c>
      <c r="B1597" t="s">
        <v>3209</v>
      </c>
      <c r="C1597">
        <v>220.68</v>
      </c>
      <c r="D1597" s="1">
        <v>45208.766261574077</v>
      </c>
      <c r="E1597" t="s">
        <v>57</v>
      </c>
      <c r="F1597" t="s">
        <v>50</v>
      </c>
      <c r="G1597" t="s">
        <v>337</v>
      </c>
      <c r="H1597" t="s">
        <v>3100</v>
      </c>
      <c r="I1597" t="s">
        <v>1358</v>
      </c>
      <c r="J1597" t="s">
        <v>45</v>
      </c>
      <c r="K1597">
        <v>71</v>
      </c>
      <c r="L1597" t="s">
        <v>82</v>
      </c>
      <c r="M1597">
        <v>217</v>
      </c>
      <c r="N1597">
        <v>1</v>
      </c>
      <c r="O1597">
        <v>5549.2</v>
      </c>
      <c r="P1597" s="1">
        <v>45600.338252314818</v>
      </c>
      <c r="Q1597">
        <v>18</v>
      </c>
      <c r="R1597" t="s">
        <v>47</v>
      </c>
      <c r="S1597">
        <v>-0.26345184981706399</v>
      </c>
      <c r="T1597" t="b">
        <v>0</v>
      </c>
      <c r="U1597" t="b">
        <v>0</v>
      </c>
      <c r="V1597" t="b">
        <f t="shared" si="48"/>
        <v>1</v>
      </c>
      <c r="W1597">
        <v>0</v>
      </c>
      <c r="Y1597">
        <f t="shared" si="49"/>
        <v>0</v>
      </c>
    </row>
    <row r="1598" spans="1:25" x14ac:dyDescent="0.3">
      <c r="A1598" t="s">
        <v>3429</v>
      </c>
      <c r="B1598" t="s">
        <v>56</v>
      </c>
      <c r="C1598">
        <v>11.86</v>
      </c>
      <c r="D1598" s="1">
        <v>45174.696944444448</v>
      </c>
      <c r="E1598" t="s">
        <v>25</v>
      </c>
      <c r="F1598" t="s">
        <v>298</v>
      </c>
      <c r="G1598" t="s">
        <v>1734</v>
      </c>
      <c r="H1598" t="s">
        <v>1687</v>
      </c>
      <c r="I1598" t="s">
        <v>67</v>
      </c>
      <c r="J1598" t="s">
        <v>81</v>
      </c>
      <c r="K1598">
        <v>31</v>
      </c>
      <c r="L1598" t="s">
        <v>89</v>
      </c>
      <c r="M1598">
        <v>129</v>
      </c>
      <c r="N1598">
        <v>1</v>
      </c>
      <c r="O1598">
        <v>6782.61</v>
      </c>
      <c r="P1598" s="1">
        <v>45600.339490740742</v>
      </c>
      <c r="Q1598">
        <v>16</v>
      </c>
      <c r="R1598" t="s">
        <v>32</v>
      </c>
      <c r="S1598">
        <v>-0.978720515653141</v>
      </c>
      <c r="T1598" t="b">
        <v>0</v>
      </c>
      <c r="U1598" t="b">
        <v>0</v>
      </c>
      <c r="V1598" t="b">
        <f t="shared" si="48"/>
        <v>1</v>
      </c>
      <c r="W1598">
        <v>0</v>
      </c>
      <c r="Y1598">
        <f t="shared" si="49"/>
        <v>0</v>
      </c>
    </row>
    <row r="1599" spans="1:25" x14ac:dyDescent="0.3">
      <c r="A1599" t="s">
        <v>3430</v>
      </c>
      <c r="B1599" t="s">
        <v>2794</v>
      </c>
      <c r="C1599">
        <v>122.65</v>
      </c>
      <c r="D1599" s="1">
        <v>45155.685381944444</v>
      </c>
      <c r="E1599" t="s">
        <v>25</v>
      </c>
      <c r="F1599" t="s">
        <v>137</v>
      </c>
      <c r="G1599" t="s">
        <v>2563</v>
      </c>
      <c r="H1599" t="s">
        <v>3431</v>
      </c>
      <c r="I1599" t="s">
        <v>150</v>
      </c>
      <c r="J1599" t="s">
        <v>45</v>
      </c>
      <c r="K1599">
        <v>28</v>
      </c>
      <c r="L1599" t="s">
        <v>46</v>
      </c>
      <c r="M1599">
        <v>41</v>
      </c>
      <c r="N1599">
        <v>1</v>
      </c>
      <c r="O1599">
        <v>1968.51</v>
      </c>
      <c r="P1599" s="1">
        <v>45600.338159722225</v>
      </c>
      <c r="Q1599">
        <v>16</v>
      </c>
      <c r="R1599" t="s">
        <v>141</v>
      </c>
      <c r="S1599">
        <v>-0.59923284451063097</v>
      </c>
      <c r="T1599" t="b">
        <v>0</v>
      </c>
      <c r="U1599" t="b">
        <v>0</v>
      </c>
      <c r="V1599" t="b">
        <f t="shared" si="48"/>
        <v>1</v>
      </c>
      <c r="W1599">
        <v>0</v>
      </c>
      <c r="Y1599">
        <f t="shared" si="49"/>
        <v>0</v>
      </c>
    </row>
    <row r="1600" spans="1:25" x14ac:dyDescent="0.3">
      <c r="A1600" t="s">
        <v>3432</v>
      </c>
      <c r="B1600" t="s">
        <v>152</v>
      </c>
      <c r="C1600">
        <v>395.16</v>
      </c>
      <c r="D1600" s="1">
        <v>45131.676446759258</v>
      </c>
      <c r="E1600" t="s">
        <v>25</v>
      </c>
      <c r="F1600" t="s">
        <v>191</v>
      </c>
      <c r="G1600" t="s">
        <v>2081</v>
      </c>
      <c r="H1600" t="s">
        <v>494</v>
      </c>
      <c r="I1600" t="s">
        <v>140</v>
      </c>
      <c r="J1600" t="s">
        <v>45</v>
      </c>
      <c r="K1600">
        <v>56</v>
      </c>
      <c r="L1600" t="s">
        <v>82</v>
      </c>
      <c r="M1600">
        <v>17</v>
      </c>
      <c r="N1600">
        <v>1</v>
      </c>
      <c r="O1600">
        <v>5340.73</v>
      </c>
      <c r="P1600" s="1">
        <v>45600.341145833336</v>
      </c>
      <c r="Q1600">
        <v>16</v>
      </c>
      <c r="R1600" t="s">
        <v>47</v>
      </c>
      <c r="S1600">
        <v>0.334192421876637</v>
      </c>
      <c r="T1600" t="b">
        <v>0</v>
      </c>
      <c r="U1600" t="b">
        <v>0</v>
      </c>
      <c r="V1600" t="b">
        <f t="shared" si="48"/>
        <v>1</v>
      </c>
      <c r="W1600">
        <v>0</v>
      </c>
      <c r="Y1600">
        <f t="shared" si="49"/>
        <v>0</v>
      </c>
    </row>
    <row r="1601" spans="1:25" x14ac:dyDescent="0.3">
      <c r="A1601" t="s">
        <v>3433</v>
      </c>
      <c r="B1601" t="s">
        <v>1398</v>
      </c>
      <c r="C1601">
        <v>704.69</v>
      </c>
      <c r="D1601" s="1">
        <v>45125.724178240744</v>
      </c>
      <c r="E1601" t="s">
        <v>25</v>
      </c>
      <c r="F1601" t="s">
        <v>159</v>
      </c>
      <c r="G1601" t="s">
        <v>1492</v>
      </c>
      <c r="H1601" t="s">
        <v>1111</v>
      </c>
      <c r="I1601" t="s">
        <v>561</v>
      </c>
      <c r="J1601" t="s">
        <v>45</v>
      </c>
      <c r="K1601">
        <v>51</v>
      </c>
      <c r="L1601" t="s">
        <v>82</v>
      </c>
      <c r="M1601">
        <v>150</v>
      </c>
      <c r="N1601">
        <v>1</v>
      </c>
      <c r="O1601">
        <v>3267.84</v>
      </c>
      <c r="P1601" s="1">
        <v>45600.340868055559</v>
      </c>
      <c r="Q1601">
        <v>17</v>
      </c>
      <c r="R1601" t="s">
        <v>32</v>
      </c>
      <c r="S1601">
        <v>1.3944218545758</v>
      </c>
      <c r="T1601" t="b">
        <v>0</v>
      </c>
      <c r="U1601" t="b">
        <v>0</v>
      </c>
      <c r="V1601" t="b">
        <f t="shared" si="48"/>
        <v>1</v>
      </c>
      <c r="W1601">
        <v>0</v>
      </c>
      <c r="Y1601">
        <f t="shared" si="49"/>
        <v>0</v>
      </c>
    </row>
    <row r="1602" spans="1:25" x14ac:dyDescent="0.3">
      <c r="A1602" t="s">
        <v>3434</v>
      </c>
      <c r="B1602" t="s">
        <v>733</v>
      </c>
      <c r="C1602">
        <v>369.89</v>
      </c>
      <c r="D1602" s="1">
        <v>45217.697638888887</v>
      </c>
      <c r="E1602" t="s">
        <v>25</v>
      </c>
      <c r="F1602" t="s">
        <v>250</v>
      </c>
      <c r="G1602" t="s">
        <v>229</v>
      </c>
      <c r="H1602" t="s">
        <v>343</v>
      </c>
      <c r="I1602" t="s">
        <v>173</v>
      </c>
      <c r="J1602" t="s">
        <v>30</v>
      </c>
      <c r="K1602">
        <v>69</v>
      </c>
      <c r="L1602" t="s">
        <v>82</v>
      </c>
      <c r="M1602">
        <v>69</v>
      </c>
      <c r="N1602">
        <v>1</v>
      </c>
      <c r="O1602">
        <v>6941.47</v>
      </c>
      <c r="P1602" s="1">
        <v>45600.341284722221</v>
      </c>
      <c r="Q1602">
        <v>16</v>
      </c>
      <c r="R1602" t="s">
        <v>74</v>
      </c>
      <c r="S1602">
        <v>0.247635391009489</v>
      </c>
      <c r="T1602" t="b">
        <v>0</v>
      </c>
      <c r="U1602" t="b">
        <v>0</v>
      </c>
      <c r="V1602" t="b">
        <f t="shared" si="48"/>
        <v>1</v>
      </c>
      <c r="W1602">
        <v>0</v>
      </c>
      <c r="Y1602">
        <f t="shared" si="49"/>
        <v>0</v>
      </c>
    </row>
    <row r="1603" spans="1:25" x14ac:dyDescent="0.3">
      <c r="A1603" t="s">
        <v>3435</v>
      </c>
      <c r="B1603" t="s">
        <v>164</v>
      </c>
      <c r="C1603">
        <v>10.92</v>
      </c>
      <c r="D1603" s="1">
        <v>45219.742175925923</v>
      </c>
      <c r="E1603" t="s">
        <v>25</v>
      </c>
      <c r="F1603" t="s">
        <v>405</v>
      </c>
      <c r="G1603" t="s">
        <v>1165</v>
      </c>
      <c r="H1603" t="s">
        <v>2490</v>
      </c>
      <c r="I1603" t="s">
        <v>290</v>
      </c>
      <c r="J1603" t="s">
        <v>30</v>
      </c>
      <c r="K1603">
        <v>67</v>
      </c>
      <c r="L1603" t="s">
        <v>82</v>
      </c>
      <c r="M1603">
        <v>268</v>
      </c>
      <c r="N1603">
        <v>1</v>
      </c>
      <c r="O1603">
        <v>7567.2</v>
      </c>
      <c r="P1603" s="1">
        <v>45600.339212962965</v>
      </c>
      <c r="Q1603">
        <v>17</v>
      </c>
      <c r="R1603" t="s">
        <v>54</v>
      </c>
      <c r="S1603">
        <v>-0.981940286488721</v>
      </c>
      <c r="T1603" t="b">
        <v>0</v>
      </c>
      <c r="U1603" t="b">
        <v>0</v>
      </c>
      <c r="V1603" t="b">
        <f t="shared" ref="V1603:V1666" si="50">ISLOGICAL(T1603)</f>
        <v>1</v>
      </c>
      <c r="W1603">
        <v>0</v>
      </c>
      <c r="Y1603">
        <f t="shared" ref="Y1603:Y1666" si="51">--T1603</f>
        <v>0</v>
      </c>
    </row>
    <row r="1604" spans="1:25" x14ac:dyDescent="0.3">
      <c r="A1604" t="s">
        <v>3436</v>
      </c>
      <c r="B1604" t="s">
        <v>1997</v>
      </c>
      <c r="C1604">
        <v>199.14</v>
      </c>
      <c r="D1604" s="1">
        <v>45140.730891203704</v>
      </c>
      <c r="E1604" t="s">
        <v>25</v>
      </c>
      <c r="F1604" t="s">
        <v>70</v>
      </c>
      <c r="G1604" t="s">
        <v>413</v>
      </c>
      <c r="H1604" t="s">
        <v>212</v>
      </c>
      <c r="I1604" t="s">
        <v>275</v>
      </c>
      <c r="J1604" t="s">
        <v>81</v>
      </c>
      <c r="K1604">
        <v>31</v>
      </c>
      <c r="L1604" t="s">
        <v>89</v>
      </c>
      <c r="M1604">
        <v>36</v>
      </c>
      <c r="N1604">
        <v>1</v>
      </c>
      <c r="O1604">
        <v>7001.25</v>
      </c>
      <c r="P1604" s="1">
        <v>45600.340879629628</v>
      </c>
      <c r="Q1604">
        <v>17</v>
      </c>
      <c r="R1604" t="s">
        <v>74</v>
      </c>
      <c r="S1604">
        <v>-0.337232555985578</v>
      </c>
      <c r="T1604" t="b">
        <v>0</v>
      </c>
      <c r="U1604" t="b">
        <v>0</v>
      </c>
      <c r="V1604" t="b">
        <f t="shared" si="50"/>
        <v>1</v>
      </c>
      <c r="W1604">
        <v>0</v>
      </c>
      <c r="Y1604">
        <f t="shared" si="51"/>
        <v>0</v>
      </c>
    </row>
    <row r="1605" spans="1:25" x14ac:dyDescent="0.3">
      <c r="A1605" t="s">
        <v>3437</v>
      </c>
      <c r="B1605" t="s">
        <v>245</v>
      </c>
      <c r="C1605">
        <v>109.43</v>
      </c>
      <c r="D1605" s="1">
        <v>44937.755150462966</v>
      </c>
      <c r="E1605" t="s">
        <v>25</v>
      </c>
      <c r="F1605" t="s">
        <v>126</v>
      </c>
      <c r="G1605" t="s">
        <v>1535</v>
      </c>
      <c r="H1605" t="s">
        <v>684</v>
      </c>
      <c r="I1605" t="s">
        <v>67</v>
      </c>
      <c r="J1605" t="s">
        <v>30</v>
      </c>
      <c r="K1605">
        <v>70</v>
      </c>
      <c r="L1605" t="s">
        <v>82</v>
      </c>
      <c r="M1605">
        <v>140</v>
      </c>
      <c r="N1605">
        <v>1</v>
      </c>
      <c r="O1605">
        <v>1983.65</v>
      </c>
      <c r="P1605" s="1">
        <v>45600.340150462966</v>
      </c>
      <c r="Q1605">
        <v>18</v>
      </c>
      <c r="R1605" t="s">
        <v>74</v>
      </c>
      <c r="S1605">
        <v>-0.64451515349613497</v>
      </c>
      <c r="T1605" t="b">
        <v>0</v>
      </c>
      <c r="U1605" t="b">
        <v>0</v>
      </c>
      <c r="V1605" t="b">
        <f t="shared" si="50"/>
        <v>1</v>
      </c>
      <c r="W1605">
        <v>0</v>
      </c>
      <c r="Y1605">
        <f t="shared" si="51"/>
        <v>0</v>
      </c>
    </row>
    <row r="1606" spans="1:25" x14ac:dyDescent="0.3">
      <c r="A1606" t="s">
        <v>3438</v>
      </c>
      <c r="B1606" t="s">
        <v>830</v>
      </c>
      <c r="C1606">
        <v>304.14999999999998</v>
      </c>
      <c r="D1606" s="1">
        <v>45258.673310185186</v>
      </c>
      <c r="E1606" t="s">
        <v>25</v>
      </c>
      <c r="F1606" t="s">
        <v>58</v>
      </c>
      <c r="G1606" t="s">
        <v>3439</v>
      </c>
      <c r="H1606" t="s">
        <v>1650</v>
      </c>
      <c r="I1606" t="s">
        <v>765</v>
      </c>
      <c r="J1606" t="s">
        <v>81</v>
      </c>
      <c r="K1606">
        <v>20</v>
      </c>
      <c r="L1606" t="s">
        <v>46</v>
      </c>
      <c r="M1606">
        <v>40</v>
      </c>
      <c r="N1606">
        <v>1</v>
      </c>
      <c r="O1606">
        <v>686.91</v>
      </c>
      <c r="P1606" s="1">
        <v>45600.340474537035</v>
      </c>
      <c r="Q1606">
        <v>16</v>
      </c>
      <c r="R1606" t="s">
        <v>32</v>
      </c>
      <c r="S1606">
        <v>2.2456949806234801E-2</v>
      </c>
      <c r="T1606" t="b">
        <v>0</v>
      </c>
      <c r="U1606" t="b">
        <v>0</v>
      </c>
      <c r="V1606" t="b">
        <f t="shared" si="50"/>
        <v>1</v>
      </c>
      <c r="W1606">
        <v>0</v>
      </c>
      <c r="Y1606">
        <f t="shared" si="51"/>
        <v>0</v>
      </c>
    </row>
    <row r="1607" spans="1:25" x14ac:dyDescent="0.3">
      <c r="A1607" t="s">
        <v>3440</v>
      </c>
      <c r="B1607" t="s">
        <v>742</v>
      </c>
      <c r="C1607">
        <v>620.54</v>
      </c>
      <c r="D1607" s="1">
        <v>45012.685254629629</v>
      </c>
      <c r="E1607" t="s">
        <v>57</v>
      </c>
      <c r="F1607" t="s">
        <v>309</v>
      </c>
      <c r="G1607" t="s">
        <v>535</v>
      </c>
      <c r="H1607" t="s">
        <v>748</v>
      </c>
      <c r="I1607" t="s">
        <v>44</v>
      </c>
      <c r="J1607" t="s">
        <v>81</v>
      </c>
      <c r="K1607">
        <v>28</v>
      </c>
      <c r="L1607" t="s">
        <v>46</v>
      </c>
      <c r="M1607">
        <v>98</v>
      </c>
      <c r="N1607">
        <v>1</v>
      </c>
      <c r="O1607">
        <v>213.36</v>
      </c>
      <c r="P1607" s="1">
        <v>45600.338495370372</v>
      </c>
      <c r="Q1607">
        <v>16</v>
      </c>
      <c r="R1607" t="s">
        <v>47</v>
      </c>
      <c r="S1607">
        <v>1.1061838590288899</v>
      </c>
      <c r="T1607" t="b">
        <v>0</v>
      </c>
      <c r="U1607" t="b">
        <v>0</v>
      </c>
      <c r="V1607" t="b">
        <f t="shared" si="50"/>
        <v>1</v>
      </c>
      <c r="W1607">
        <v>0</v>
      </c>
      <c r="Y1607">
        <f t="shared" si="51"/>
        <v>0</v>
      </c>
    </row>
    <row r="1608" spans="1:25" x14ac:dyDescent="0.3">
      <c r="A1608" t="s">
        <v>3441</v>
      </c>
      <c r="B1608" t="s">
        <v>130</v>
      </c>
      <c r="C1608">
        <v>757.79</v>
      </c>
      <c r="D1608" s="1">
        <v>44928.687604166669</v>
      </c>
      <c r="E1608" t="s">
        <v>25</v>
      </c>
      <c r="F1608" t="s">
        <v>262</v>
      </c>
      <c r="G1608" t="s">
        <v>110</v>
      </c>
      <c r="H1608" t="s">
        <v>2180</v>
      </c>
      <c r="I1608" t="s">
        <v>652</v>
      </c>
      <c r="J1608" t="s">
        <v>45</v>
      </c>
      <c r="K1608">
        <v>22</v>
      </c>
      <c r="L1608" t="s">
        <v>46</v>
      </c>
      <c r="M1608">
        <v>117</v>
      </c>
      <c r="N1608">
        <v>1</v>
      </c>
      <c r="O1608">
        <v>1443.02</v>
      </c>
      <c r="P1608" s="1">
        <v>45600.339201388888</v>
      </c>
      <c r="Q1608">
        <v>16</v>
      </c>
      <c r="R1608" t="s">
        <v>47</v>
      </c>
      <c r="S1608">
        <v>1.57630465390487</v>
      </c>
      <c r="T1608" t="b">
        <v>0</v>
      </c>
      <c r="U1608" t="b">
        <v>0</v>
      </c>
      <c r="V1608" t="b">
        <f t="shared" si="50"/>
        <v>1</v>
      </c>
      <c r="W1608">
        <v>0</v>
      </c>
      <c r="Y1608">
        <f t="shared" si="51"/>
        <v>0</v>
      </c>
    </row>
    <row r="1609" spans="1:25" x14ac:dyDescent="0.3">
      <c r="A1609" t="s">
        <v>3442</v>
      </c>
      <c r="B1609" t="s">
        <v>3019</v>
      </c>
      <c r="C1609">
        <v>122.81</v>
      </c>
      <c r="D1609" s="1">
        <v>45223.675219907411</v>
      </c>
      <c r="E1609" t="s">
        <v>25</v>
      </c>
      <c r="F1609" t="s">
        <v>236</v>
      </c>
      <c r="G1609" t="s">
        <v>1003</v>
      </c>
      <c r="H1609" t="s">
        <v>2654</v>
      </c>
      <c r="I1609" t="s">
        <v>765</v>
      </c>
      <c r="J1609" t="s">
        <v>81</v>
      </c>
      <c r="K1609">
        <v>52</v>
      </c>
      <c r="L1609" t="s">
        <v>31</v>
      </c>
      <c r="M1609">
        <v>12</v>
      </c>
      <c r="N1609">
        <v>1</v>
      </c>
      <c r="O1609">
        <v>8450.84</v>
      </c>
      <c r="P1609" s="1">
        <v>45600.340011574073</v>
      </c>
      <c r="Q1609">
        <v>16</v>
      </c>
      <c r="R1609" t="s">
        <v>32</v>
      </c>
      <c r="S1609">
        <v>-0.59868479841095701</v>
      </c>
      <c r="T1609" t="b">
        <v>0</v>
      </c>
      <c r="U1609" t="b">
        <v>0</v>
      </c>
      <c r="V1609" t="b">
        <f t="shared" si="50"/>
        <v>1</v>
      </c>
      <c r="W1609">
        <v>0</v>
      </c>
      <c r="Y1609">
        <f t="shared" si="51"/>
        <v>0</v>
      </c>
    </row>
    <row r="1610" spans="1:25" x14ac:dyDescent="0.3">
      <c r="A1610" t="s">
        <v>3443</v>
      </c>
      <c r="B1610" t="s">
        <v>1029</v>
      </c>
      <c r="C1610">
        <v>96.25</v>
      </c>
      <c r="D1610" s="1">
        <v>45134.66783564815</v>
      </c>
      <c r="E1610" t="s">
        <v>25</v>
      </c>
      <c r="F1610" t="s">
        <v>35</v>
      </c>
      <c r="G1610" t="s">
        <v>1952</v>
      </c>
      <c r="H1610" t="s">
        <v>942</v>
      </c>
      <c r="I1610" t="s">
        <v>156</v>
      </c>
      <c r="J1610" t="s">
        <v>45</v>
      </c>
      <c r="K1610">
        <v>61</v>
      </c>
      <c r="L1610" t="s">
        <v>82</v>
      </c>
      <c r="M1610">
        <v>171</v>
      </c>
      <c r="N1610">
        <v>1</v>
      </c>
      <c r="O1610">
        <v>7996.7</v>
      </c>
      <c r="P1610" s="1">
        <v>45600.337916666664</v>
      </c>
      <c r="Q1610">
        <v>16</v>
      </c>
      <c r="R1610" t="s">
        <v>141</v>
      </c>
      <c r="S1610">
        <v>-0.68966045095672002</v>
      </c>
      <c r="T1610" t="b">
        <v>0</v>
      </c>
      <c r="U1610" t="b">
        <v>0</v>
      </c>
      <c r="V1610" t="b">
        <f t="shared" si="50"/>
        <v>1</v>
      </c>
      <c r="W1610">
        <v>0</v>
      </c>
      <c r="Y1610">
        <f t="shared" si="51"/>
        <v>0</v>
      </c>
    </row>
    <row r="1611" spans="1:25" x14ac:dyDescent="0.3">
      <c r="A1611" t="s">
        <v>3444</v>
      </c>
      <c r="B1611" t="s">
        <v>798</v>
      </c>
      <c r="C1611">
        <v>1431.33</v>
      </c>
      <c r="D1611" s="1">
        <v>44943.743645833332</v>
      </c>
      <c r="E1611" t="s">
        <v>25</v>
      </c>
      <c r="F1611" t="s">
        <v>262</v>
      </c>
      <c r="G1611" t="s">
        <v>599</v>
      </c>
      <c r="H1611" t="s">
        <v>1004</v>
      </c>
      <c r="I1611" t="s">
        <v>339</v>
      </c>
      <c r="J1611" t="s">
        <v>30</v>
      </c>
      <c r="K1611">
        <v>30</v>
      </c>
      <c r="L1611" t="s">
        <v>31</v>
      </c>
      <c r="M1611">
        <v>49</v>
      </c>
      <c r="N1611">
        <v>1</v>
      </c>
      <c r="O1611">
        <v>5567.98</v>
      </c>
      <c r="P1611" s="1">
        <v>45600.339791666665</v>
      </c>
      <c r="Q1611">
        <v>17</v>
      </c>
      <c r="R1611" t="s">
        <v>32</v>
      </c>
      <c r="S1611">
        <v>3.8833732162419601</v>
      </c>
      <c r="T1611" t="b">
        <v>1</v>
      </c>
      <c r="U1611" t="b">
        <v>0</v>
      </c>
      <c r="V1611" t="b">
        <f t="shared" si="50"/>
        <v>1</v>
      </c>
      <c r="W1611">
        <v>1</v>
      </c>
      <c r="Y1611">
        <f t="shared" si="51"/>
        <v>1</v>
      </c>
    </row>
    <row r="1612" spans="1:25" x14ac:dyDescent="0.3">
      <c r="A1612" t="s">
        <v>3445</v>
      </c>
      <c r="B1612" t="s">
        <v>2013</v>
      </c>
      <c r="C1612">
        <v>142.55000000000001</v>
      </c>
      <c r="D1612" s="1">
        <v>45062.698449074072</v>
      </c>
      <c r="E1612" t="s">
        <v>25</v>
      </c>
      <c r="F1612" t="s">
        <v>304</v>
      </c>
      <c r="G1612" t="s">
        <v>831</v>
      </c>
      <c r="H1612" t="s">
        <v>1122</v>
      </c>
      <c r="I1612" t="s">
        <v>371</v>
      </c>
      <c r="J1612" t="s">
        <v>45</v>
      </c>
      <c r="K1612">
        <v>67</v>
      </c>
      <c r="L1612" t="s">
        <v>31</v>
      </c>
      <c r="M1612">
        <v>97</v>
      </c>
      <c r="N1612">
        <v>1</v>
      </c>
      <c r="O1612">
        <v>1262.68</v>
      </c>
      <c r="P1612" s="1">
        <v>45600.338495370372</v>
      </c>
      <c r="Q1612">
        <v>16</v>
      </c>
      <c r="R1612" t="s">
        <v>32</v>
      </c>
      <c r="S1612">
        <v>-0.53106961086376703</v>
      </c>
      <c r="T1612" t="b">
        <v>0</v>
      </c>
      <c r="U1612" t="b">
        <v>0</v>
      </c>
      <c r="V1612" t="b">
        <f t="shared" si="50"/>
        <v>1</v>
      </c>
      <c r="W1612">
        <v>0</v>
      </c>
      <c r="Y1612">
        <f t="shared" si="51"/>
        <v>0</v>
      </c>
    </row>
    <row r="1613" spans="1:25" x14ac:dyDescent="0.3">
      <c r="A1613" t="s">
        <v>3446</v>
      </c>
      <c r="B1613" t="s">
        <v>3073</v>
      </c>
      <c r="C1613">
        <v>35.94</v>
      </c>
      <c r="D1613" s="1">
        <v>45054.682546296295</v>
      </c>
      <c r="E1613" t="s">
        <v>57</v>
      </c>
      <c r="F1613" t="s">
        <v>571</v>
      </c>
      <c r="G1613" t="s">
        <v>51</v>
      </c>
      <c r="H1613" t="s">
        <v>509</v>
      </c>
      <c r="I1613" t="s">
        <v>1358</v>
      </c>
      <c r="J1613" t="s">
        <v>81</v>
      </c>
      <c r="K1613">
        <v>23</v>
      </c>
      <c r="L1613" t="s">
        <v>46</v>
      </c>
      <c r="M1613">
        <v>141</v>
      </c>
      <c r="N1613">
        <v>1</v>
      </c>
      <c r="O1613">
        <v>1697.28</v>
      </c>
      <c r="P1613" s="1">
        <v>45600.339861111112</v>
      </c>
      <c r="Q1613">
        <v>16</v>
      </c>
      <c r="R1613" t="s">
        <v>47</v>
      </c>
      <c r="S1613">
        <v>-0.89623957765231299</v>
      </c>
      <c r="T1613" t="b">
        <v>0</v>
      </c>
      <c r="U1613" t="b">
        <v>0</v>
      </c>
      <c r="V1613" t="b">
        <f t="shared" si="50"/>
        <v>1</v>
      </c>
      <c r="W1613">
        <v>0</v>
      </c>
      <c r="Y1613">
        <f t="shared" si="51"/>
        <v>0</v>
      </c>
    </row>
    <row r="1614" spans="1:25" x14ac:dyDescent="0.3">
      <c r="A1614" t="s">
        <v>3447</v>
      </c>
      <c r="B1614" t="s">
        <v>2162</v>
      </c>
      <c r="C1614">
        <v>24.86</v>
      </c>
      <c r="D1614" s="1">
        <v>44970.703888888886</v>
      </c>
      <c r="E1614" t="s">
        <v>25</v>
      </c>
      <c r="F1614" t="s">
        <v>405</v>
      </c>
      <c r="G1614" t="s">
        <v>3268</v>
      </c>
      <c r="H1614" t="s">
        <v>2671</v>
      </c>
      <c r="I1614" t="s">
        <v>95</v>
      </c>
      <c r="J1614" t="s">
        <v>81</v>
      </c>
      <c r="K1614">
        <v>58</v>
      </c>
      <c r="L1614" t="s">
        <v>89</v>
      </c>
      <c r="M1614">
        <v>292</v>
      </c>
      <c r="N1614">
        <v>1</v>
      </c>
      <c r="O1614">
        <v>2591.65</v>
      </c>
      <c r="P1614" s="1">
        <v>45600.34171296296</v>
      </c>
      <c r="Q1614">
        <v>16</v>
      </c>
      <c r="R1614" t="s">
        <v>47</v>
      </c>
      <c r="S1614">
        <v>-0.93419177005468701</v>
      </c>
      <c r="T1614" t="b">
        <v>0</v>
      </c>
      <c r="U1614" t="b">
        <v>0</v>
      </c>
      <c r="V1614" t="b">
        <f t="shared" si="50"/>
        <v>1</v>
      </c>
      <c r="W1614">
        <v>0</v>
      </c>
      <c r="Y1614">
        <f t="shared" si="51"/>
        <v>0</v>
      </c>
    </row>
    <row r="1615" spans="1:25" x14ac:dyDescent="0.3">
      <c r="A1615" t="s">
        <v>3448</v>
      </c>
      <c r="B1615" t="s">
        <v>1346</v>
      </c>
      <c r="C1615">
        <v>103.08</v>
      </c>
      <c r="D1615" s="1">
        <v>45244.673171296294</v>
      </c>
      <c r="E1615" t="s">
        <v>25</v>
      </c>
      <c r="F1615" t="s">
        <v>225</v>
      </c>
      <c r="G1615" t="s">
        <v>627</v>
      </c>
      <c r="H1615" t="s">
        <v>1383</v>
      </c>
      <c r="I1615" t="s">
        <v>44</v>
      </c>
      <c r="J1615" t="s">
        <v>45</v>
      </c>
      <c r="K1615">
        <v>60</v>
      </c>
      <c r="L1615" t="s">
        <v>31</v>
      </c>
      <c r="M1615">
        <v>109</v>
      </c>
      <c r="N1615">
        <v>1</v>
      </c>
      <c r="O1615">
        <v>12002.16</v>
      </c>
      <c r="P1615" s="1">
        <v>45600.340486111112</v>
      </c>
      <c r="Q1615">
        <v>16</v>
      </c>
      <c r="R1615" t="s">
        <v>32</v>
      </c>
      <c r="S1615">
        <v>-0.66626573307691705</v>
      </c>
      <c r="T1615" t="b">
        <v>0</v>
      </c>
      <c r="U1615" t="b">
        <v>0</v>
      </c>
      <c r="V1615" t="b">
        <f t="shared" si="50"/>
        <v>1</v>
      </c>
      <c r="W1615">
        <v>0</v>
      </c>
      <c r="Y1615">
        <f t="shared" si="51"/>
        <v>0</v>
      </c>
    </row>
    <row r="1616" spans="1:25" x14ac:dyDescent="0.3">
      <c r="A1616" t="s">
        <v>3449</v>
      </c>
      <c r="B1616" t="s">
        <v>34</v>
      </c>
      <c r="C1616">
        <v>116.27</v>
      </c>
      <c r="D1616" s="1">
        <v>45258.753078703703</v>
      </c>
      <c r="E1616" t="s">
        <v>25</v>
      </c>
      <c r="F1616" t="s">
        <v>608</v>
      </c>
      <c r="G1616" t="s">
        <v>1254</v>
      </c>
      <c r="H1616" t="s">
        <v>1228</v>
      </c>
      <c r="I1616" t="s">
        <v>1362</v>
      </c>
      <c r="J1616" t="s">
        <v>45</v>
      </c>
      <c r="K1616">
        <v>57</v>
      </c>
      <c r="L1616" t="s">
        <v>89</v>
      </c>
      <c r="M1616">
        <v>94</v>
      </c>
      <c r="N1616">
        <v>1</v>
      </c>
      <c r="O1616">
        <v>8726.92</v>
      </c>
      <c r="P1616" s="1">
        <v>45600.341539351852</v>
      </c>
      <c r="Q1616">
        <v>18</v>
      </c>
      <c r="R1616" t="s">
        <v>32</v>
      </c>
      <c r="S1616">
        <v>-0.62108618273510197</v>
      </c>
      <c r="T1616" t="b">
        <v>0</v>
      </c>
      <c r="U1616" t="b">
        <v>0</v>
      </c>
      <c r="V1616" t="b">
        <f t="shared" si="50"/>
        <v>1</v>
      </c>
      <c r="W1616">
        <v>0</v>
      </c>
      <c r="Y1616">
        <f t="shared" si="51"/>
        <v>0</v>
      </c>
    </row>
    <row r="1617" spans="1:25" x14ac:dyDescent="0.3">
      <c r="A1617" t="s">
        <v>3450</v>
      </c>
      <c r="B1617" t="s">
        <v>1827</v>
      </c>
      <c r="C1617">
        <v>363.84</v>
      </c>
      <c r="D1617" s="1">
        <v>45218.737268518518</v>
      </c>
      <c r="E1617" t="s">
        <v>25</v>
      </c>
      <c r="F1617" t="s">
        <v>137</v>
      </c>
      <c r="G1617" t="s">
        <v>2412</v>
      </c>
      <c r="H1617" t="s">
        <v>610</v>
      </c>
      <c r="I1617" t="s">
        <v>134</v>
      </c>
      <c r="J1617" t="s">
        <v>45</v>
      </c>
      <c r="K1617">
        <v>73</v>
      </c>
      <c r="L1617" t="s">
        <v>82</v>
      </c>
      <c r="M1617">
        <v>118</v>
      </c>
      <c r="N1617">
        <v>3</v>
      </c>
      <c r="O1617">
        <v>5415.64</v>
      </c>
      <c r="P1617" s="1">
        <v>45600.340011574073</v>
      </c>
      <c r="Q1617">
        <v>17</v>
      </c>
      <c r="R1617" t="s">
        <v>141</v>
      </c>
      <c r="S1617">
        <v>0.226912397865594</v>
      </c>
      <c r="T1617" t="b">
        <v>0</v>
      </c>
      <c r="U1617" t="b">
        <v>1</v>
      </c>
      <c r="V1617" t="b">
        <f t="shared" si="50"/>
        <v>1</v>
      </c>
      <c r="W1617">
        <v>1</v>
      </c>
      <c r="Y1617">
        <f t="shared" si="51"/>
        <v>0</v>
      </c>
    </row>
    <row r="1618" spans="1:25" x14ac:dyDescent="0.3">
      <c r="A1618" t="s">
        <v>3451</v>
      </c>
      <c r="B1618" t="s">
        <v>673</v>
      </c>
      <c r="C1618">
        <v>34.74</v>
      </c>
      <c r="D1618" s="1">
        <v>45044.669224537036</v>
      </c>
      <c r="E1618" t="s">
        <v>57</v>
      </c>
      <c r="F1618" t="s">
        <v>608</v>
      </c>
      <c r="G1618" t="s">
        <v>165</v>
      </c>
      <c r="H1618" t="s">
        <v>757</v>
      </c>
      <c r="I1618" t="s">
        <v>339</v>
      </c>
      <c r="J1618" t="s">
        <v>45</v>
      </c>
      <c r="K1618">
        <v>59</v>
      </c>
      <c r="L1618" t="s">
        <v>82</v>
      </c>
      <c r="M1618">
        <v>72</v>
      </c>
      <c r="N1618">
        <v>1</v>
      </c>
      <c r="O1618">
        <v>3736.57</v>
      </c>
      <c r="P1618" s="1">
        <v>45600.341828703706</v>
      </c>
      <c r="Q1618">
        <v>16</v>
      </c>
      <c r="R1618" t="s">
        <v>54</v>
      </c>
      <c r="S1618">
        <v>-0.90034992339986297</v>
      </c>
      <c r="T1618" t="b">
        <v>0</v>
      </c>
      <c r="U1618" t="b">
        <v>0</v>
      </c>
      <c r="V1618" t="b">
        <f t="shared" si="50"/>
        <v>1</v>
      </c>
      <c r="W1618">
        <v>0</v>
      </c>
      <c r="Y1618">
        <f t="shared" si="51"/>
        <v>0</v>
      </c>
    </row>
    <row r="1619" spans="1:25" x14ac:dyDescent="0.3">
      <c r="A1619" t="s">
        <v>3452</v>
      </c>
      <c r="B1619" t="s">
        <v>769</v>
      </c>
      <c r="C1619">
        <v>64.010000000000005</v>
      </c>
      <c r="D1619" s="1">
        <v>45229.759895833333</v>
      </c>
      <c r="E1619" t="s">
        <v>57</v>
      </c>
      <c r="F1619" t="s">
        <v>256</v>
      </c>
      <c r="G1619" t="s">
        <v>36</v>
      </c>
      <c r="H1619" t="s">
        <v>1208</v>
      </c>
      <c r="I1619" t="s">
        <v>898</v>
      </c>
      <c r="J1619" t="s">
        <v>81</v>
      </c>
      <c r="K1619">
        <v>19</v>
      </c>
      <c r="L1619" t="s">
        <v>46</v>
      </c>
      <c r="M1619">
        <v>240</v>
      </c>
      <c r="N1619">
        <v>1</v>
      </c>
      <c r="O1619">
        <v>1225.69</v>
      </c>
      <c r="P1619" s="1">
        <v>45600.339189814818</v>
      </c>
      <c r="Q1619">
        <v>18</v>
      </c>
      <c r="R1619" t="s">
        <v>47</v>
      </c>
      <c r="S1619">
        <v>-0.80009174004088401</v>
      </c>
      <c r="T1619" t="b">
        <v>0</v>
      </c>
      <c r="U1619" t="b">
        <v>0</v>
      </c>
      <c r="V1619" t="b">
        <f t="shared" si="50"/>
        <v>1</v>
      </c>
      <c r="W1619">
        <v>0</v>
      </c>
      <c r="Y1619">
        <f t="shared" si="51"/>
        <v>0</v>
      </c>
    </row>
    <row r="1620" spans="1:25" x14ac:dyDescent="0.3">
      <c r="A1620" t="s">
        <v>3453</v>
      </c>
      <c r="B1620" t="s">
        <v>1657</v>
      </c>
      <c r="C1620">
        <v>108.75</v>
      </c>
      <c r="D1620" s="1">
        <v>45216.673148148147</v>
      </c>
      <c r="E1620" t="s">
        <v>25</v>
      </c>
      <c r="F1620" t="s">
        <v>35</v>
      </c>
      <c r="G1620" t="s">
        <v>2127</v>
      </c>
      <c r="H1620" t="s">
        <v>928</v>
      </c>
      <c r="I1620" t="s">
        <v>361</v>
      </c>
      <c r="J1620" t="s">
        <v>30</v>
      </c>
      <c r="K1620">
        <v>50</v>
      </c>
      <c r="L1620" t="s">
        <v>31</v>
      </c>
      <c r="M1620">
        <v>23</v>
      </c>
      <c r="N1620">
        <v>4</v>
      </c>
      <c r="O1620">
        <v>14829.85</v>
      </c>
      <c r="P1620" s="1">
        <v>45600.340486111112</v>
      </c>
      <c r="Q1620">
        <v>16</v>
      </c>
      <c r="R1620" t="s">
        <v>32</v>
      </c>
      <c r="S1620">
        <v>-0.646844349419746</v>
      </c>
      <c r="T1620" t="b">
        <v>0</v>
      </c>
      <c r="U1620" t="b">
        <v>1</v>
      </c>
      <c r="V1620" t="b">
        <f t="shared" si="50"/>
        <v>1</v>
      </c>
      <c r="W1620">
        <v>1</v>
      </c>
      <c r="Y1620">
        <f t="shared" si="51"/>
        <v>0</v>
      </c>
    </row>
    <row r="1621" spans="1:25" x14ac:dyDescent="0.3">
      <c r="A1621" t="s">
        <v>3454</v>
      </c>
      <c r="B1621" t="s">
        <v>3254</v>
      </c>
      <c r="C1621">
        <v>50.9</v>
      </c>
      <c r="D1621" s="1">
        <v>45040.676782407405</v>
      </c>
      <c r="E1621" t="s">
        <v>57</v>
      </c>
      <c r="F1621" t="s">
        <v>405</v>
      </c>
      <c r="G1621" t="s">
        <v>1571</v>
      </c>
      <c r="H1621" t="s">
        <v>382</v>
      </c>
      <c r="I1621" t="s">
        <v>561</v>
      </c>
      <c r="J1621" t="s">
        <v>45</v>
      </c>
      <c r="K1621">
        <v>28</v>
      </c>
      <c r="L1621" t="s">
        <v>46</v>
      </c>
      <c r="M1621">
        <v>150</v>
      </c>
      <c r="N1621">
        <v>1</v>
      </c>
      <c r="O1621">
        <v>1277.7</v>
      </c>
      <c r="P1621" s="1">
        <v>45600.337916666664</v>
      </c>
      <c r="Q1621">
        <v>16</v>
      </c>
      <c r="R1621" t="s">
        <v>47</v>
      </c>
      <c r="S1621">
        <v>-0.84499726733286296</v>
      </c>
      <c r="T1621" t="b">
        <v>0</v>
      </c>
      <c r="U1621" t="b">
        <v>0</v>
      </c>
      <c r="V1621" t="b">
        <f t="shared" si="50"/>
        <v>1</v>
      </c>
      <c r="W1621">
        <v>0</v>
      </c>
      <c r="Y1621">
        <f t="shared" si="51"/>
        <v>0</v>
      </c>
    </row>
    <row r="1622" spans="1:25" x14ac:dyDescent="0.3">
      <c r="A1622" t="s">
        <v>3455</v>
      </c>
      <c r="B1622" t="s">
        <v>125</v>
      </c>
      <c r="C1622">
        <v>206.84</v>
      </c>
      <c r="D1622" s="1">
        <v>45182.783182870371</v>
      </c>
      <c r="E1622" t="s">
        <v>25</v>
      </c>
      <c r="F1622" t="s">
        <v>256</v>
      </c>
      <c r="G1622" t="s">
        <v>878</v>
      </c>
      <c r="H1622" t="s">
        <v>604</v>
      </c>
      <c r="I1622" t="s">
        <v>765</v>
      </c>
      <c r="J1622" t="s">
        <v>81</v>
      </c>
      <c r="K1622">
        <v>20</v>
      </c>
      <c r="L1622" t="s">
        <v>46</v>
      </c>
      <c r="M1622">
        <v>154</v>
      </c>
      <c r="N1622">
        <v>1</v>
      </c>
      <c r="O1622">
        <v>454.66</v>
      </c>
      <c r="P1622" s="1">
        <v>45600.340856481482</v>
      </c>
      <c r="Q1622">
        <v>18</v>
      </c>
      <c r="R1622" t="s">
        <v>74</v>
      </c>
      <c r="S1622">
        <v>-0.31085783743880202</v>
      </c>
      <c r="T1622" t="b">
        <v>0</v>
      </c>
      <c r="U1622" t="b">
        <v>0</v>
      </c>
      <c r="V1622" t="b">
        <f t="shared" si="50"/>
        <v>1</v>
      </c>
      <c r="W1622">
        <v>0</v>
      </c>
      <c r="Y1622">
        <f t="shared" si="51"/>
        <v>0</v>
      </c>
    </row>
    <row r="1623" spans="1:25" x14ac:dyDescent="0.3">
      <c r="A1623" t="s">
        <v>3456</v>
      </c>
      <c r="B1623" t="s">
        <v>1356</v>
      </c>
      <c r="C1623">
        <v>37.4</v>
      </c>
      <c r="D1623" s="1">
        <v>45139.746481481481</v>
      </c>
      <c r="E1623" t="s">
        <v>25</v>
      </c>
      <c r="F1623" t="s">
        <v>50</v>
      </c>
      <c r="G1623" t="s">
        <v>1167</v>
      </c>
      <c r="H1623" t="s">
        <v>619</v>
      </c>
      <c r="I1623" t="s">
        <v>458</v>
      </c>
      <c r="J1623" t="s">
        <v>30</v>
      </c>
      <c r="K1623">
        <v>20</v>
      </c>
      <c r="L1623" t="s">
        <v>46</v>
      </c>
      <c r="M1623">
        <v>84</v>
      </c>
      <c r="N1623">
        <v>1</v>
      </c>
      <c r="O1623">
        <v>1519.51</v>
      </c>
      <c r="P1623" s="1">
        <v>45600.34175925926</v>
      </c>
      <c r="Q1623">
        <v>17</v>
      </c>
      <c r="R1623" t="s">
        <v>32</v>
      </c>
      <c r="S1623">
        <v>-0.89123865699279503</v>
      </c>
      <c r="T1623" t="b">
        <v>0</v>
      </c>
      <c r="U1623" t="b">
        <v>0</v>
      </c>
      <c r="V1623" t="b">
        <f t="shared" si="50"/>
        <v>1</v>
      </c>
      <c r="W1623">
        <v>0</v>
      </c>
      <c r="Y1623">
        <f t="shared" si="51"/>
        <v>0</v>
      </c>
    </row>
    <row r="1624" spans="1:25" x14ac:dyDescent="0.3">
      <c r="A1624" t="s">
        <v>3457</v>
      </c>
      <c r="B1624" t="s">
        <v>714</v>
      </c>
      <c r="C1624">
        <v>154.21</v>
      </c>
      <c r="D1624" s="1">
        <v>44928.667662037034</v>
      </c>
      <c r="E1624" t="s">
        <v>25</v>
      </c>
      <c r="F1624" t="s">
        <v>185</v>
      </c>
      <c r="G1624" t="s">
        <v>1571</v>
      </c>
      <c r="H1624" t="s">
        <v>1602</v>
      </c>
      <c r="I1624" t="s">
        <v>173</v>
      </c>
      <c r="J1624" t="s">
        <v>45</v>
      </c>
      <c r="K1624">
        <v>46</v>
      </c>
      <c r="L1624" t="s">
        <v>89</v>
      </c>
      <c r="M1624">
        <v>75</v>
      </c>
      <c r="N1624">
        <v>1</v>
      </c>
      <c r="O1624">
        <v>8045.77</v>
      </c>
      <c r="P1624" s="1">
        <v>45600.34065972222</v>
      </c>
      <c r="Q1624">
        <v>16</v>
      </c>
      <c r="R1624" t="s">
        <v>47</v>
      </c>
      <c r="S1624">
        <v>-0.491130751350078</v>
      </c>
      <c r="T1624" t="b">
        <v>0</v>
      </c>
      <c r="U1624" t="b">
        <v>0</v>
      </c>
      <c r="V1624" t="b">
        <f t="shared" si="50"/>
        <v>1</v>
      </c>
      <c r="W1624">
        <v>0</v>
      </c>
      <c r="Y1624">
        <f t="shared" si="51"/>
        <v>0</v>
      </c>
    </row>
    <row r="1625" spans="1:25" x14ac:dyDescent="0.3">
      <c r="A1625" t="s">
        <v>3458</v>
      </c>
      <c r="B1625" t="s">
        <v>918</v>
      </c>
      <c r="C1625">
        <v>199.37</v>
      </c>
      <c r="D1625" s="1">
        <v>45106.735659722224</v>
      </c>
      <c r="E1625" t="s">
        <v>25</v>
      </c>
      <c r="F1625" t="s">
        <v>278</v>
      </c>
      <c r="G1625" t="s">
        <v>705</v>
      </c>
      <c r="H1625" t="s">
        <v>857</v>
      </c>
      <c r="I1625" t="s">
        <v>173</v>
      </c>
      <c r="J1625" t="s">
        <v>45</v>
      </c>
      <c r="K1625">
        <v>24</v>
      </c>
      <c r="L1625" t="s">
        <v>46</v>
      </c>
      <c r="M1625">
        <v>79</v>
      </c>
      <c r="N1625">
        <v>1</v>
      </c>
      <c r="O1625">
        <v>1331.3</v>
      </c>
      <c r="P1625" s="1">
        <v>45600.339398148149</v>
      </c>
      <c r="Q1625">
        <v>17</v>
      </c>
      <c r="R1625" t="s">
        <v>141</v>
      </c>
      <c r="S1625">
        <v>-0.33644473971729699</v>
      </c>
      <c r="T1625" t="b">
        <v>0</v>
      </c>
      <c r="U1625" t="b">
        <v>0</v>
      </c>
      <c r="V1625" t="b">
        <f t="shared" si="50"/>
        <v>1</v>
      </c>
      <c r="W1625">
        <v>0</v>
      </c>
      <c r="Y1625">
        <f t="shared" si="51"/>
        <v>0</v>
      </c>
    </row>
    <row r="1626" spans="1:25" x14ac:dyDescent="0.3">
      <c r="A1626" t="s">
        <v>3459</v>
      </c>
      <c r="B1626" t="s">
        <v>2242</v>
      </c>
      <c r="C1626">
        <v>410.49</v>
      </c>
      <c r="D1626" s="1">
        <v>45132.699490740742</v>
      </c>
      <c r="E1626" t="s">
        <v>57</v>
      </c>
      <c r="F1626" t="s">
        <v>58</v>
      </c>
      <c r="G1626" t="s">
        <v>1371</v>
      </c>
      <c r="H1626" t="s">
        <v>1361</v>
      </c>
      <c r="I1626" t="s">
        <v>371</v>
      </c>
      <c r="J1626" t="s">
        <v>81</v>
      </c>
      <c r="K1626">
        <v>25</v>
      </c>
      <c r="L1626" t="s">
        <v>46</v>
      </c>
      <c r="M1626">
        <v>134</v>
      </c>
      <c r="N1626">
        <v>1</v>
      </c>
      <c r="O1626">
        <v>1843.57</v>
      </c>
      <c r="P1626" s="1">
        <v>45600.340717592589</v>
      </c>
      <c r="Q1626">
        <v>16</v>
      </c>
      <c r="R1626" t="s">
        <v>32</v>
      </c>
      <c r="S1626">
        <v>0.38670208880158202</v>
      </c>
      <c r="T1626" t="b">
        <v>0</v>
      </c>
      <c r="U1626" t="b">
        <v>0</v>
      </c>
      <c r="V1626" t="b">
        <f t="shared" si="50"/>
        <v>1</v>
      </c>
      <c r="W1626">
        <v>0</v>
      </c>
      <c r="Y1626">
        <f t="shared" si="51"/>
        <v>0</v>
      </c>
    </row>
    <row r="1627" spans="1:25" x14ac:dyDescent="0.3">
      <c r="A1627" t="s">
        <v>3460</v>
      </c>
      <c r="B1627" t="s">
        <v>447</v>
      </c>
      <c r="C1627">
        <v>1360.01</v>
      </c>
      <c r="D1627" s="1">
        <v>45194.702349537038</v>
      </c>
      <c r="E1627" t="s">
        <v>57</v>
      </c>
      <c r="F1627" t="s">
        <v>438</v>
      </c>
      <c r="G1627" t="s">
        <v>890</v>
      </c>
      <c r="H1627" t="s">
        <v>1911</v>
      </c>
      <c r="I1627" t="s">
        <v>1300</v>
      </c>
      <c r="J1627" t="s">
        <v>81</v>
      </c>
      <c r="K1627">
        <v>67</v>
      </c>
      <c r="L1627" t="s">
        <v>82</v>
      </c>
      <c r="M1627">
        <v>218</v>
      </c>
      <c r="N1627">
        <v>1</v>
      </c>
      <c r="O1627">
        <v>6601.5</v>
      </c>
      <c r="P1627" s="1">
        <v>45600.341643518521</v>
      </c>
      <c r="Q1627">
        <v>16</v>
      </c>
      <c r="R1627" t="s">
        <v>47</v>
      </c>
      <c r="S1627">
        <v>3.6390816673125999</v>
      </c>
      <c r="T1627" t="b">
        <v>1</v>
      </c>
      <c r="U1627" t="b">
        <v>0</v>
      </c>
      <c r="V1627" t="b">
        <f t="shared" si="50"/>
        <v>1</v>
      </c>
      <c r="W1627">
        <v>1</v>
      </c>
      <c r="Y1627">
        <f t="shared" si="51"/>
        <v>1</v>
      </c>
    </row>
    <row r="1628" spans="1:25" x14ac:dyDescent="0.3">
      <c r="A1628" t="s">
        <v>3461</v>
      </c>
      <c r="B1628" t="s">
        <v>742</v>
      </c>
      <c r="C1628">
        <v>18.23</v>
      </c>
      <c r="D1628" s="1">
        <v>45007.730127314811</v>
      </c>
      <c r="E1628" t="s">
        <v>25</v>
      </c>
      <c r="F1628" t="s">
        <v>92</v>
      </c>
      <c r="G1628" t="s">
        <v>51</v>
      </c>
      <c r="H1628" t="s">
        <v>883</v>
      </c>
      <c r="I1628" t="s">
        <v>344</v>
      </c>
      <c r="J1628" t="s">
        <v>30</v>
      </c>
      <c r="K1628">
        <v>56</v>
      </c>
      <c r="L1628" t="s">
        <v>89</v>
      </c>
      <c r="M1628">
        <v>28</v>
      </c>
      <c r="N1628">
        <v>1</v>
      </c>
      <c r="O1628">
        <v>8422.2000000000007</v>
      </c>
      <c r="P1628" s="1">
        <v>45600.341203703705</v>
      </c>
      <c r="Q1628">
        <v>17</v>
      </c>
      <c r="R1628" t="s">
        <v>74</v>
      </c>
      <c r="S1628">
        <v>-0.95690143030989805</v>
      </c>
      <c r="T1628" t="b">
        <v>0</v>
      </c>
      <c r="U1628" t="b">
        <v>0</v>
      </c>
      <c r="V1628" t="b">
        <f t="shared" si="50"/>
        <v>1</v>
      </c>
      <c r="W1628">
        <v>0</v>
      </c>
      <c r="Y1628">
        <f t="shared" si="51"/>
        <v>0</v>
      </c>
    </row>
    <row r="1629" spans="1:25" x14ac:dyDescent="0.3">
      <c r="A1629" t="s">
        <v>3462</v>
      </c>
      <c r="B1629" t="s">
        <v>1285</v>
      </c>
      <c r="C1629">
        <v>398.7</v>
      </c>
      <c r="D1629" s="1">
        <v>45166.668182870373</v>
      </c>
      <c r="E1629" t="s">
        <v>25</v>
      </c>
      <c r="F1629" t="s">
        <v>98</v>
      </c>
      <c r="G1629" t="s">
        <v>662</v>
      </c>
      <c r="H1629" t="s">
        <v>752</v>
      </c>
      <c r="I1629" t="s">
        <v>611</v>
      </c>
      <c r="J1629" t="s">
        <v>30</v>
      </c>
      <c r="K1629">
        <v>47</v>
      </c>
      <c r="L1629" t="s">
        <v>31</v>
      </c>
      <c r="M1629">
        <v>276</v>
      </c>
      <c r="N1629">
        <v>1</v>
      </c>
      <c r="O1629">
        <v>7987.74</v>
      </c>
      <c r="P1629" s="1">
        <v>45600.339629629627</v>
      </c>
      <c r="Q1629">
        <v>16</v>
      </c>
      <c r="R1629" t="s">
        <v>47</v>
      </c>
      <c r="S1629">
        <v>0.346317941831908</v>
      </c>
      <c r="T1629" t="b">
        <v>0</v>
      </c>
      <c r="U1629" t="b">
        <v>0</v>
      </c>
      <c r="V1629" t="b">
        <f t="shared" si="50"/>
        <v>1</v>
      </c>
      <c r="W1629">
        <v>0</v>
      </c>
      <c r="Y1629">
        <f t="shared" si="51"/>
        <v>0</v>
      </c>
    </row>
    <row r="1630" spans="1:25" x14ac:dyDescent="0.3">
      <c r="A1630" t="s">
        <v>3463</v>
      </c>
      <c r="B1630" t="s">
        <v>2310</v>
      </c>
      <c r="C1630">
        <v>122.14</v>
      </c>
      <c r="D1630" s="1">
        <v>44977.680879629632</v>
      </c>
      <c r="E1630" t="s">
        <v>25</v>
      </c>
      <c r="F1630" t="s">
        <v>309</v>
      </c>
      <c r="G1630" t="s">
        <v>3216</v>
      </c>
      <c r="H1630" t="s">
        <v>2133</v>
      </c>
      <c r="I1630" t="s">
        <v>371</v>
      </c>
      <c r="J1630" t="s">
        <v>45</v>
      </c>
      <c r="K1630">
        <v>22</v>
      </c>
      <c r="L1630" t="s">
        <v>46</v>
      </c>
      <c r="M1630">
        <v>155</v>
      </c>
      <c r="N1630">
        <v>1</v>
      </c>
      <c r="O1630">
        <v>327.68</v>
      </c>
      <c r="P1630" s="1">
        <v>45600.338935185187</v>
      </c>
      <c r="Q1630">
        <v>16</v>
      </c>
      <c r="R1630" t="s">
        <v>47</v>
      </c>
      <c r="S1630">
        <v>-0.60097974145333899</v>
      </c>
      <c r="T1630" t="b">
        <v>0</v>
      </c>
      <c r="U1630" t="b">
        <v>0</v>
      </c>
      <c r="V1630" t="b">
        <f t="shared" si="50"/>
        <v>1</v>
      </c>
      <c r="W1630">
        <v>0</v>
      </c>
      <c r="Y1630">
        <f t="shared" si="51"/>
        <v>0</v>
      </c>
    </row>
    <row r="1631" spans="1:25" x14ac:dyDescent="0.3">
      <c r="A1631" t="s">
        <v>3464</v>
      </c>
      <c r="B1631" t="s">
        <v>2943</v>
      </c>
      <c r="C1631">
        <v>378.2</v>
      </c>
      <c r="D1631" s="1">
        <v>44935.717129629629</v>
      </c>
      <c r="E1631" t="s">
        <v>25</v>
      </c>
      <c r="F1631" t="s">
        <v>41</v>
      </c>
      <c r="G1631" t="s">
        <v>1292</v>
      </c>
      <c r="H1631" t="s">
        <v>3465</v>
      </c>
      <c r="I1631" t="s">
        <v>194</v>
      </c>
      <c r="J1631" t="s">
        <v>81</v>
      </c>
      <c r="K1631">
        <v>40</v>
      </c>
      <c r="L1631" t="s">
        <v>89</v>
      </c>
      <c r="M1631">
        <v>167</v>
      </c>
      <c r="N1631">
        <v>1</v>
      </c>
      <c r="O1631">
        <v>7372.81</v>
      </c>
      <c r="P1631" s="1">
        <v>45600.340995370374</v>
      </c>
      <c r="Q1631">
        <v>17</v>
      </c>
      <c r="R1631" t="s">
        <v>47</v>
      </c>
      <c r="S1631">
        <v>0.27609953531127002</v>
      </c>
      <c r="T1631" t="b">
        <v>0</v>
      </c>
      <c r="U1631" t="b">
        <v>0</v>
      </c>
      <c r="V1631" t="b">
        <f t="shared" si="50"/>
        <v>1</v>
      </c>
      <c r="W1631">
        <v>0</v>
      </c>
      <c r="Y1631">
        <f t="shared" si="51"/>
        <v>0</v>
      </c>
    </row>
    <row r="1632" spans="1:25" x14ac:dyDescent="0.3">
      <c r="A1632" t="s">
        <v>3466</v>
      </c>
      <c r="B1632" t="s">
        <v>987</v>
      </c>
      <c r="C1632">
        <v>124.74</v>
      </c>
      <c r="D1632" s="1">
        <v>45257.689814814818</v>
      </c>
      <c r="E1632" t="s">
        <v>25</v>
      </c>
      <c r="F1632" t="s">
        <v>153</v>
      </c>
      <c r="G1632" t="s">
        <v>3467</v>
      </c>
      <c r="H1632" t="s">
        <v>1589</v>
      </c>
      <c r="I1632" t="s">
        <v>871</v>
      </c>
      <c r="J1632" t="s">
        <v>30</v>
      </c>
      <c r="K1632">
        <v>49</v>
      </c>
      <c r="L1632" t="s">
        <v>89</v>
      </c>
      <c r="M1632">
        <v>33</v>
      </c>
      <c r="N1632">
        <v>1</v>
      </c>
      <c r="O1632">
        <v>2987.97</v>
      </c>
      <c r="P1632" s="1">
        <v>45600.339085648149</v>
      </c>
      <c r="Q1632">
        <v>16</v>
      </c>
      <c r="R1632" t="s">
        <v>47</v>
      </c>
      <c r="S1632">
        <v>-0.59207399233364799</v>
      </c>
      <c r="T1632" t="b">
        <v>0</v>
      </c>
      <c r="U1632" t="b">
        <v>0</v>
      </c>
      <c r="V1632" t="b">
        <f t="shared" si="50"/>
        <v>1</v>
      </c>
      <c r="W1632">
        <v>0</v>
      </c>
      <c r="Y1632">
        <f t="shared" si="51"/>
        <v>0</v>
      </c>
    </row>
    <row r="1633" spans="1:25" x14ac:dyDescent="0.3">
      <c r="A1633" t="s">
        <v>3468</v>
      </c>
      <c r="B1633" t="s">
        <v>735</v>
      </c>
      <c r="C1633">
        <v>17.100000000000001</v>
      </c>
      <c r="D1633" s="1">
        <v>45285.705625000002</v>
      </c>
      <c r="E1633" t="s">
        <v>25</v>
      </c>
      <c r="F1633" t="s">
        <v>98</v>
      </c>
      <c r="G1633" t="s">
        <v>2297</v>
      </c>
      <c r="H1633" t="s">
        <v>3469</v>
      </c>
      <c r="I1633" t="s">
        <v>73</v>
      </c>
      <c r="J1633" t="s">
        <v>30</v>
      </c>
      <c r="K1633">
        <v>53</v>
      </c>
      <c r="L1633" t="s">
        <v>82</v>
      </c>
      <c r="M1633">
        <v>101</v>
      </c>
      <c r="N1633">
        <v>1</v>
      </c>
      <c r="O1633">
        <v>1619.54</v>
      </c>
      <c r="P1633" s="1">
        <v>45600.34103009259</v>
      </c>
      <c r="Q1633">
        <v>16</v>
      </c>
      <c r="R1633" t="s">
        <v>47</v>
      </c>
      <c r="S1633">
        <v>-0.96077200588884104</v>
      </c>
      <c r="T1633" t="b">
        <v>0</v>
      </c>
      <c r="U1633" t="b">
        <v>0</v>
      </c>
      <c r="V1633" t="b">
        <f t="shared" si="50"/>
        <v>1</v>
      </c>
      <c r="W1633">
        <v>0</v>
      </c>
      <c r="Y1633">
        <f t="shared" si="51"/>
        <v>0</v>
      </c>
    </row>
    <row r="1634" spans="1:25" x14ac:dyDescent="0.3">
      <c r="A1634" t="s">
        <v>3470</v>
      </c>
      <c r="B1634" t="s">
        <v>3228</v>
      </c>
      <c r="C1634">
        <v>287.05</v>
      </c>
      <c r="D1634" s="1">
        <v>45030.667256944442</v>
      </c>
      <c r="E1634" t="s">
        <v>25</v>
      </c>
      <c r="F1634" t="s">
        <v>191</v>
      </c>
      <c r="G1634" t="s">
        <v>2410</v>
      </c>
      <c r="H1634" t="s">
        <v>3097</v>
      </c>
      <c r="I1634" t="s">
        <v>720</v>
      </c>
      <c r="J1634" t="s">
        <v>30</v>
      </c>
      <c r="K1634">
        <v>22</v>
      </c>
      <c r="L1634" t="s">
        <v>46</v>
      </c>
      <c r="M1634">
        <v>212</v>
      </c>
      <c r="N1634">
        <v>1</v>
      </c>
      <c r="O1634">
        <v>1204.6500000000001</v>
      </c>
      <c r="P1634" s="1">
        <v>45600.340960648151</v>
      </c>
      <c r="Q1634">
        <v>16</v>
      </c>
      <c r="R1634" t="s">
        <v>54</v>
      </c>
      <c r="S1634">
        <v>-3.6115477096345702E-2</v>
      </c>
      <c r="T1634" t="b">
        <v>0</v>
      </c>
      <c r="U1634" t="b">
        <v>0</v>
      </c>
      <c r="V1634" t="b">
        <f t="shared" si="50"/>
        <v>1</v>
      </c>
      <c r="W1634">
        <v>0</v>
      </c>
      <c r="Y1634">
        <f t="shared" si="51"/>
        <v>0</v>
      </c>
    </row>
    <row r="1635" spans="1:25" x14ac:dyDescent="0.3">
      <c r="A1635" t="s">
        <v>3471</v>
      </c>
      <c r="B1635" t="s">
        <v>1525</v>
      </c>
      <c r="C1635">
        <v>874.72</v>
      </c>
      <c r="D1635" s="1">
        <v>44988.681562500002</v>
      </c>
      <c r="E1635" t="s">
        <v>25</v>
      </c>
      <c r="F1635" t="s">
        <v>225</v>
      </c>
      <c r="G1635" t="s">
        <v>1271</v>
      </c>
      <c r="H1635" t="s">
        <v>1228</v>
      </c>
      <c r="I1635" t="s">
        <v>687</v>
      </c>
      <c r="J1635" t="s">
        <v>45</v>
      </c>
      <c r="K1635">
        <v>28</v>
      </c>
      <c r="L1635" t="s">
        <v>89</v>
      </c>
      <c r="M1635">
        <v>173</v>
      </c>
      <c r="N1635">
        <v>1</v>
      </c>
      <c r="O1635">
        <v>4630.58</v>
      </c>
      <c r="P1635" s="1">
        <v>45600.339085648149</v>
      </c>
      <c r="Q1635">
        <v>16</v>
      </c>
      <c r="R1635" t="s">
        <v>54</v>
      </c>
      <c r="S1635">
        <v>1.97682359412234</v>
      </c>
      <c r="T1635" t="b">
        <v>0</v>
      </c>
      <c r="U1635" t="b">
        <v>0</v>
      </c>
      <c r="V1635" t="b">
        <f t="shared" si="50"/>
        <v>1</v>
      </c>
      <c r="W1635">
        <v>0</v>
      </c>
      <c r="Y1635">
        <f t="shared" si="51"/>
        <v>0</v>
      </c>
    </row>
    <row r="1636" spans="1:25" x14ac:dyDescent="0.3">
      <c r="A1636" t="s">
        <v>3472</v>
      </c>
      <c r="B1636" t="s">
        <v>598</v>
      </c>
      <c r="C1636">
        <v>1762.28</v>
      </c>
      <c r="D1636" s="1">
        <v>45205.670532407406</v>
      </c>
      <c r="E1636" t="s">
        <v>25</v>
      </c>
      <c r="F1636" t="s">
        <v>104</v>
      </c>
      <c r="G1636" t="s">
        <v>1442</v>
      </c>
      <c r="H1636" t="s">
        <v>1245</v>
      </c>
      <c r="I1636" t="s">
        <v>399</v>
      </c>
      <c r="J1636" t="s">
        <v>30</v>
      </c>
      <c r="K1636">
        <v>24</v>
      </c>
      <c r="L1636" t="s">
        <v>46</v>
      </c>
      <c r="M1636">
        <v>150</v>
      </c>
      <c r="N1636">
        <v>1</v>
      </c>
      <c r="O1636">
        <v>1380.34</v>
      </c>
      <c r="P1636" s="1">
        <v>45600.340763888889</v>
      </c>
      <c r="Q1636">
        <v>16</v>
      </c>
      <c r="R1636" t="s">
        <v>54</v>
      </c>
      <c r="S1636">
        <v>5.0169723205348902</v>
      </c>
      <c r="T1636" t="b">
        <v>1</v>
      </c>
      <c r="U1636" t="b">
        <v>0</v>
      </c>
      <c r="V1636" t="b">
        <f t="shared" si="50"/>
        <v>1</v>
      </c>
      <c r="W1636">
        <v>1</v>
      </c>
      <c r="Y1636">
        <f t="shared" si="51"/>
        <v>1</v>
      </c>
    </row>
    <row r="1637" spans="1:25" x14ac:dyDescent="0.3">
      <c r="A1637" t="s">
        <v>3473</v>
      </c>
      <c r="B1637" t="s">
        <v>1809</v>
      </c>
      <c r="C1637">
        <v>40.119999999999997</v>
      </c>
      <c r="D1637" s="1">
        <v>45035.710543981484</v>
      </c>
      <c r="E1637" t="s">
        <v>57</v>
      </c>
      <c r="F1637" t="s">
        <v>336</v>
      </c>
      <c r="G1637" t="s">
        <v>941</v>
      </c>
      <c r="H1637" t="s">
        <v>576</v>
      </c>
      <c r="I1637" t="s">
        <v>1823</v>
      </c>
      <c r="J1637" t="s">
        <v>30</v>
      </c>
      <c r="K1637">
        <v>36</v>
      </c>
      <c r="L1637" t="s">
        <v>31</v>
      </c>
      <c r="M1637">
        <v>269</v>
      </c>
      <c r="N1637">
        <v>1</v>
      </c>
      <c r="O1637">
        <v>14304.38</v>
      </c>
      <c r="P1637" s="1">
        <v>45600.340740740743</v>
      </c>
      <c r="Q1637">
        <v>17</v>
      </c>
      <c r="R1637" t="s">
        <v>74</v>
      </c>
      <c r="S1637">
        <v>-0.88192187329834903</v>
      </c>
      <c r="T1637" t="b">
        <v>0</v>
      </c>
      <c r="U1637" t="b">
        <v>0</v>
      </c>
      <c r="V1637" t="b">
        <f t="shared" si="50"/>
        <v>1</v>
      </c>
      <c r="W1637">
        <v>0</v>
      </c>
      <c r="Y1637">
        <f t="shared" si="51"/>
        <v>0</v>
      </c>
    </row>
    <row r="1638" spans="1:25" x14ac:dyDescent="0.3">
      <c r="A1638" t="s">
        <v>3474</v>
      </c>
      <c r="B1638" t="s">
        <v>1036</v>
      </c>
      <c r="C1638">
        <v>125</v>
      </c>
      <c r="D1638" s="1">
        <v>45082.680497685185</v>
      </c>
      <c r="E1638" t="s">
        <v>57</v>
      </c>
      <c r="F1638" t="s">
        <v>77</v>
      </c>
      <c r="G1638" t="s">
        <v>1857</v>
      </c>
      <c r="H1638" t="s">
        <v>1125</v>
      </c>
      <c r="I1638" t="s">
        <v>259</v>
      </c>
      <c r="J1638" t="s">
        <v>45</v>
      </c>
      <c r="K1638">
        <v>49</v>
      </c>
      <c r="L1638" t="s">
        <v>89</v>
      </c>
      <c r="M1638">
        <v>177</v>
      </c>
      <c r="N1638">
        <v>1</v>
      </c>
      <c r="O1638">
        <v>3215.76</v>
      </c>
      <c r="P1638" s="1">
        <v>45600.34138888889</v>
      </c>
      <c r="Q1638">
        <v>16</v>
      </c>
      <c r="R1638" t="s">
        <v>47</v>
      </c>
      <c r="S1638">
        <v>-0.59118341742167901</v>
      </c>
      <c r="T1638" t="b">
        <v>0</v>
      </c>
      <c r="U1638" t="b">
        <v>0</v>
      </c>
      <c r="V1638" t="b">
        <f t="shared" si="50"/>
        <v>1</v>
      </c>
      <c r="W1638">
        <v>0</v>
      </c>
      <c r="Y1638">
        <f t="shared" si="51"/>
        <v>0</v>
      </c>
    </row>
    <row r="1639" spans="1:25" x14ac:dyDescent="0.3">
      <c r="A1639" t="s">
        <v>3475</v>
      </c>
      <c r="B1639" t="s">
        <v>180</v>
      </c>
      <c r="C1639">
        <v>348.44</v>
      </c>
      <c r="D1639" s="1">
        <v>45236.74900462963</v>
      </c>
      <c r="E1639" t="s">
        <v>25</v>
      </c>
      <c r="F1639" t="s">
        <v>210</v>
      </c>
      <c r="G1639" t="s">
        <v>1214</v>
      </c>
      <c r="H1639" t="s">
        <v>1390</v>
      </c>
      <c r="I1639" t="s">
        <v>652</v>
      </c>
      <c r="J1639" t="s">
        <v>45</v>
      </c>
      <c r="K1639">
        <v>24</v>
      </c>
      <c r="L1639" t="s">
        <v>46</v>
      </c>
      <c r="M1639">
        <v>147</v>
      </c>
      <c r="N1639">
        <v>1</v>
      </c>
      <c r="O1639">
        <v>1022.94</v>
      </c>
      <c r="P1639" s="1">
        <v>45600.340219907404</v>
      </c>
      <c r="Q1639">
        <v>17</v>
      </c>
      <c r="R1639" t="s">
        <v>47</v>
      </c>
      <c r="S1639">
        <v>0.17416296077204199</v>
      </c>
      <c r="T1639" t="b">
        <v>0</v>
      </c>
      <c r="U1639" t="b">
        <v>0</v>
      </c>
      <c r="V1639" t="b">
        <f t="shared" si="50"/>
        <v>1</v>
      </c>
      <c r="W1639">
        <v>0</v>
      </c>
      <c r="Y1639">
        <f t="shared" si="51"/>
        <v>0</v>
      </c>
    </row>
    <row r="1640" spans="1:25" x14ac:dyDescent="0.3">
      <c r="A1640" t="s">
        <v>3476</v>
      </c>
      <c r="B1640" t="s">
        <v>670</v>
      </c>
      <c r="C1640">
        <v>128.4</v>
      </c>
      <c r="D1640" s="1">
        <v>45005.720451388886</v>
      </c>
      <c r="E1640" t="s">
        <v>25</v>
      </c>
      <c r="F1640" t="s">
        <v>268</v>
      </c>
      <c r="G1640" t="s">
        <v>1542</v>
      </c>
      <c r="H1640" t="s">
        <v>2622</v>
      </c>
      <c r="I1640" t="s">
        <v>162</v>
      </c>
      <c r="J1640" t="s">
        <v>30</v>
      </c>
      <c r="K1640">
        <v>69</v>
      </c>
      <c r="L1640" t="s">
        <v>82</v>
      </c>
      <c r="M1640">
        <v>31</v>
      </c>
      <c r="N1640">
        <v>1</v>
      </c>
      <c r="O1640">
        <v>2610.64</v>
      </c>
      <c r="P1640" s="1">
        <v>45600.341481481482</v>
      </c>
      <c r="Q1640">
        <v>17</v>
      </c>
      <c r="R1640" t="s">
        <v>47</v>
      </c>
      <c r="S1640">
        <v>-0.57953743780362199</v>
      </c>
      <c r="T1640" t="b">
        <v>0</v>
      </c>
      <c r="U1640" t="b">
        <v>0</v>
      </c>
      <c r="V1640" t="b">
        <f t="shared" si="50"/>
        <v>1</v>
      </c>
      <c r="W1640">
        <v>0</v>
      </c>
      <c r="Y1640">
        <f t="shared" si="51"/>
        <v>0</v>
      </c>
    </row>
    <row r="1641" spans="1:25" x14ac:dyDescent="0.3">
      <c r="A1641" t="s">
        <v>3477</v>
      </c>
      <c r="B1641" t="s">
        <v>3478</v>
      </c>
      <c r="C1641">
        <v>320.93</v>
      </c>
      <c r="D1641" s="1">
        <v>45099.670543981483</v>
      </c>
      <c r="E1641" t="s">
        <v>25</v>
      </c>
      <c r="F1641" t="s">
        <v>58</v>
      </c>
      <c r="G1641" t="s">
        <v>160</v>
      </c>
      <c r="H1641" t="s">
        <v>2523</v>
      </c>
      <c r="I1641" t="s">
        <v>620</v>
      </c>
      <c r="J1641" t="s">
        <v>45</v>
      </c>
      <c r="K1641">
        <v>55</v>
      </c>
      <c r="L1641" t="s">
        <v>89</v>
      </c>
      <c r="M1641">
        <v>178</v>
      </c>
      <c r="N1641">
        <v>1</v>
      </c>
      <c r="O1641">
        <v>9451.66</v>
      </c>
      <c r="P1641" s="1">
        <v>45600.340590277781</v>
      </c>
      <c r="Q1641">
        <v>16</v>
      </c>
      <c r="R1641" t="s">
        <v>141</v>
      </c>
      <c r="S1641">
        <v>7.9933284509469196E-2</v>
      </c>
      <c r="T1641" t="b">
        <v>0</v>
      </c>
      <c r="U1641" t="b">
        <v>0</v>
      </c>
      <c r="V1641" t="b">
        <f t="shared" si="50"/>
        <v>1</v>
      </c>
      <c r="W1641">
        <v>0</v>
      </c>
      <c r="Y1641">
        <f t="shared" si="51"/>
        <v>0</v>
      </c>
    </row>
    <row r="1642" spans="1:25" x14ac:dyDescent="0.3">
      <c r="A1642" t="s">
        <v>3479</v>
      </c>
      <c r="B1642" t="s">
        <v>1340</v>
      </c>
      <c r="C1642">
        <v>1.41</v>
      </c>
      <c r="D1642" s="1">
        <v>45084.710104166668</v>
      </c>
      <c r="E1642" t="s">
        <v>25</v>
      </c>
      <c r="F1642" t="s">
        <v>298</v>
      </c>
      <c r="G1642" t="s">
        <v>2579</v>
      </c>
      <c r="H1642" t="s">
        <v>854</v>
      </c>
      <c r="I1642" t="s">
        <v>833</v>
      </c>
      <c r="J1642" t="s">
        <v>30</v>
      </c>
      <c r="K1642">
        <v>53</v>
      </c>
      <c r="L1642" t="s">
        <v>82</v>
      </c>
      <c r="M1642">
        <v>278</v>
      </c>
      <c r="N1642">
        <v>1</v>
      </c>
      <c r="O1642">
        <v>1244.17</v>
      </c>
      <c r="P1642" s="1">
        <v>45600.34171296296</v>
      </c>
      <c r="Q1642">
        <v>17</v>
      </c>
      <c r="R1642" t="s">
        <v>74</v>
      </c>
      <c r="S1642">
        <v>-1.01451477653805</v>
      </c>
      <c r="T1642" t="b">
        <v>0</v>
      </c>
      <c r="U1642" t="b">
        <v>0</v>
      </c>
      <c r="V1642" t="b">
        <f t="shared" si="50"/>
        <v>1</v>
      </c>
      <c r="W1642">
        <v>0</v>
      </c>
      <c r="Y1642">
        <f t="shared" si="51"/>
        <v>0</v>
      </c>
    </row>
    <row r="1643" spans="1:25" x14ac:dyDescent="0.3">
      <c r="A1643" t="s">
        <v>3480</v>
      </c>
      <c r="B1643" t="s">
        <v>255</v>
      </c>
      <c r="C1643">
        <v>50.52</v>
      </c>
      <c r="D1643" s="1">
        <v>45022.669016203705</v>
      </c>
      <c r="E1643" t="s">
        <v>25</v>
      </c>
      <c r="F1643" t="s">
        <v>153</v>
      </c>
      <c r="G1643" t="s">
        <v>2915</v>
      </c>
      <c r="H1643" t="s">
        <v>656</v>
      </c>
      <c r="I1643" t="s">
        <v>162</v>
      </c>
      <c r="J1643" t="s">
        <v>81</v>
      </c>
      <c r="K1643">
        <v>54</v>
      </c>
      <c r="L1643" t="s">
        <v>31</v>
      </c>
      <c r="M1643">
        <v>293</v>
      </c>
      <c r="N1643">
        <v>1</v>
      </c>
      <c r="O1643">
        <v>12815.24</v>
      </c>
      <c r="P1643" s="1">
        <v>45600.338171296295</v>
      </c>
      <c r="Q1643">
        <v>16</v>
      </c>
      <c r="R1643" t="s">
        <v>141</v>
      </c>
      <c r="S1643">
        <v>-0.84629887681958704</v>
      </c>
      <c r="T1643" t="b">
        <v>0</v>
      </c>
      <c r="U1643" t="b">
        <v>0</v>
      </c>
      <c r="V1643" t="b">
        <f t="shared" si="50"/>
        <v>1</v>
      </c>
      <c r="W1643">
        <v>0</v>
      </c>
      <c r="Y1643">
        <f t="shared" si="51"/>
        <v>0</v>
      </c>
    </row>
    <row r="1644" spans="1:25" x14ac:dyDescent="0.3">
      <c r="A1644" t="s">
        <v>3481</v>
      </c>
      <c r="B1644" t="s">
        <v>209</v>
      </c>
      <c r="C1644">
        <v>383.95</v>
      </c>
      <c r="D1644" s="1">
        <v>45189.748090277775</v>
      </c>
      <c r="E1644" t="s">
        <v>57</v>
      </c>
      <c r="F1644" t="s">
        <v>26</v>
      </c>
      <c r="G1644" t="s">
        <v>1327</v>
      </c>
      <c r="H1644" t="s">
        <v>2380</v>
      </c>
      <c r="I1644" t="s">
        <v>1537</v>
      </c>
      <c r="J1644" t="s">
        <v>45</v>
      </c>
      <c r="K1644">
        <v>31</v>
      </c>
      <c r="L1644" t="s">
        <v>89</v>
      </c>
      <c r="M1644">
        <v>143</v>
      </c>
      <c r="N1644">
        <v>1</v>
      </c>
      <c r="O1644">
        <v>9933.56</v>
      </c>
      <c r="P1644" s="1">
        <v>45600.338831018518</v>
      </c>
      <c r="Q1644">
        <v>17</v>
      </c>
      <c r="R1644" t="s">
        <v>74</v>
      </c>
      <c r="S1644">
        <v>0.295794942018278</v>
      </c>
      <c r="T1644" t="b">
        <v>0</v>
      </c>
      <c r="U1644" t="b">
        <v>0</v>
      </c>
      <c r="V1644" t="b">
        <f t="shared" si="50"/>
        <v>1</v>
      </c>
      <c r="W1644">
        <v>0</v>
      </c>
      <c r="Y1644">
        <f t="shared" si="51"/>
        <v>0</v>
      </c>
    </row>
    <row r="1645" spans="1:25" x14ac:dyDescent="0.3">
      <c r="A1645" t="s">
        <v>3482</v>
      </c>
      <c r="B1645" t="s">
        <v>550</v>
      </c>
      <c r="C1645">
        <v>12.94</v>
      </c>
      <c r="D1645" s="1">
        <v>45166.714363425926</v>
      </c>
      <c r="E1645" t="s">
        <v>25</v>
      </c>
      <c r="F1645" t="s">
        <v>571</v>
      </c>
      <c r="G1645" t="s">
        <v>1371</v>
      </c>
      <c r="H1645" t="s">
        <v>3483</v>
      </c>
      <c r="I1645" t="s">
        <v>647</v>
      </c>
      <c r="J1645" t="s">
        <v>81</v>
      </c>
      <c r="K1645">
        <v>23</v>
      </c>
      <c r="L1645" t="s">
        <v>46</v>
      </c>
      <c r="M1645">
        <v>158</v>
      </c>
      <c r="N1645">
        <v>1</v>
      </c>
      <c r="O1645">
        <v>921.23</v>
      </c>
      <c r="P1645" s="1">
        <v>45600.340648148151</v>
      </c>
      <c r="Q1645">
        <v>17</v>
      </c>
      <c r="R1645" t="s">
        <v>47</v>
      </c>
      <c r="S1645">
        <v>-0.97502120448034602</v>
      </c>
      <c r="T1645" t="b">
        <v>0</v>
      </c>
      <c r="U1645" t="b">
        <v>0</v>
      </c>
      <c r="V1645" t="b">
        <f t="shared" si="50"/>
        <v>1</v>
      </c>
      <c r="W1645">
        <v>0</v>
      </c>
      <c r="Y1645">
        <f t="shared" si="51"/>
        <v>0</v>
      </c>
    </row>
    <row r="1646" spans="1:25" x14ac:dyDescent="0.3">
      <c r="A1646" t="s">
        <v>3484</v>
      </c>
      <c r="B1646" t="s">
        <v>476</v>
      </c>
      <c r="C1646">
        <v>329.75</v>
      </c>
      <c r="D1646" s="1">
        <v>45285.730474537035</v>
      </c>
      <c r="E1646" t="s">
        <v>25</v>
      </c>
      <c r="F1646" t="s">
        <v>298</v>
      </c>
      <c r="G1646" t="s">
        <v>683</v>
      </c>
      <c r="H1646" t="s">
        <v>1930</v>
      </c>
      <c r="I1646" t="s">
        <v>344</v>
      </c>
      <c r="J1646" t="s">
        <v>45</v>
      </c>
      <c r="K1646">
        <v>56</v>
      </c>
      <c r="L1646" t="s">
        <v>82</v>
      </c>
      <c r="M1646">
        <v>211</v>
      </c>
      <c r="N1646">
        <v>1</v>
      </c>
      <c r="O1646">
        <v>6009.43</v>
      </c>
      <c r="P1646" s="1">
        <v>45600.340243055558</v>
      </c>
      <c r="Q1646">
        <v>17</v>
      </c>
      <c r="R1646" t="s">
        <v>47</v>
      </c>
      <c r="S1646">
        <v>0.11014432575395799</v>
      </c>
      <c r="T1646" t="b">
        <v>0</v>
      </c>
      <c r="U1646" t="b">
        <v>0</v>
      </c>
      <c r="V1646" t="b">
        <f t="shared" si="50"/>
        <v>1</v>
      </c>
      <c r="W1646">
        <v>0</v>
      </c>
      <c r="Y1646">
        <f t="shared" si="51"/>
        <v>0</v>
      </c>
    </row>
    <row r="1647" spans="1:25" x14ac:dyDescent="0.3">
      <c r="A1647" t="s">
        <v>3485</v>
      </c>
      <c r="B1647" t="s">
        <v>1867</v>
      </c>
      <c r="C1647">
        <v>981.76</v>
      </c>
      <c r="D1647" s="1">
        <v>45194.683298611111</v>
      </c>
      <c r="E1647" t="s">
        <v>25</v>
      </c>
      <c r="F1647" t="s">
        <v>191</v>
      </c>
      <c r="G1647" t="s">
        <v>3119</v>
      </c>
      <c r="H1647" t="s">
        <v>2438</v>
      </c>
      <c r="I1647" t="s">
        <v>156</v>
      </c>
      <c r="J1647" t="s">
        <v>45</v>
      </c>
      <c r="K1647">
        <v>45</v>
      </c>
      <c r="L1647" t="s">
        <v>31</v>
      </c>
      <c r="M1647">
        <v>234</v>
      </c>
      <c r="N1647">
        <v>1</v>
      </c>
      <c r="O1647">
        <v>602.36</v>
      </c>
      <c r="P1647" s="1">
        <v>45600.338020833333</v>
      </c>
      <c r="Q1647">
        <v>16</v>
      </c>
      <c r="R1647" t="s">
        <v>47</v>
      </c>
      <c r="S1647">
        <v>2.3434664348037599</v>
      </c>
      <c r="T1647" t="b">
        <v>1</v>
      </c>
      <c r="U1647" t="b">
        <v>0</v>
      </c>
      <c r="V1647" t="b">
        <f t="shared" si="50"/>
        <v>1</v>
      </c>
      <c r="W1647">
        <v>1</v>
      </c>
      <c r="Y1647">
        <f t="shared" si="51"/>
        <v>1</v>
      </c>
    </row>
    <row r="1648" spans="1:25" x14ac:dyDescent="0.3">
      <c r="A1648" t="s">
        <v>3486</v>
      </c>
      <c r="B1648" t="s">
        <v>460</v>
      </c>
      <c r="C1648">
        <v>40.79</v>
      </c>
      <c r="D1648" s="1">
        <v>45247.694548611114</v>
      </c>
      <c r="E1648" t="s">
        <v>25</v>
      </c>
      <c r="F1648" t="s">
        <v>191</v>
      </c>
      <c r="G1648" t="s">
        <v>2021</v>
      </c>
      <c r="H1648" t="s">
        <v>806</v>
      </c>
      <c r="I1648" t="s">
        <v>898</v>
      </c>
      <c r="J1648" t="s">
        <v>30</v>
      </c>
      <c r="K1648">
        <v>18</v>
      </c>
      <c r="L1648" t="s">
        <v>46</v>
      </c>
      <c r="M1648">
        <v>80</v>
      </c>
      <c r="N1648">
        <v>1</v>
      </c>
      <c r="O1648">
        <v>1769.33</v>
      </c>
      <c r="P1648" s="1">
        <v>45600.341307870367</v>
      </c>
      <c r="Q1648">
        <v>16</v>
      </c>
      <c r="R1648" t="s">
        <v>54</v>
      </c>
      <c r="S1648">
        <v>-0.87962693025596705</v>
      </c>
      <c r="T1648" t="b">
        <v>0</v>
      </c>
      <c r="U1648" t="b">
        <v>0</v>
      </c>
      <c r="V1648" t="b">
        <f t="shared" si="50"/>
        <v>1</v>
      </c>
      <c r="W1648">
        <v>0</v>
      </c>
      <c r="Y1648">
        <f t="shared" si="51"/>
        <v>0</v>
      </c>
    </row>
    <row r="1649" spans="1:25" x14ac:dyDescent="0.3">
      <c r="A1649" t="s">
        <v>3487</v>
      </c>
      <c r="B1649" t="s">
        <v>948</v>
      </c>
      <c r="C1649">
        <v>99.25</v>
      </c>
      <c r="D1649" s="1">
        <v>45103.704143518517</v>
      </c>
      <c r="E1649" t="s">
        <v>57</v>
      </c>
      <c r="F1649" t="s">
        <v>438</v>
      </c>
      <c r="G1649" t="s">
        <v>2245</v>
      </c>
      <c r="H1649" t="s">
        <v>1781</v>
      </c>
      <c r="I1649" t="s">
        <v>134</v>
      </c>
      <c r="J1649" t="s">
        <v>45</v>
      </c>
      <c r="K1649">
        <v>63</v>
      </c>
      <c r="L1649" t="s">
        <v>82</v>
      </c>
      <c r="M1649">
        <v>93</v>
      </c>
      <c r="N1649">
        <v>1</v>
      </c>
      <c r="O1649">
        <v>2570.34</v>
      </c>
      <c r="P1649" s="1">
        <v>45600.338576388887</v>
      </c>
      <c r="Q1649">
        <v>16</v>
      </c>
      <c r="R1649" t="s">
        <v>47</v>
      </c>
      <c r="S1649">
        <v>-0.67938458658784595</v>
      </c>
      <c r="T1649" t="b">
        <v>0</v>
      </c>
      <c r="U1649" t="b">
        <v>0</v>
      </c>
      <c r="V1649" t="b">
        <f t="shared" si="50"/>
        <v>1</v>
      </c>
      <c r="W1649">
        <v>0</v>
      </c>
      <c r="Y1649">
        <f t="shared" si="51"/>
        <v>0</v>
      </c>
    </row>
    <row r="1650" spans="1:25" x14ac:dyDescent="0.3">
      <c r="A1650" t="s">
        <v>3488</v>
      </c>
      <c r="B1650" t="s">
        <v>2525</v>
      </c>
      <c r="C1650">
        <v>150.6</v>
      </c>
      <c r="D1650" s="1">
        <v>45033.73846064815</v>
      </c>
      <c r="E1650" t="s">
        <v>25</v>
      </c>
      <c r="F1650" t="s">
        <v>185</v>
      </c>
      <c r="G1650" t="s">
        <v>643</v>
      </c>
      <c r="H1650" t="s">
        <v>355</v>
      </c>
      <c r="I1650" t="s">
        <v>1027</v>
      </c>
      <c r="J1650" t="s">
        <v>30</v>
      </c>
      <c r="K1650">
        <v>69</v>
      </c>
      <c r="L1650" t="s">
        <v>82</v>
      </c>
      <c r="M1650">
        <v>59</v>
      </c>
      <c r="N1650">
        <v>1</v>
      </c>
      <c r="O1650">
        <v>3240.14</v>
      </c>
      <c r="P1650" s="1">
        <v>45600.338541666664</v>
      </c>
      <c r="Q1650">
        <v>17</v>
      </c>
      <c r="R1650" t="s">
        <v>47</v>
      </c>
      <c r="S1650">
        <v>-0.50349604147395599</v>
      </c>
      <c r="T1650" t="b">
        <v>0</v>
      </c>
      <c r="U1650" t="b">
        <v>0</v>
      </c>
      <c r="V1650" t="b">
        <f t="shared" si="50"/>
        <v>1</v>
      </c>
      <c r="W1650">
        <v>0</v>
      </c>
      <c r="Y1650">
        <f t="shared" si="51"/>
        <v>0</v>
      </c>
    </row>
    <row r="1651" spans="1:25" x14ac:dyDescent="0.3">
      <c r="A1651" t="s">
        <v>3489</v>
      </c>
      <c r="B1651" t="s">
        <v>368</v>
      </c>
      <c r="C1651">
        <v>29.5</v>
      </c>
      <c r="D1651" s="1">
        <v>45127.768182870372</v>
      </c>
      <c r="E1651" t="s">
        <v>25</v>
      </c>
      <c r="F1651" t="s">
        <v>250</v>
      </c>
      <c r="G1651" t="s">
        <v>1492</v>
      </c>
      <c r="H1651" t="s">
        <v>1877</v>
      </c>
      <c r="I1651" t="s">
        <v>194</v>
      </c>
      <c r="J1651" t="s">
        <v>45</v>
      </c>
      <c r="K1651">
        <v>73</v>
      </c>
      <c r="L1651" t="s">
        <v>82</v>
      </c>
      <c r="M1651">
        <v>129</v>
      </c>
      <c r="N1651">
        <v>1</v>
      </c>
      <c r="O1651">
        <v>1229.32</v>
      </c>
      <c r="P1651" s="1">
        <v>45600.339930555558</v>
      </c>
      <c r="Q1651">
        <v>18</v>
      </c>
      <c r="R1651" t="s">
        <v>141</v>
      </c>
      <c r="S1651">
        <v>-0.91829843316416304</v>
      </c>
      <c r="T1651" t="b">
        <v>0</v>
      </c>
      <c r="U1651" t="b">
        <v>0</v>
      </c>
      <c r="V1651" t="b">
        <f t="shared" si="50"/>
        <v>1</v>
      </c>
      <c r="W1651">
        <v>0</v>
      </c>
      <c r="Y1651">
        <f t="shared" si="51"/>
        <v>0</v>
      </c>
    </row>
    <row r="1652" spans="1:25" x14ac:dyDescent="0.3">
      <c r="A1652" t="s">
        <v>3490</v>
      </c>
      <c r="B1652" t="s">
        <v>350</v>
      </c>
      <c r="C1652">
        <v>54.34</v>
      </c>
      <c r="D1652" s="1">
        <v>45285.752465277779</v>
      </c>
      <c r="E1652" t="s">
        <v>25</v>
      </c>
      <c r="F1652" t="s">
        <v>98</v>
      </c>
      <c r="G1652" t="s">
        <v>890</v>
      </c>
      <c r="H1652" t="s">
        <v>2987</v>
      </c>
      <c r="I1652" t="s">
        <v>88</v>
      </c>
      <c r="J1652" t="s">
        <v>30</v>
      </c>
      <c r="K1652">
        <v>65</v>
      </c>
      <c r="L1652" t="s">
        <v>31</v>
      </c>
      <c r="M1652">
        <v>46</v>
      </c>
      <c r="N1652">
        <v>1</v>
      </c>
      <c r="O1652">
        <v>8019.89</v>
      </c>
      <c r="P1652" s="1">
        <v>45600.341516203705</v>
      </c>
      <c r="Q1652">
        <v>18</v>
      </c>
      <c r="R1652" t="s">
        <v>47</v>
      </c>
      <c r="S1652">
        <v>-0.83321427618988697</v>
      </c>
      <c r="T1652" t="b">
        <v>0</v>
      </c>
      <c r="U1652" t="b">
        <v>0</v>
      </c>
      <c r="V1652" t="b">
        <f t="shared" si="50"/>
        <v>1</v>
      </c>
      <c r="W1652">
        <v>0</v>
      </c>
      <c r="Y1652">
        <f t="shared" si="51"/>
        <v>0</v>
      </c>
    </row>
    <row r="1653" spans="1:25" x14ac:dyDescent="0.3">
      <c r="A1653" t="s">
        <v>3491</v>
      </c>
      <c r="B1653" t="s">
        <v>700</v>
      </c>
      <c r="C1653">
        <v>18.25</v>
      </c>
      <c r="D1653" s="1">
        <v>45154.695381944446</v>
      </c>
      <c r="E1653" t="s">
        <v>25</v>
      </c>
      <c r="F1653" t="s">
        <v>304</v>
      </c>
      <c r="G1653" t="s">
        <v>2971</v>
      </c>
      <c r="H1653" t="s">
        <v>2380</v>
      </c>
      <c r="I1653" t="s">
        <v>605</v>
      </c>
      <c r="J1653" t="s">
        <v>30</v>
      </c>
      <c r="K1653">
        <v>53</v>
      </c>
      <c r="L1653" t="s">
        <v>31</v>
      </c>
      <c r="M1653">
        <v>18</v>
      </c>
      <c r="N1653">
        <v>1</v>
      </c>
      <c r="O1653">
        <v>14328.29</v>
      </c>
      <c r="P1653" s="1">
        <v>45600.339386574073</v>
      </c>
      <c r="Q1653">
        <v>16</v>
      </c>
      <c r="R1653" t="s">
        <v>74</v>
      </c>
      <c r="S1653">
        <v>-0.95683292454743896</v>
      </c>
      <c r="T1653" t="b">
        <v>0</v>
      </c>
      <c r="U1653" t="b">
        <v>0</v>
      </c>
      <c r="V1653" t="b">
        <f t="shared" si="50"/>
        <v>1</v>
      </c>
      <c r="W1653">
        <v>0</v>
      </c>
      <c r="Y1653">
        <f t="shared" si="51"/>
        <v>0</v>
      </c>
    </row>
    <row r="1654" spans="1:25" x14ac:dyDescent="0.3">
      <c r="A1654" t="s">
        <v>3492</v>
      </c>
      <c r="B1654" t="s">
        <v>2032</v>
      </c>
      <c r="C1654">
        <v>633.87</v>
      </c>
      <c r="D1654" s="1">
        <v>45268.670995370368</v>
      </c>
      <c r="E1654" t="s">
        <v>25</v>
      </c>
      <c r="F1654" t="s">
        <v>304</v>
      </c>
      <c r="G1654" t="s">
        <v>3493</v>
      </c>
      <c r="H1654" t="s">
        <v>2497</v>
      </c>
      <c r="I1654" t="s">
        <v>665</v>
      </c>
      <c r="J1654" t="s">
        <v>45</v>
      </c>
      <c r="K1654">
        <v>27</v>
      </c>
      <c r="L1654" t="s">
        <v>46</v>
      </c>
      <c r="M1654">
        <v>175</v>
      </c>
      <c r="N1654">
        <v>1</v>
      </c>
      <c r="O1654">
        <v>330.16</v>
      </c>
      <c r="P1654" s="1">
        <v>45600.340254629627</v>
      </c>
      <c r="Q1654">
        <v>16</v>
      </c>
      <c r="R1654" t="s">
        <v>54</v>
      </c>
      <c r="S1654">
        <v>1.1518429497079199</v>
      </c>
      <c r="T1654" t="b">
        <v>0</v>
      </c>
      <c r="U1654" t="b">
        <v>0</v>
      </c>
      <c r="V1654" t="b">
        <f t="shared" si="50"/>
        <v>1</v>
      </c>
      <c r="W1654">
        <v>0</v>
      </c>
      <c r="Y1654">
        <f t="shared" si="51"/>
        <v>0</v>
      </c>
    </row>
    <row r="1655" spans="1:25" x14ac:dyDescent="0.3">
      <c r="A1655" t="s">
        <v>3494</v>
      </c>
      <c r="B1655" t="s">
        <v>1672</v>
      </c>
      <c r="C1655">
        <v>81.150000000000006</v>
      </c>
      <c r="D1655" s="1">
        <v>44974.686249999999</v>
      </c>
      <c r="E1655" t="s">
        <v>25</v>
      </c>
      <c r="F1655" t="s">
        <v>185</v>
      </c>
      <c r="G1655" t="s">
        <v>337</v>
      </c>
      <c r="H1655" t="s">
        <v>414</v>
      </c>
      <c r="I1655" t="s">
        <v>140</v>
      </c>
      <c r="J1655" t="s">
        <v>30</v>
      </c>
      <c r="K1655">
        <v>19</v>
      </c>
      <c r="L1655" t="s">
        <v>46</v>
      </c>
      <c r="M1655">
        <v>114</v>
      </c>
      <c r="N1655">
        <v>1</v>
      </c>
      <c r="O1655">
        <v>1595.26</v>
      </c>
      <c r="P1655" s="1">
        <v>45600.33966435185</v>
      </c>
      <c r="Q1655">
        <v>16</v>
      </c>
      <c r="R1655" t="s">
        <v>54</v>
      </c>
      <c r="S1655">
        <v>-0.74138230161338503</v>
      </c>
      <c r="T1655" t="b">
        <v>0</v>
      </c>
      <c r="U1655" t="b">
        <v>0</v>
      </c>
      <c r="V1655" t="b">
        <f t="shared" si="50"/>
        <v>1</v>
      </c>
      <c r="W1655">
        <v>0</v>
      </c>
      <c r="Y1655">
        <f t="shared" si="51"/>
        <v>0</v>
      </c>
    </row>
    <row r="1656" spans="1:25" x14ac:dyDescent="0.3">
      <c r="A1656" t="s">
        <v>3495</v>
      </c>
      <c r="B1656" t="s">
        <v>2324</v>
      </c>
      <c r="C1656">
        <v>83.95</v>
      </c>
      <c r="D1656" s="1">
        <v>45091.678067129629</v>
      </c>
      <c r="E1656" t="s">
        <v>25</v>
      </c>
      <c r="F1656" t="s">
        <v>216</v>
      </c>
      <c r="G1656" t="s">
        <v>2139</v>
      </c>
      <c r="H1656" t="s">
        <v>264</v>
      </c>
      <c r="I1656" t="s">
        <v>29</v>
      </c>
      <c r="J1656" t="s">
        <v>45</v>
      </c>
      <c r="K1656">
        <v>75</v>
      </c>
      <c r="L1656" t="s">
        <v>82</v>
      </c>
      <c r="M1656">
        <v>170</v>
      </c>
      <c r="N1656">
        <v>1</v>
      </c>
      <c r="O1656">
        <v>7413.18</v>
      </c>
      <c r="P1656" s="1">
        <v>45600.33792824074</v>
      </c>
      <c r="Q1656">
        <v>16</v>
      </c>
      <c r="R1656" t="s">
        <v>74</v>
      </c>
      <c r="S1656">
        <v>-0.731791494869103</v>
      </c>
      <c r="T1656" t="b">
        <v>0</v>
      </c>
      <c r="U1656" t="b">
        <v>0</v>
      </c>
      <c r="V1656" t="b">
        <f t="shared" si="50"/>
        <v>1</v>
      </c>
      <c r="W1656">
        <v>0</v>
      </c>
      <c r="Y1656">
        <f t="shared" si="51"/>
        <v>0</v>
      </c>
    </row>
    <row r="1657" spans="1:25" x14ac:dyDescent="0.3">
      <c r="A1657" t="s">
        <v>3496</v>
      </c>
      <c r="B1657" t="s">
        <v>1465</v>
      </c>
      <c r="C1657">
        <v>410.4</v>
      </c>
      <c r="D1657" s="1">
        <v>45065.66678240741</v>
      </c>
      <c r="E1657" t="s">
        <v>57</v>
      </c>
      <c r="F1657" t="s">
        <v>314</v>
      </c>
      <c r="G1657" t="s">
        <v>1044</v>
      </c>
      <c r="H1657" t="s">
        <v>3020</v>
      </c>
      <c r="I1657" t="s">
        <v>1050</v>
      </c>
      <c r="J1657" t="s">
        <v>30</v>
      </c>
      <c r="K1657">
        <v>61</v>
      </c>
      <c r="L1657" t="s">
        <v>82</v>
      </c>
      <c r="M1657">
        <v>78</v>
      </c>
      <c r="N1657">
        <v>1</v>
      </c>
      <c r="O1657">
        <v>2563.91</v>
      </c>
      <c r="P1657" s="1">
        <v>45600.33997685185</v>
      </c>
      <c r="Q1657">
        <v>16</v>
      </c>
      <c r="R1657" t="s">
        <v>54</v>
      </c>
      <c r="S1657">
        <v>0.386393812870515</v>
      </c>
      <c r="T1657" t="b">
        <v>0</v>
      </c>
      <c r="U1657" t="b">
        <v>0</v>
      </c>
      <c r="V1657" t="b">
        <f t="shared" si="50"/>
        <v>1</v>
      </c>
      <c r="W1657">
        <v>0</v>
      </c>
      <c r="Y1657">
        <f t="shared" si="51"/>
        <v>0</v>
      </c>
    </row>
    <row r="1658" spans="1:25" x14ac:dyDescent="0.3">
      <c r="A1658" t="s">
        <v>3497</v>
      </c>
      <c r="B1658" t="s">
        <v>2379</v>
      </c>
      <c r="C1658">
        <v>172.68</v>
      </c>
      <c r="D1658" s="1">
        <v>44977.672002314815</v>
      </c>
      <c r="E1658" t="s">
        <v>25</v>
      </c>
      <c r="F1658" t="s">
        <v>210</v>
      </c>
      <c r="G1658" t="s">
        <v>756</v>
      </c>
      <c r="H1658" t="s">
        <v>2738</v>
      </c>
      <c r="I1658" t="s">
        <v>1013</v>
      </c>
      <c r="J1658" t="s">
        <v>30</v>
      </c>
      <c r="K1658">
        <v>33</v>
      </c>
      <c r="L1658" t="s">
        <v>31</v>
      </c>
      <c r="M1658">
        <v>17</v>
      </c>
      <c r="N1658">
        <v>1</v>
      </c>
      <c r="O1658">
        <v>10724.95</v>
      </c>
      <c r="P1658" s="1">
        <v>45600.338761574072</v>
      </c>
      <c r="Q1658">
        <v>16</v>
      </c>
      <c r="R1658" t="s">
        <v>47</v>
      </c>
      <c r="S1658">
        <v>-0.42786567971904499</v>
      </c>
      <c r="T1658" t="b">
        <v>0</v>
      </c>
      <c r="U1658" t="b">
        <v>0</v>
      </c>
      <c r="V1658" t="b">
        <f t="shared" si="50"/>
        <v>1</v>
      </c>
      <c r="W1658">
        <v>0</v>
      </c>
      <c r="Y1658">
        <f t="shared" si="51"/>
        <v>0</v>
      </c>
    </row>
    <row r="1659" spans="1:25" x14ac:dyDescent="0.3">
      <c r="A1659" t="s">
        <v>3498</v>
      </c>
      <c r="B1659" t="s">
        <v>582</v>
      </c>
      <c r="C1659">
        <v>139.88</v>
      </c>
      <c r="D1659" s="1">
        <v>44949.670439814814</v>
      </c>
      <c r="E1659" t="s">
        <v>25</v>
      </c>
      <c r="F1659" t="s">
        <v>534</v>
      </c>
      <c r="G1659" t="s">
        <v>1837</v>
      </c>
      <c r="H1659" t="s">
        <v>3499</v>
      </c>
      <c r="I1659" t="s">
        <v>1222</v>
      </c>
      <c r="J1659" t="s">
        <v>30</v>
      </c>
      <c r="K1659">
        <v>34</v>
      </c>
      <c r="L1659" t="s">
        <v>89</v>
      </c>
      <c r="M1659">
        <v>162</v>
      </c>
      <c r="N1659">
        <v>1</v>
      </c>
      <c r="O1659">
        <v>2969.71</v>
      </c>
      <c r="P1659" s="1">
        <v>45600.338483796295</v>
      </c>
      <c r="Q1659">
        <v>16</v>
      </c>
      <c r="R1659" t="s">
        <v>47</v>
      </c>
      <c r="S1659">
        <v>-0.54021513015206502</v>
      </c>
      <c r="T1659" t="b">
        <v>0</v>
      </c>
      <c r="U1659" t="b">
        <v>0</v>
      </c>
      <c r="V1659" t="b">
        <f t="shared" si="50"/>
        <v>1</v>
      </c>
      <c r="W1659">
        <v>0</v>
      </c>
      <c r="Y1659">
        <f t="shared" si="51"/>
        <v>0</v>
      </c>
    </row>
    <row r="1660" spans="1:25" x14ac:dyDescent="0.3">
      <c r="A1660" t="s">
        <v>3500</v>
      </c>
      <c r="B1660" t="s">
        <v>1094</v>
      </c>
      <c r="C1660">
        <v>165.55</v>
      </c>
      <c r="D1660" s="1">
        <v>45201.765034722222</v>
      </c>
      <c r="E1660" t="s">
        <v>25</v>
      </c>
      <c r="F1660" t="s">
        <v>336</v>
      </c>
      <c r="G1660" t="s">
        <v>3024</v>
      </c>
      <c r="H1660" t="s">
        <v>155</v>
      </c>
      <c r="I1660" t="s">
        <v>898</v>
      </c>
      <c r="J1660" t="s">
        <v>81</v>
      </c>
      <c r="K1660">
        <v>28</v>
      </c>
      <c r="L1660" t="s">
        <v>46</v>
      </c>
      <c r="M1660">
        <v>115</v>
      </c>
      <c r="N1660">
        <v>1</v>
      </c>
      <c r="O1660">
        <v>761.78</v>
      </c>
      <c r="P1660" s="1">
        <v>45600.339525462965</v>
      </c>
      <c r="Q1660">
        <v>18</v>
      </c>
      <c r="R1660" t="s">
        <v>47</v>
      </c>
      <c r="S1660">
        <v>-0.452287984035735</v>
      </c>
      <c r="T1660" t="b">
        <v>0</v>
      </c>
      <c r="U1660" t="b">
        <v>0</v>
      </c>
      <c r="V1660" t="b">
        <f t="shared" si="50"/>
        <v>1</v>
      </c>
      <c r="W1660">
        <v>0</v>
      </c>
      <c r="Y1660">
        <f t="shared" si="51"/>
        <v>0</v>
      </c>
    </row>
    <row r="1661" spans="1:25" x14ac:dyDescent="0.3">
      <c r="A1661" t="s">
        <v>3501</v>
      </c>
      <c r="B1661" t="s">
        <v>335</v>
      </c>
      <c r="C1661">
        <v>53.79</v>
      </c>
      <c r="D1661" s="1">
        <v>45265.667870370373</v>
      </c>
      <c r="E1661" t="s">
        <v>57</v>
      </c>
      <c r="F1661" t="s">
        <v>256</v>
      </c>
      <c r="G1661" t="s">
        <v>93</v>
      </c>
      <c r="H1661" t="s">
        <v>478</v>
      </c>
      <c r="I1661" t="s">
        <v>844</v>
      </c>
      <c r="J1661" t="s">
        <v>30</v>
      </c>
      <c r="K1661">
        <v>54</v>
      </c>
      <c r="L1661" t="s">
        <v>89</v>
      </c>
      <c r="M1661">
        <v>137</v>
      </c>
      <c r="N1661">
        <v>3</v>
      </c>
      <c r="O1661">
        <v>6229.36</v>
      </c>
      <c r="P1661" s="1">
        <v>45600.338738425926</v>
      </c>
      <c r="Q1661">
        <v>16</v>
      </c>
      <c r="R1661" t="s">
        <v>32</v>
      </c>
      <c r="S1661">
        <v>-0.83509818465751395</v>
      </c>
      <c r="T1661" t="b">
        <v>0</v>
      </c>
      <c r="U1661" t="b">
        <v>1</v>
      </c>
      <c r="V1661" t="b">
        <f t="shared" si="50"/>
        <v>1</v>
      </c>
      <c r="W1661">
        <v>1</v>
      </c>
      <c r="Y1661">
        <f t="shared" si="51"/>
        <v>0</v>
      </c>
    </row>
    <row r="1662" spans="1:25" x14ac:dyDescent="0.3">
      <c r="A1662" t="s">
        <v>3502</v>
      </c>
      <c r="B1662" t="s">
        <v>103</v>
      </c>
      <c r="C1662">
        <v>285.69</v>
      </c>
      <c r="D1662" s="1">
        <v>45266.76090277778</v>
      </c>
      <c r="E1662" t="s">
        <v>25</v>
      </c>
      <c r="F1662" t="s">
        <v>185</v>
      </c>
      <c r="G1662" t="s">
        <v>3503</v>
      </c>
      <c r="H1662" t="s">
        <v>3097</v>
      </c>
      <c r="I1662" t="s">
        <v>344</v>
      </c>
      <c r="J1662" t="s">
        <v>30</v>
      </c>
      <c r="K1662">
        <v>63</v>
      </c>
      <c r="L1662" t="s">
        <v>82</v>
      </c>
      <c r="M1662">
        <v>35</v>
      </c>
      <c r="N1662">
        <v>1</v>
      </c>
      <c r="O1662">
        <v>2552.54</v>
      </c>
      <c r="P1662" s="1">
        <v>45600.338877314818</v>
      </c>
      <c r="Q1662">
        <v>18</v>
      </c>
      <c r="R1662" t="s">
        <v>74</v>
      </c>
      <c r="S1662">
        <v>-4.0773868943568499E-2</v>
      </c>
      <c r="T1662" t="b">
        <v>0</v>
      </c>
      <c r="U1662" t="b">
        <v>0</v>
      </c>
      <c r="V1662" t="b">
        <f t="shared" si="50"/>
        <v>1</v>
      </c>
      <c r="W1662">
        <v>0</v>
      </c>
      <c r="Y1662">
        <f t="shared" si="51"/>
        <v>0</v>
      </c>
    </row>
    <row r="1663" spans="1:25" x14ac:dyDescent="0.3">
      <c r="A1663" t="s">
        <v>3504</v>
      </c>
      <c r="B1663" t="s">
        <v>1418</v>
      </c>
      <c r="C1663">
        <v>532.4</v>
      </c>
      <c r="D1663" s="1">
        <v>45162.699282407404</v>
      </c>
      <c r="E1663" t="s">
        <v>25</v>
      </c>
      <c r="F1663" t="s">
        <v>405</v>
      </c>
      <c r="G1663" t="s">
        <v>1813</v>
      </c>
      <c r="H1663" t="s">
        <v>760</v>
      </c>
      <c r="I1663" t="s">
        <v>1575</v>
      </c>
      <c r="J1663" t="s">
        <v>30</v>
      </c>
      <c r="K1663">
        <v>22</v>
      </c>
      <c r="L1663" t="s">
        <v>46</v>
      </c>
      <c r="M1663">
        <v>149</v>
      </c>
      <c r="N1663">
        <v>1</v>
      </c>
      <c r="O1663">
        <v>1033.73</v>
      </c>
      <c r="P1663" s="1">
        <v>45600.340127314812</v>
      </c>
      <c r="Q1663">
        <v>16</v>
      </c>
      <c r="R1663" t="s">
        <v>141</v>
      </c>
      <c r="S1663">
        <v>0.80427896387138398</v>
      </c>
      <c r="T1663" t="b">
        <v>0</v>
      </c>
      <c r="U1663" t="b">
        <v>0</v>
      </c>
      <c r="V1663" t="b">
        <f t="shared" si="50"/>
        <v>1</v>
      </c>
      <c r="W1663">
        <v>0</v>
      </c>
      <c r="Y1663">
        <f t="shared" si="51"/>
        <v>0</v>
      </c>
    </row>
    <row r="1664" spans="1:25" x14ac:dyDescent="0.3">
      <c r="A1664" t="s">
        <v>3505</v>
      </c>
      <c r="B1664" t="s">
        <v>3506</v>
      </c>
      <c r="C1664">
        <v>293.85000000000002</v>
      </c>
      <c r="D1664" s="1">
        <v>45148.68273148148</v>
      </c>
      <c r="E1664" t="s">
        <v>25</v>
      </c>
      <c r="F1664" t="s">
        <v>262</v>
      </c>
      <c r="G1664" t="s">
        <v>945</v>
      </c>
      <c r="H1664" t="s">
        <v>3507</v>
      </c>
      <c r="I1664" t="s">
        <v>1362</v>
      </c>
      <c r="J1664" t="s">
        <v>45</v>
      </c>
      <c r="K1664">
        <v>25</v>
      </c>
      <c r="L1664" t="s">
        <v>46</v>
      </c>
      <c r="M1664">
        <v>144</v>
      </c>
      <c r="N1664">
        <v>1</v>
      </c>
      <c r="O1664">
        <v>1919.97</v>
      </c>
      <c r="P1664" s="1">
        <v>45600.339942129627</v>
      </c>
      <c r="Q1664">
        <v>16</v>
      </c>
      <c r="R1664" t="s">
        <v>141</v>
      </c>
      <c r="S1664">
        <v>-1.28235178602317E-2</v>
      </c>
      <c r="T1664" t="b">
        <v>0</v>
      </c>
      <c r="U1664" t="b">
        <v>0</v>
      </c>
      <c r="V1664" t="b">
        <f t="shared" si="50"/>
        <v>1</v>
      </c>
      <c r="W1664">
        <v>0</v>
      </c>
      <c r="Y1664">
        <f t="shared" si="51"/>
        <v>0</v>
      </c>
    </row>
    <row r="1665" spans="1:25" x14ac:dyDescent="0.3">
      <c r="A1665" t="s">
        <v>3508</v>
      </c>
      <c r="B1665" t="s">
        <v>1356</v>
      </c>
      <c r="C1665">
        <v>27.94</v>
      </c>
      <c r="D1665" s="1">
        <v>45233.780995370369</v>
      </c>
      <c r="E1665" t="s">
        <v>25</v>
      </c>
      <c r="F1665" t="s">
        <v>58</v>
      </c>
      <c r="G1665" t="s">
        <v>2157</v>
      </c>
      <c r="H1665" t="s">
        <v>1594</v>
      </c>
      <c r="I1665" t="s">
        <v>495</v>
      </c>
      <c r="J1665" t="s">
        <v>81</v>
      </c>
      <c r="K1665">
        <v>79</v>
      </c>
      <c r="L1665" t="s">
        <v>82</v>
      </c>
      <c r="M1665">
        <v>120</v>
      </c>
      <c r="N1665">
        <v>1</v>
      </c>
      <c r="O1665">
        <v>1893.44</v>
      </c>
      <c r="P1665" s="1">
        <v>45600.339236111111</v>
      </c>
      <c r="Q1665">
        <v>18</v>
      </c>
      <c r="R1665" t="s">
        <v>54</v>
      </c>
      <c r="S1665">
        <v>-0.92364188263597702</v>
      </c>
      <c r="T1665" t="b">
        <v>0</v>
      </c>
      <c r="U1665" t="b">
        <v>0</v>
      </c>
      <c r="V1665" t="b">
        <f t="shared" si="50"/>
        <v>1</v>
      </c>
      <c r="W1665">
        <v>0</v>
      </c>
      <c r="Y1665">
        <f t="shared" si="51"/>
        <v>0</v>
      </c>
    </row>
    <row r="1666" spans="1:25" x14ac:dyDescent="0.3">
      <c r="A1666" t="s">
        <v>3509</v>
      </c>
      <c r="B1666" t="s">
        <v>999</v>
      </c>
      <c r="C1666">
        <v>270.36</v>
      </c>
      <c r="D1666" s="1">
        <v>44988.706377314818</v>
      </c>
      <c r="E1666" t="s">
        <v>25</v>
      </c>
      <c r="F1666" t="s">
        <v>64</v>
      </c>
      <c r="G1666" t="s">
        <v>609</v>
      </c>
      <c r="H1666" t="s">
        <v>1176</v>
      </c>
      <c r="I1666" t="s">
        <v>265</v>
      </c>
      <c r="J1666" t="s">
        <v>30</v>
      </c>
      <c r="K1666">
        <v>25</v>
      </c>
      <c r="L1666" t="s">
        <v>46</v>
      </c>
      <c r="M1666">
        <v>37</v>
      </c>
      <c r="N1666">
        <v>1</v>
      </c>
      <c r="O1666">
        <v>1783.04</v>
      </c>
      <c r="P1666" s="1">
        <v>45600.338784722226</v>
      </c>
      <c r="Q1666">
        <v>16</v>
      </c>
      <c r="R1666" t="s">
        <v>54</v>
      </c>
      <c r="S1666">
        <v>-9.3283535868513706E-2</v>
      </c>
      <c r="T1666" t="b">
        <v>0</v>
      </c>
      <c r="U1666" t="b">
        <v>0</v>
      </c>
      <c r="V1666" t="b">
        <f t="shared" si="50"/>
        <v>1</v>
      </c>
      <c r="W1666">
        <v>0</v>
      </c>
      <c r="Y1666">
        <f t="shared" si="51"/>
        <v>0</v>
      </c>
    </row>
    <row r="1667" spans="1:25" x14ac:dyDescent="0.3">
      <c r="A1667" t="s">
        <v>3510</v>
      </c>
      <c r="B1667" t="s">
        <v>175</v>
      </c>
      <c r="C1667">
        <v>112.66</v>
      </c>
      <c r="D1667" s="1">
        <v>45187.686759259261</v>
      </c>
      <c r="E1667" t="s">
        <v>25</v>
      </c>
      <c r="F1667" t="s">
        <v>256</v>
      </c>
      <c r="G1667" t="s">
        <v>1375</v>
      </c>
      <c r="H1667" t="s">
        <v>133</v>
      </c>
      <c r="I1667" t="s">
        <v>487</v>
      </c>
      <c r="J1667" t="s">
        <v>45</v>
      </c>
      <c r="K1667">
        <v>29</v>
      </c>
      <c r="L1667" t="s">
        <v>89</v>
      </c>
      <c r="M1667">
        <v>176</v>
      </c>
      <c r="N1667">
        <v>3</v>
      </c>
      <c r="O1667">
        <v>852.98</v>
      </c>
      <c r="P1667" s="1">
        <v>45600.338865740741</v>
      </c>
      <c r="Q1667">
        <v>16</v>
      </c>
      <c r="R1667" t="s">
        <v>47</v>
      </c>
      <c r="S1667">
        <v>-0.63345147285897996</v>
      </c>
      <c r="T1667" t="b">
        <v>0</v>
      </c>
      <c r="U1667" t="b">
        <v>1</v>
      </c>
      <c r="V1667" t="b">
        <f t="shared" ref="V1667:V1730" si="52">ISLOGICAL(T1667)</f>
        <v>1</v>
      </c>
      <c r="W1667">
        <v>1</v>
      </c>
      <c r="Y1667">
        <f t="shared" ref="Y1667:Y1730" si="53">--T1667</f>
        <v>0</v>
      </c>
    </row>
    <row r="1668" spans="1:25" x14ac:dyDescent="0.3">
      <c r="A1668" t="s">
        <v>3511</v>
      </c>
      <c r="B1668" t="s">
        <v>292</v>
      </c>
      <c r="C1668">
        <v>506.03</v>
      </c>
      <c r="D1668" s="1">
        <v>45119.676481481481</v>
      </c>
      <c r="E1668" t="s">
        <v>25</v>
      </c>
      <c r="F1668" t="s">
        <v>85</v>
      </c>
      <c r="G1668" t="s">
        <v>1965</v>
      </c>
      <c r="H1668" t="s">
        <v>1973</v>
      </c>
      <c r="I1668" t="s">
        <v>753</v>
      </c>
      <c r="J1668" t="s">
        <v>81</v>
      </c>
      <c r="K1668">
        <v>21</v>
      </c>
      <c r="L1668" t="s">
        <v>46</v>
      </c>
      <c r="M1668">
        <v>21</v>
      </c>
      <c r="N1668">
        <v>1</v>
      </c>
      <c r="O1668">
        <v>1123.8900000000001</v>
      </c>
      <c r="P1668" s="1">
        <v>45600.339884259258</v>
      </c>
      <c r="Q1668">
        <v>16</v>
      </c>
      <c r="R1668" t="s">
        <v>74</v>
      </c>
      <c r="S1668">
        <v>0.71395411606898296</v>
      </c>
      <c r="T1668" t="b">
        <v>0</v>
      </c>
      <c r="U1668" t="b">
        <v>0</v>
      </c>
      <c r="V1668" t="b">
        <f t="shared" si="52"/>
        <v>1</v>
      </c>
      <c r="W1668">
        <v>0</v>
      </c>
      <c r="Y1668">
        <f t="shared" si="53"/>
        <v>0</v>
      </c>
    </row>
    <row r="1669" spans="1:25" x14ac:dyDescent="0.3">
      <c r="A1669" t="s">
        <v>3512</v>
      </c>
      <c r="B1669" t="s">
        <v>1160</v>
      </c>
      <c r="C1669">
        <v>206.95</v>
      </c>
      <c r="D1669" s="1">
        <v>45141.680173611108</v>
      </c>
      <c r="E1669" t="s">
        <v>25</v>
      </c>
      <c r="F1669" t="s">
        <v>70</v>
      </c>
      <c r="G1669" t="s">
        <v>1479</v>
      </c>
      <c r="H1669" t="s">
        <v>2394</v>
      </c>
      <c r="I1669" t="s">
        <v>833</v>
      </c>
      <c r="J1669" t="s">
        <v>81</v>
      </c>
      <c r="K1669">
        <v>22</v>
      </c>
      <c r="L1669" t="s">
        <v>46</v>
      </c>
      <c r="M1669">
        <v>31</v>
      </c>
      <c r="N1669">
        <v>1</v>
      </c>
      <c r="O1669">
        <v>1817.65</v>
      </c>
      <c r="P1669" s="1">
        <v>45600.33861111111</v>
      </c>
      <c r="Q1669">
        <v>16</v>
      </c>
      <c r="R1669" t="s">
        <v>141</v>
      </c>
      <c r="S1669">
        <v>-0.31048105574527601</v>
      </c>
      <c r="T1669" t="b">
        <v>0</v>
      </c>
      <c r="U1669" t="b">
        <v>0</v>
      </c>
      <c r="V1669" t="b">
        <f t="shared" si="52"/>
        <v>1</v>
      </c>
      <c r="W1669">
        <v>0</v>
      </c>
      <c r="Y1669">
        <f t="shared" si="53"/>
        <v>0</v>
      </c>
    </row>
    <row r="1670" spans="1:25" x14ac:dyDescent="0.3">
      <c r="A1670" t="s">
        <v>3513</v>
      </c>
      <c r="B1670" t="s">
        <v>2614</v>
      </c>
      <c r="C1670">
        <v>350.96</v>
      </c>
      <c r="D1670" s="1">
        <v>45085.685277777775</v>
      </c>
      <c r="E1670" t="s">
        <v>25</v>
      </c>
      <c r="F1670" t="s">
        <v>268</v>
      </c>
      <c r="G1670" t="s">
        <v>3514</v>
      </c>
      <c r="H1670" t="s">
        <v>2633</v>
      </c>
      <c r="I1670" t="s">
        <v>259</v>
      </c>
      <c r="J1670" t="s">
        <v>30</v>
      </c>
      <c r="K1670">
        <v>63</v>
      </c>
      <c r="L1670" t="s">
        <v>82</v>
      </c>
      <c r="M1670">
        <v>167</v>
      </c>
      <c r="N1670">
        <v>1</v>
      </c>
      <c r="O1670">
        <v>5463.94</v>
      </c>
      <c r="P1670" s="1">
        <v>45600.338923611111</v>
      </c>
      <c r="Q1670">
        <v>16</v>
      </c>
      <c r="R1670" t="s">
        <v>141</v>
      </c>
      <c r="S1670">
        <v>0.18279468684189601</v>
      </c>
      <c r="T1670" t="b">
        <v>0</v>
      </c>
      <c r="U1670" t="b">
        <v>0</v>
      </c>
      <c r="V1670" t="b">
        <f t="shared" si="52"/>
        <v>1</v>
      </c>
      <c r="W1670">
        <v>0</v>
      </c>
      <c r="Y1670">
        <f t="shared" si="53"/>
        <v>0</v>
      </c>
    </row>
    <row r="1671" spans="1:25" x14ac:dyDescent="0.3">
      <c r="A1671" t="s">
        <v>3515</v>
      </c>
      <c r="B1671" t="s">
        <v>2545</v>
      </c>
      <c r="C1671">
        <v>261.63</v>
      </c>
      <c r="D1671" s="1">
        <v>45075.769247685188</v>
      </c>
      <c r="E1671" t="s">
        <v>25</v>
      </c>
      <c r="F1671" t="s">
        <v>278</v>
      </c>
      <c r="G1671" t="s">
        <v>498</v>
      </c>
      <c r="H1671" t="s">
        <v>555</v>
      </c>
      <c r="I1671" t="s">
        <v>775</v>
      </c>
      <c r="J1671" t="s">
        <v>81</v>
      </c>
      <c r="K1671">
        <v>20</v>
      </c>
      <c r="L1671" t="s">
        <v>46</v>
      </c>
      <c r="M1671">
        <v>150</v>
      </c>
      <c r="N1671">
        <v>1</v>
      </c>
      <c r="O1671">
        <v>477.03</v>
      </c>
      <c r="P1671" s="1">
        <v>45600.339965277781</v>
      </c>
      <c r="Q1671">
        <v>18</v>
      </c>
      <c r="R1671" t="s">
        <v>47</v>
      </c>
      <c r="S1671">
        <v>-0.12318630118193601</v>
      </c>
      <c r="T1671" t="b">
        <v>0</v>
      </c>
      <c r="U1671" t="b">
        <v>0</v>
      </c>
      <c r="V1671" t="b">
        <f t="shared" si="52"/>
        <v>1</v>
      </c>
      <c r="W1671">
        <v>0</v>
      </c>
      <c r="Y1671">
        <f t="shared" si="53"/>
        <v>0</v>
      </c>
    </row>
    <row r="1672" spans="1:25" x14ac:dyDescent="0.3">
      <c r="A1672" t="s">
        <v>3516</v>
      </c>
      <c r="B1672" t="s">
        <v>2032</v>
      </c>
      <c r="C1672">
        <v>46.12</v>
      </c>
      <c r="D1672" s="1">
        <v>45082.727847222224</v>
      </c>
      <c r="E1672" t="s">
        <v>25</v>
      </c>
      <c r="F1672" t="s">
        <v>571</v>
      </c>
      <c r="G1672" t="s">
        <v>2450</v>
      </c>
      <c r="H1672" t="s">
        <v>198</v>
      </c>
      <c r="I1672" t="s">
        <v>782</v>
      </c>
      <c r="J1672" t="s">
        <v>81</v>
      </c>
      <c r="K1672">
        <v>59</v>
      </c>
      <c r="L1672" t="s">
        <v>31</v>
      </c>
      <c r="M1672">
        <v>30</v>
      </c>
      <c r="N1672">
        <v>1</v>
      </c>
      <c r="O1672">
        <v>8874.01</v>
      </c>
      <c r="P1672" s="1">
        <v>45600.339259259257</v>
      </c>
      <c r="Q1672">
        <v>17</v>
      </c>
      <c r="R1672" t="s">
        <v>47</v>
      </c>
      <c r="S1672">
        <v>-0.86137014456060201</v>
      </c>
      <c r="T1672" t="b">
        <v>0</v>
      </c>
      <c r="U1672" t="b">
        <v>0</v>
      </c>
      <c r="V1672" t="b">
        <f t="shared" si="52"/>
        <v>1</v>
      </c>
      <c r="W1672">
        <v>0</v>
      </c>
      <c r="Y1672">
        <f t="shared" si="53"/>
        <v>0</v>
      </c>
    </row>
    <row r="1673" spans="1:25" x14ac:dyDescent="0.3">
      <c r="A1673" t="s">
        <v>3517</v>
      </c>
      <c r="B1673" t="s">
        <v>3118</v>
      </c>
      <c r="C1673">
        <v>27.25</v>
      </c>
      <c r="D1673" s="1">
        <v>45005.668645833335</v>
      </c>
      <c r="E1673" t="s">
        <v>57</v>
      </c>
      <c r="F1673" t="s">
        <v>304</v>
      </c>
      <c r="G1673" t="s">
        <v>2819</v>
      </c>
      <c r="H1673" t="s">
        <v>1427</v>
      </c>
      <c r="I1673" t="s">
        <v>997</v>
      </c>
      <c r="J1673" t="s">
        <v>81</v>
      </c>
      <c r="K1673">
        <v>63</v>
      </c>
      <c r="L1673" t="s">
        <v>82</v>
      </c>
      <c r="M1673">
        <v>92</v>
      </c>
      <c r="N1673">
        <v>1</v>
      </c>
      <c r="O1673">
        <v>5365.2</v>
      </c>
      <c r="P1673" s="1">
        <v>45600.339907407404</v>
      </c>
      <c r="Q1673">
        <v>16</v>
      </c>
      <c r="R1673" t="s">
        <v>47</v>
      </c>
      <c r="S1673">
        <v>-0.92600533144081798</v>
      </c>
      <c r="T1673" t="b">
        <v>0</v>
      </c>
      <c r="U1673" t="b">
        <v>0</v>
      </c>
      <c r="V1673" t="b">
        <f t="shared" si="52"/>
        <v>1</v>
      </c>
      <c r="W1673">
        <v>0</v>
      </c>
      <c r="Y1673">
        <f t="shared" si="53"/>
        <v>0</v>
      </c>
    </row>
    <row r="1674" spans="1:25" x14ac:dyDescent="0.3">
      <c r="A1674" t="s">
        <v>3518</v>
      </c>
      <c r="B1674" t="s">
        <v>3105</v>
      </c>
      <c r="C1674">
        <v>1353.93</v>
      </c>
      <c r="D1674" s="1">
        <v>45245.730682870373</v>
      </c>
      <c r="E1674" t="s">
        <v>25</v>
      </c>
      <c r="F1674" t="s">
        <v>519</v>
      </c>
      <c r="G1674" t="s">
        <v>2099</v>
      </c>
      <c r="H1674" t="s">
        <v>2568</v>
      </c>
      <c r="I1674" t="s">
        <v>101</v>
      </c>
      <c r="J1674" t="s">
        <v>81</v>
      </c>
      <c r="K1674">
        <v>26</v>
      </c>
      <c r="L1674" t="s">
        <v>89</v>
      </c>
      <c r="M1674">
        <v>171</v>
      </c>
      <c r="N1674">
        <v>1</v>
      </c>
      <c r="O1674">
        <v>7858.41</v>
      </c>
      <c r="P1674" s="1">
        <v>45600.339467592596</v>
      </c>
      <c r="Q1674">
        <v>17</v>
      </c>
      <c r="R1674" t="s">
        <v>74</v>
      </c>
      <c r="S1674">
        <v>3.6182559155250198</v>
      </c>
      <c r="T1674" t="b">
        <v>1</v>
      </c>
      <c r="U1674" t="b">
        <v>0</v>
      </c>
      <c r="V1674" t="b">
        <f t="shared" si="52"/>
        <v>1</v>
      </c>
      <c r="W1674">
        <v>1</v>
      </c>
      <c r="Y1674">
        <f t="shared" si="53"/>
        <v>1</v>
      </c>
    </row>
    <row r="1675" spans="1:25" x14ac:dyDescent="0.3">
      <c r="A1675" t="s">
        <v>3519</v>
      </c>
      <c r="B1675" t="s">
        <v>152</v>
      </c>
      <c r="C1675">
        <v>331.66</v>
      </c>
      <c r="D1675" s="1">
        <v>45180.745127314818</v>
      </c>
      <c r="E1675" t="s">
        <v>25</v>
      </c>
      <c r="F1675" t="s">
        <v>159</v>
      </c>
      <c r="G1675" t="s">
        <v>2160</v>
      </c>
      <c r="H1675" t="s">
        <v>333</v>
      </c>
      <c r="I1675" t="s">
        <v>156</v>
      </c>
      <c r="J1675" t="s">
        <v>30</v>
      </c>
      <c r="K1675">
        <v>76</v>
      </c>
      <c r="L1675" t="s">
        <v>82</v>
      </c>
      <c r="M1675">
        <v>145</v>
      </c>
      <c r="N1675">
        <v>1</v>
      </c>
      <c r="O1675">
        <v>7216.3</v>
      </c>
      <c r="P1675" s="1">
        <v>45600.339155092595</v>
      </c>
      <c r="Q1675">
        <v>17</v>
      </c>
      <c r="R1675" t="s">
        <v>47</v>
      </c>
      <c r="S1675">
        <v>0.116686626068807</v>
      </c>
      <c r="T1675" t="b">
        <v>0</v>
      </c>
      <c r="U1675" t="b">
        <v>0</v>
      </c>
      <c r="V1675" t="b">
        <f t="shared" si="52"/>
        <v>1</v>
      </c>
      <c r="W1675">
        <v>0</v>
      </c>
      <c r="Y1675">
        <f t="shared" si="53"/>
        <v>0</v>
      </c>
    </row>
    <row r="1676" spans="1:25" x14ac:dyDescent="0.3">
      <c r="A1676" t="s">
        <v>3520</v>
      </c>
      <c r="B1676" t="s">
        <v>147</v>
      </c>
      <c r="C1676">
        <v>667.95</v>
      </c>
      <c r="D1676" s="1">
        <v>45134.744062500002</v>
      </c>
      <c r="E1676" t="s">
        <v>57</v>
      </c>
      <c r="F1676" t="s">
        <v>64</v>
      </c>
      <c r="G1676" t="s">
        <v>233</v>
      </c>
      <c r="H1676" t="s">
        <v>1897</v>
      </c>
      <c r="I1676" t="s">
        <v>1575</v>
      </c>
      <c r="J1676" t="s">
        <v>30</v>
      </c>
      <c r="K1676">
        <v>62</v>
      </c>
      <c r="L1676" t="s">
        <v>31</v>
      </c>
      <c r="M1676">
        <v>253</v>
      </c>
      <c r="N1676">
        <v>1</v>
      </c>
      <c r="O1676">
        <v>13558.56</v>
      </c>
      <c r="P1676" s="1">
        <v>45600.339108796295</v>
      </c>
      <c r="Q1676">
        <v>17</v>
      </c>
      <c r="R1676" t="s">
        <v>141</v>
      </c>
      <c r="S1676">
        <v>1.26857676893833</v>
      </c>
      <c r="T1676" t="b">
        <v>0</v>
      </c>
      <c r="U1676" t="b">
        <v>0</v>
      </c>
      <c r="V1676" t="b">
        <f t="shared" si="52"/>
        <v>1</v>
      </c>
      <c r="W1676">
        <v>0</v>
      </c>
      <c r="Y1676">
        <f t="shared" si="53"/>
        <v>0</v>
      </c>
    </row>
    <row r="1677" spans="1:25" x14ac:dyDescent="0.3">
      <c r="A1677" t="s">
        <v>3521</v>
      </c>
      <c r="B1677" t="s">
        <v>3052</v>
      </c>
      <c r="C1677">
        <v>49.84</v>
      </c>
      <c r="D1677" s="1">
        <v>45212.670254629629</v>
      </c>
      <c r="E1677" t="s">
        <v>25</v>
      </c>
      <c r="F1677" t="s">
        <v>278</v>
      </c>
      <c r="G1677" t="s">
        <v>2783</v>
      </c>
      <c r="H1677" t="s">
        <v>3522</v>
      </c>
      <c r="I1677" t="s">
        <v>325</v>
      </c>
      <c r="J1677" t="s">
        <v>30</v>
      </c>
      <c r="K1677">
        <v>49</v>
      </c>
      <c r="L1677" t="s">
        <v>31</v>
      </c>
      <c r="M1677">
        <v>146</v>
      </c>
      <c r="N1677">
        <v>1</v>
      </c>
      <c r="O1677">
        <v>7872.04</v>
      </c>
      <c r="P1677" s="1">
        <v>45600.338379629633</v>
      </c>
      <c r="Q1677">
        <v>16</v>
      </c>
      <c r="R1677" t="s">
        <v>54</v>
      </c>
      <c r="S1677">
        <v>-0.84862807274319796</v>
      </c>
      <c r="T1677" t="b">
        <v>0</v>
      </c>
      <c r="U1677" t="b">
        <v>0</v>
      </c>
      <c r="V1677" t="b">
        <f t="shared" si="52"/>
        <v>1</v>
      </c>
      <c r="W1677">
        <v>0</v>
      </c>
      <c r="Y1677">
        <f t="shared" si="53"/>
        <v>0</v>
      </c>
    </row>
    <row r="1678" spans="1:25" x14ac:dyDescent="0.3">
      <c r="A1678" t="s">
        <v>3523</v>
      </c>
      <c r="B1678" t="s">
        <v>2264</v>
      </c>
      <c r="C1678">
        <v>556.04</v>
      </c>
      <c r="D1678" s="1">
        <v>45117.695717592593</v>
      </c>
      <c r="E1678" t="s">
        <v>25</v>
      </c>
      <c r="F1678" t="s">
        <v>126</v>
      </c>
      <c r="G1678" t="s">
        <v>3524</v>
      </c>
      <c r="H1678" t="s">
        <v>2194</v>
      </c>
      <c r="I1678" t="s">
        <v>167</v>
      </c>
      <c r="J1678" t="s">
        <v>30</v>
      </c>
      <c r="K1678">
        <v>72</v>
      </c>
      <c r="L1678" t="s">
        <v>82</v>
      </c>
      <c r="M1678">
        <v>27</v>
      </c>
      <c r="N1678">
        <v>1</v>
      </c>
      <c r="O1678">
        <v>5200.04</v>
      </c>
      <c r="P1678" s="1">
        <v>45600.338634259257</v>
      </c>
      <c r="Q1678">
        <v>16</v>
      </c>
      <c r="R1678" t="s">
        <v>47</v>
      </c>
      <c r="S1678">
        <v>0.88525277509810996</v>
      </c>
      <c r="T1678" t="b">
        <v>0</v>
      </c>
      <c r="U1678" t="b">
        <v>0</v>
      </c>
      <c r="V1678" t="b">
        <f t="shared" si="52"/>
        <v>1</v>
      </c>
      <c r="W1678">
        <v>0</v>
      </c>
      <c r="Y1678">
        <f t="shared" si="53"/>
        <v>0</v>
      </c>
    </row>
    <row r="1679" spans="1:25" x14ac:dyDescent="0.3">
      <c r="A1679" t="s">
        <v>3525</v>
      </c>
      <c r="B1679" t="s">
        <v>1124</v>
      </c>
      <c r="C1679">
        <v>88.06</v>
      </c>
      <c r="D1679" s="1">
        <v>45226.745208333334</v>
      </c>
      <c r="E1679" t="s">
        <v>57</v>
      </c>
      <c r="F1679" t="s">
        <v>50</v>
      </c>
      <c r="G1679" t="s">
        <v>2325</v>
      </c>
      <c r="H1679" t="s">
        <v>873</v>
      </c>
      <c r="I1679" t="s">
        <v>1823</v>
      </c>
      <c r="J1679" t="s">
        <v>45</v>
      </c>
      <c r="K1679">
        <v>18</v>
      </c>
      <c r="L1679" t="s">
        <v>46</v>
      </c>
      <c r="M1679">
        <v>288</v>
      </c>
      <c r="N1679">
        <v>1</v>
      </c>
      <c r="O1679">
        <v>1779.85</v>
      </c>
      <c r="P1679" s="1">
        <v>45600.339618055557</v>
      </c>
      <c r="Q1679">
        <v>17</v>
      </c>
      <c r="R1679" t="s">
        <v>54</v>
      </c>
      <c r="S1679">
        <v>-0.71771356068374603</v>
      </c>
      <c r="T1679" t="b">
        <v>0</v>
      </c>
      <c r="U1679" t="b">
        <v>0</v>
      </c>
      <c r="V1679" t="b">
        <f t="shared" si="52"/>
        <v>1</v>
      </c>
      <c r="W1679">
        <v>0</v>
      </c>
      <c r="Y1679">
        <f t="shared" si="53"/>
        <v>0</v>
      </c>
    </row>
    <row r="1680" spans="1:25" x14ac:dyDescent="0.3">
      <c r="A1680" t="s">
        <v>3526</v>
      </c>
      <c r="B1680" t="s">
        <v>1381</v>
      </c>
      <c r="C1680">
        <v>745.95</v>
      </c>
      <c r="D1680" s="1">
        <v>45275.693553240744</v>
      </c>
      <c r="E1680" t="s">
        <v>25</v>
      </c>
      <c r="F1680" t="s">
        <v>104</v>
      </c>
      <c r="G1680" t="s">
        <v>2000</v>
      </c>
      <c r="H1680" t="s">
        <v>1863</v>
      </c>
      <c r="I1680" t="s">
        <v>178</v>
      </c>
      <c r="J1680" t="s">
        <v>30</v>
      </c>
      <c r="K1680">
        <v>58</v>
      </c>
      <c r="L1680" t="s">
        <v>31</v>
      </c>
      <c r="M1680">
        <v>127</v>
      </c>
      <c r="N1680">
        <v>1</v>
      </c>
      <c r="O1680">
        <v>13264.14</v>
      </c>
      <c r="P1680" s="1">
        <v>45600.341087962966</v>
      </c>
      <c r="Q1680">
        <v>16</v>
      </c>
      <c r="R1680" t="s">
        <v>54</v>
      </c>
      <c r="S1680">
        <v>1.53574924252905</v>
      </c>
      <c r="T1680" t="b">
        <v>0</v>
      </c>
      <c r="U1680" t="b">
        <v>0</v>
      </c>
      <c r="V1680" t="b">
        <f t="shared" si="52"/>
        <v>1</v>
      </c>
      <c r="W1680">
        <v>0</v>
      </c>
      <c r="Y1680">
        <f t="shared" si="53"/>
        <v>0</v>
      </c>
    </row>
    <row r="1681" spans="1:25" x14ac:dyDescent="0.3">
      <c r="A1681" t="s">
        <v>3527</v>
      </c>
      <c r="B1681" t="s">
        <v>780</v>
      </c>
      <c r="C1681">
        <v>67.25</v>
      </c>
      <c r="D1681" s="1">
        <v>45110.693576388891</v>
      </c>
      <c r="E1681" t="s">
        <v>25</v>
      </c>
      <c r="F1681" t="s">
        <v>185</v>
      </c>
      <c r="G1681" t="s">
        <v>705</v>
      </c>
      <c r="H1681" t="s">
        <v>2566</v>
      </c>
      <c r="I1681" t="s">
        <v>772</v>
      </c>
      <c r="J1681" t="s">
        <v>45</v>
      </c>
      <c r="K1681">
        <v>19</v>
      </c>
      <c r="L1681" t="s">
        <v>46</v>
      </c>
      <c r="M1681">
        <v>157</v>
      </c>
      <c r="N1681">
        <v>1</v>
      </c>
      <c r="O1681">
        <v>467.4</v>
      </c>
      <c r="P1681" s="1">
        <v>45600.341400462959</v>
      </c>
      <c r="Q1681">
        <v>16</v>
      </c>
      <c r="R1681" t="s">
        <v>47</v>
      </c>
      <c r="S1681">
        <v>-0.78899380652249995</v>
      </c>
      <c r="T1681" t="b">
        <v>0</v>
      </c>
      <c r="U1681" t="b">
        <v>0</v>
      </c>
      <c r="V1681" t="b">
        <f t="shared" si="52"/>
        <v>1</v>
      </c>
      <c r="W1681">
        <v>0</v>
      </c>
      <c r="Y1681">
        <f t="shared" si="53"/>
        <v>0</v>
      </c>
    </row>
    <row r="1682" spans="1:25" x14ac:dyDescent="0.3">
      <c r="A1682" t="s">
        <v>3528</v>
      </c>
      <c r="B1682" t="s">
        <v>762</v>
      </c>
      <c r="C1682">
        <v>93.63</v>
      </c>
      <c r="D1682" s="1">
        <v>45159.758113425924</v>
      </c>
      <c r="E1682" t="s">
        <v>25</v>
      </c>
      <c r="F1682" t="s">
        <v>216</v>
      </c>
      <c r="G1682" t="s">
        <v>1971</v>
      </c>
      <c r="H1682" t="s">
        <v>1584</v>
      </c>
      <c r="I1682" t="s">
        <v>1300</v>
      </c>
      <c r="J1682" t="s">
        <v>30</v>
      </c>
      <c r="K1682">
        <v>29</v>
      </c>
      <c r="L1682" t="s">
        <v>89</v>
      </c>
      <c r="M1682">
        <v>141</v>
      </c>
      <c r="N1682">
        <v>1</v>
      </c>
      <c r="O1682">
        <v>9873.6200000000008</v>
      </c>
      <c r="P1682" s="1">
        <v>45600.340243055558</v>
      </c>
      <c r="Q1682">
        <v>18</v>
      </c>
      <c r="R1682" t="s">
        <v>47</v>
      </c>
      <c r="S1682">
        <v>-0.69863470583887</v>
      </c>
      <c r="T1682" t="b">
        <v>0</v>
      </c>
      <c r="U1682" t="b">
        <v>0</v>
      </c>
      <c r="V1682" t="b">
        <f t="shared" si="52"/>
        <v>1</v>
      </c>
      <c r="W1682">
        <v>0</v>
      </c>
      <c r="Y1682">
        <f t="shared" si="53"/>
        <v>0</v>
      </c>
    </row>
    <row r="1683" spans="1:25" x14ac:dyDescent="0.3">
      <c r="A1683" t="s">
        <v>3529</v>
      </c>
      <c r="B1683" t="s">
        <v>2501</v>
      </c>
      <c r="C1683">
        <v>74.11</v>
      </c>
      <c r="D1683" s="1">
        <v>45125.670601851853</v>
      </c>
      <c r="E1683" t="s">
        <v>25</v>
      </c>
      <c r="F1683" t="s">
        <v>236</v>
      </c>
      <c r="G1683" t="s">
        <v>2136</v>
      </c>
      <c r="H1683" t="s">
        <v>2881</v>
      </c>
      <c r="I1683" t="s">
        <v>1362</v>
      </c>
      <c r="J1683" t="s">
        <v>81</v>
      </c>
      <c r="K1683">
        <v>22</v>
      </c>
      <c r="L1683" t="s">
        <v>46</v>
      </c>
      <c r="M1683">
        <v>49</v>
      </c>
      <c r="N1683">
        <v>1</v>
      </c>
      <c r="O1683">
        <v>1257.9000000000001</v>
      </c>
      <c r="P1683" s="1">
        <v>45600.339606481481</v>
      </c>
      <c r="Q1683">
        <v>16</v>
      </c>
      <c r="R1683" t="s">
        <v>32</v>
      </c>
      <c r="S1683">
        <v>-0.76549632999900896</v>
      </c>
      <c r="T1683" t="b">
        <v>0</v>
      </c>
      <c r="U1683" t="b">
        <v>0</v>
      </c>
      <c r="V1683" t="b">
        <f t="shared" si="52"/>
        <v>1</v>
      </c>
      <c r="W1683">
        <v>0</v>
      </c>
      <c r="Y1683">
        <f t="shared" si="53"/>
        <v>0</v>
      </c>
    </row>
    <row r="1684" spans="1:25" x14ac:dyDescent="0.3">
      <c r="A1684" t="s">
        <v>3530</v>
      </c>
      <c r="B1684" t="s">
        <v>40</v>
      </c>
      <c r="C1684">
        <v>41.13</v>
      </c>
      <c r="D1684" s="1">
        <v>45012.745312500003</v>
      </c>
      <c r="E1684" t="s">
        <v>57</v>
      </c>
      <c r="F1684" t="s">
        <v>256</v>
      </c>
      <c r="G1684" t="s">
        <v>572</v>
      </c>
      <c r="H1684" t="s">
        <v>1232</v>
      </c>
      <c r="I1684" t="s">
        <v>107</v>
      </c>
      <c r="J1684" t="s">
        <v>81</v>
      </c>
      <c r="K1684">
        <v>77</v>
      </c>
      <c r="L1684" t="s">
        <v>82</v>
      </c>
      <c r="M1684">
        <v>58</v>
      </c>
      <c r="N1684">
        <v>1</v>
      </c>
      <c r="O1684">
        <v>6067.54</v>
      </c>
      <c r="P1684" s="1">
        <v>45600.340312499997</v>
      </c>
      <c r="Q1684">
        <v>17</v>
      </c>
      <c r="R1684" t="s">
        <v>47</v>
      </c>
      <c r="S1684">
        <v>-0.87846233229416204</v>
      </c>
      <c r="T1684" t="b">
        <v>0</v>
      </c>
      <c r="U1684" t="b">
        <v>0</v>
      </c>
      <c r="V1684" t="b">
        <f t="shared" si="52"/>
        <v>1</v>
      </c>
      <c r="W1684">
        <v>0</v>
      </c>
      <c r="Y1684">
        <f t="shared" si="53"/>
        <v>0</v>
      </c>
    </row>
    <row r="1685" spans="1:25" x14ac:dyDescent="0.3">
      <c r="A1685" t="s">
        <v>3531</v>
      </c>
      <c r="B1685" t="s">
        <v>2520</v>
      </c>
      <c r="C1685">
        <v>192.02</v>
      </c>
      <c r="D1685" s="1">
        <v>45279.674745370372</v>
      </c>
      <c r="E1685" t="s">
        <v>57</v>
      </c>
      <c r="F1685" t="s">
        <v>77</v>
      </c>
      <c r="G1685" t="s">
        <v>705</v>
      </c>
      <c r="H1685" t="s">
        <v>1440</v>
      </c>
      <c r="I1685" t="s">
        <v>117</v>
      </c>
      <c r="J1685" t="s">
        <v>45</v>
      </c>
      <c r="K1685">
        <v>79</v>
      </c>
      <c r="L1685" t="s">
        <v>82</v>
      </c>
      <c r="M1685">
        <v>154</v>
      </c>
      <c r="N1685">
        <v>1</v>
      </c>
      <c r="O1685">
        <v>5169.07</v>
      </c>
      <c r="P1685" s="1">
        <v>45600.339606481481</v>
      </c>
      <c r="Q1685">
        <v>16</v>
      </c>
      <c r="R1685" t="s">
        <v>32</v>
      </c>
      <c r="S1685">
        <v>-0.36162060742103802</v>
      </c>
      <c r="T1685" t="b">
        <v>0</v>
      </c>
      <c r="U1685" t="b">
        <v>0</v>
      </c>
      <c r="V1685" t="b">
        <f t="shared" si="52"/>
        <v>1</v>
      </c>
      <c r="W1685">
        <v>0</v>
      </c>
      <c r="Y1685">
        <f t="shared" si="53"/>
        <v>0</v>
      </c>
    </row>
    <row r="1686" spans="1:25" x14ac:dyDescent="0.3">
      <c r="A1686" t="s">
        <v>3532</v>
      </c>
      <c r="B1686" t="s">
        <v>1219</v>
      </c>
      <c r="C1686">
        <v>291.27</v>
      </c>
      <c r="D1686" s="1">
        <v>45096.749236111114</v>
      </c>
      <c r="E1686" t="s">
        <v>25</v>
      </c>
      <c r="F1686" t="s">
        <v>85</v>
      </c>
      <c r="G1686" t="s">
        <v>1822</v>
      </c>
      <c r="H1686" t="s">
        <v>786</v>
      </c>
      <c r="I1686" t="s">
        <v>361</v>
      </c>
      <c r="J1686" t="s">
        <v>81</v>
      </c>
      <c r="K1686">
        <v>77</v>
      </c>
      <c r="L1686" t="s">
        <v>82</v>
      </c>
      <c r="M1686">
        <v>121</v>
      </c>
      <c r="N1686">
        <v>1</v>
      </c>
      <c r="O1686">
        <v>6878.86</v>
      </c>
      <c r="P1686" s="1">
        <v>45600.340462962966</v>
      </c>
      <c r="Q1686">
        <v>17</v>
      </c>
      <c r="R1686" t="s">
        <v>47</v>
      </c>
      <c r="S1686">
        <v>-2.1660761217463301E-2</v>
      </c>
      <c r="T1686" t="b">
        <v>0</v>
      </c>
      <c r="U1686" t="b">
        <v>0</v>
      </c>
      <c r="V1686" t="b">
        <f t="shared" si="52"/>
        <v>1</v>
      </c>
      <c r="W1686">
        <v>0</v>
      </c>
      <c r="Y1686">
        <f t="shared" si="53"/>
        <v>0</v>
      </c>
    </row>
    <row r="1687" spans="1:25" x14ac:dyDescent="0.3">
      <c r="A1687" t="s">
        <v>3533</v>
      </c>
      <c r="B1687" t="s">
        <v>2322</v>
      </c>
      <c r="C1687">
        <v>296.45999999999998</v>
      </c>
      <c r="D1687" s="1">
        <v>45239.674988425926</v>
      </c>
      <c r="E1687" t="s">
        <v>25</v>
      </c>
      <c r="F1687" t="s">
        <v>336</v>
      </c>
      <c r="G1687" t="s">
        <v>1454</v>
      </c>
      <c r="H1687" t="s">
        <v>1696</v>
      </c>
      <c r="I1687" t="s">
        <v>259</v>
      </c>
      <c r="J1687" t="s">
        <v>81</v>
      </c>
      <c r="K1687">
        <v>23</v>
      </c>
      <c r="L1687" t="s">
        <v>46</v>
      </c>
      <c r="M1687">
        <v>136</v>
      </c>
      <c r="N1687">
        <v>1</v>
      </c>
      <c r="O1687">
        <v>558.99</v>
      </c>
      <c r="P1687" s="1">
        <v>45600.339108796295</v>
      </c>
      <c r="Q1687">
        <v>16</v>
      </c>
      <c r="R1687" t="s">
        <v>141</v>
      </c>
      <c r="S1687">
        <v>-3.8835158593116502E-3</v>
      </c>
      <c r="T1687" t="b">
        <v>0</v>
      </c>
      <c r="U1687" t="b">
        <v>0</v>
      </c>
      <c r="V1687" t="b">
        <f t="shared" si="52"/>
        <v>1</v>
      </c>
      <c r="W1687">
        <v>0</v>
      </c>
      <c r="Y1687">
        <f t="shared" si="53"/>
        <v>0</v>
      </c>
    </row>
    <row r="1688" spans="1:25" x14ac:dyDescent="0.3">
      <c r="A1688" t="s">
        <v>3534</v>
      </c>
      <c r="B1688" t="s">
        <v>1891</v>
      </c>
      <c r="C1688">
        <v>341.84</v>
      </c>
      <c r="D1688" s="1">
        <v>45100.673750000002</v>
      </c>
      <c r="E1688" t="s">
        <v>57</v>
      </c>
      <c r="F1688" t="s">
        <v>519</v>
      </c>
      <c r="G1688" t="s">
        <v>2136</v>
      </c>
      <c r="H1688" t="s">
        <v>1755</v>
      </c>
      <c r="I1688" t="s">
        <v>620</v>
      </c>
      <c r="J1688" t="s">
        <v>81</v>
      </c>
      <c r="K1688">
        <v>27</v>
      </c>
      <c r="L1688" t="s">
        <v>46</v>
      </c>
      <c r="M1688">
        <v>89</v>
      </c>
      <c r="N1688">
        <v>1</v>
      </c>
      <c r="O1688">
        <v>1400.04</v>
      </c>
      <c r="P1688" s="1">
        <v>45600.338680555556</v>
      </c>
      <c r="Q1688">
        <v>16</v>
      </c>
      <c r="R1688" t="s">
        <v>54</v>
      </c>
      <c r="S1688">
        <v>0.15155605916051901</v>
      </c>
      <c r="T1688" t="b">
        <v>0</v>
      </c>
      <c r="U1688" t="b">
        <v>0</v>
      </c>
      <c r="V1688" t="b">
        <f t="shared" si="52"/>
        <v>1</v>
      </c>
      <c r="W1688">
        <v>0</v>
      </c>
      <c r="Y1688">
        <f t="shared" si="53"/>
        <v>0</v>
      </c>
    </row>
    <row r="1689" spans="1:25" x14ac:dyDescent="0.3">
      <c r="A1689" t="s">
        <v>3535</v>
      </c>
      <c r="B1689" t="s">
        <v>861</v>
      </c>
      <c r="C1689">
        <v>98.41</v>
      </c>
      <c r="D1689" s="1">
        <v>45089.715069444443</v>
      </c>
      <c r="E1689" t="s">
        <v>25</v>
      </c>
      <c r="F1689" t="s">
        <v>298</v>
      </c>
      <c r="G1689" t="s">
        <v>51</v>
      </c>
      <c r="H1689" t="s">
        <v>3020</v>
      </c>
      <c r="I1689" t="s">
        <v>38</v>
      </c>
      <c r="J1689" t="s">
        <v>45</v>
      </c>
      <c r="K1689">
        <v>27</v>
      </c>
      <c r="L1689" t="s">
        <v>46</v>
      </c>
      <c r="M1689">
        <v>48</v>
      </c>
      <c r="N1689">
        <v>1</v>
      </c>
      <c r="O1689">
        <v>912.71</v>
      </c>
      <c r="P1689" s="1">
        <v>45600.339409722219</v>
      </c>
      <c r="Q1689">
        <v>17</v>
      </c>
      <c r="R1689" t="s">
        <v>47</v>
      </c>
      <c r="S1689">
        <v>-0.68226182861113105</v>
      </c>
      <c r="T1689" t="b">
        <v>0</v>
      </c>
      <c r="U1689" t="b">
        <v>0</v>
      </c>
      <c r="V1689" t="b">
        <f t="shared" si="52"/>
        <v>1</v>
      </c>
      <c r="W1689">
        <v>0</v>
      </c>
      <c r="Y1689">
        <f t="shared" si="53"/>
        <v>0</v>
      </c>
    </row>
    <row r="1690" spans="1:25" x14ac:dyDescent="0.3">
      <c r="A1690" t="s">
        <v>3536</v>
      </c>
      <c r="B1690" t="s">
        <v>1968</v>
      </c>
      <c r="C1690">
        <v>109.28</v>
      </c>
      <c r="D1690" s="1">
        <v>45086.680694444447</v>
      </c>
      <c r="E1690" t="s">
        <v>25</v>
      </c>
      <c r="F1690" t="s">
        <v>26</v>
      </c>
      <c r="G1690" t="s">
        <v>3412</v>
      </c>
      <c r="H1690" t="s">
        <v>2497</v>
      </c>
      <c r="I1690" t="s">
        <v>997</v>
      </c>
      <c r="J1690" t="s">
        <v>45</v>
      </c>
      <c r="K1690">
        <v>36</v>
      </c>
      <c r="L1690" t="s">
        <v>89</v>
      </c>
      <c r="M1690">
        <v>112</v>
      </c>
      <c r="N1690">
        <v>4</v>
      </c>
      <c r="O1690">
        <v>6338.35</v>
      </c>
      <c r="P1690" s="1">
        <v>45600.338437500002</v>
      </c>
      <c r="Q1690">
        <v>16</v>
      </c>
      <c r="R1690" t="s">
        <v>54</v>
      </c>
      <c r="S1690">
        <v>-0.645028946714578</v>
      </c>
      <c r="T1690" t="b">
        <v>0</v>
      </c>
      <c r="U1690" t="b">
        <v>1</v>
      </c>
      <c r="V1690" t="b">
        <f t="shared" si="52"/>
        <v>1</v>
      </c>
      <c r="W1690">
        <v>1</v>
      </c>
      <c r="Y1690">
        <f t="shared" si="53"/>
        <v>0</v>
      </c>
    </row>
    <row r="1691" spans="1:25" x14ac:dyDescent="0.3">
      <c r="A1691" t="s">
        <v>3537</v>
      </c>
      <c r="B1691" t="s">
        <v>201</v>
      </c>
      <c r="C1691">
        <v>27.51</v>
      </c>
      <c r="D1691" s="1">
        <v>45189.761145833334</v>
      </c>
      <c r="E1691" t="s">
        <v>57</v>
      </c>
      <c r="F1691" t="s">
        <v>137</v>
      </c>
      <c r="G1691" t="s">
        <v>233</v>
      </c>
      <c r="H1691" t="s">
        <v>1304</v>
      </c>
      <c r="I1691" t="s">
        <v>112</v>
      </c>
      <c r="J1691" t="s">
        <v>45</v>
      </c>
      <c r="K1691">
        <v>40</v>
      </c>
      <c r="L1691" t="s">
        <v>31</v>
      </c>
      <c r="M1691">
        <v>103</v>
      </c>
      <c r="N1691">
        <v>1</v>
      </c>
      <c r="O1691">
        <v>13645.63</v>
      </c>
      <c r="P1691" s="1">
        <v>45600.337812500002</v>
      </c>
      <c r="Q1691">
        <v>18</v>
      </c>
      <c r="R1691" t="s">
        <v>74</v>
      </c>
      <c r="S1691">
        <v>-0.925114756528849</v>
      </c>
      <c r="T1691" t="b">
        <v>0</v>
      </c>
      <c r="U1691" t="b">
        <v>0</v>
      </c>
      <c r="V1691" t="b">
        <f t="shared" si="52"/>
        <v>1</v>
      </c>
      <c r="W1691">
        <v>0</v>
      </c>
      <c r="Y1691">
        <f t="shared" si="53"/>
        <v>0</v>
      </c>
    </row>
    <row r="1692" spans="1:25" x14ac:dyDescent="0.3">
      <c r="A1692" t="s">
        <v>3538</v>
      </c>
      <c r="B1692" t="s">
        <v>711</v>
      </c>
      <c r="C1692">
        <v>12.18</v>
      </c>
      <c r="D1692" s="1">
        <v>45036.785173611112</v>
      </c>
      <c r="E1692" t="s">
        <v>25</v>
      </c>
      <c r="F1692" t="s">
        <v>216</v>
      </c>
      <c r="G1692" t="s">
        <v>3107</v>
      </c>
      <c r="H1692" t="s">
        <v>3539</v>
      </c>
      <c r="I1692" t="s">
        <v>782</v>
      </c>
      <c r="J1692" t="s">
        <v>81</v>
      </c>
      <c r="K1692">
        <v>76</v>
      </c>
      <c r="L1692" t="s">
        <v>82</v>
      </c>
      <c r="M1692">
        <v>77</v>
      </c>
      <c r="N1692">
        <v>1</v>
      </c>
      <c r="O1692">
        <v>4909.24</v>
      </c>
      <c r="P1692" s="1">
        <v>45600.338622685187</v>
      </c>
      <c r="Q1692">
        <v>18</v>
      </c>
      <c r="R1692" t="s">
        <v>141</v>
      </c>
      <c r="S1692">
        <v>-0.97762442345379397</v>
      </c>
      <c r="T1692" t="b">
        <v>0</v>
      </c>
      <c r="U1692" t="b">
        <v>0</v>
      </c>
      <c r="V1692" t="b">
        <f t="shared" si="52"/>
        <v>1</v>
      </c>
      <c r="W1692">
        <v>0</v>
      </c>
      <c r="Y1692">
        <f t="shared" si="53"/>
        <v>0</v>
      </c>
    </row>
    <row r="1693" spans="1:25" x14ac:dyDescent="0.3">
      <c r="A1693" t="s">
        <v>3540</v>
      </c>
      <c r="B1693" t="s">
        <v>558</v>
      </c>
      <c r="C1693">
        <v>207.71</v>
      </c>
      <c r="D1693" s="1">
        <v>45246.742303240739</v>
      </c>
      <c r="E1693" t="s">
        <v>57</v>
      </c>
      <c r="F1693" t="s">
        <v>304</v>
      </c>
      <c r="G1693" t="s">
        <v>2368</v>
      </c>
      <c r="H1693" t="s">
        <v>604</v>
      </c>
      <c r="I1693" t="s">
        <v>399</v>
      </c>
      <c r="J1693" t="s">
        <v>45</v>
      </c>
      <c r="K1693">
        <v>25</v>
      </c>
      <c r="L1693" t="s">
        <v>46</v>
      </c>
      <c r="M1693">
        <v>63</v>
      </c>
      <c r="N1693">
        <v>1</v>
      </c>
      <c r="O1693">
        <v>570.1</v>
      </c>
      <c r="P1693" s="1">
        <v>45600.340914351851</v>
      </c>
      <c r="Q1693">
        <v>17</v>
      </c>
      <c r="R1693" t="s">
        <v>141</v>
      </c>
      <c r="S1693">
        <v>-0.30787783677182801</v>
      </c>
      <c r="T1693" t="b">
        <v>0</v>
      </c>
      <c r="U1693" t="b">
        <v>0</v>
      </c>
      <c r="V1693" t="b">
        <f t="shared" si="52"/>
        <v>1</v>
      </c>
      <c r="W1693">
        <v>0</v>
      </c>
      <c r="Y1693">
        <f t="shared" si="53"/>
        <v>0</v>
      </c>
    </row>
    <row r="1694" spans="1:25" x14ac:dyDescent="0.3">
      <c r="A1694" t="s">
        <v>3541</v>
      </c>
      <c r="B1694" t="s">
        <v>1306</v>
      </c>
      <c r="C1694">
        <v>25.77</v>
      </c>
      <c r="D1694" s="1">
        <v>45124.718993055554</v>
      </c>
      <c r="E1694" t="s">
        <v>57</v>
      </c>
      <c r="F1694" t="s">
        <v>26</v>
      </c>
      <c r="G1694" t="s">
        <v>3542</v>
      </c>
      <c r="H1694" t="s">
        <v>2507</v>
      </c>
      <c r="I1694" t="s">
        <v>316</v>
      </c>
      <c r="J1694" t="s">
        <v>45</v>
      </c>
      <c r="K1694">
        <v>45</v>
      </c>
      <c r="L1694" t="s">
        <v>31</v>
      </c>
      <c r="M1694">
        <v>277</v>
      </c>
      <c r="N1694">
        <v>1</v>
      </c>
      <c r="O1694">
        <v>11749.77</v>
      </c>
      <c r="P1694" s="1">
        <v>45600.34065972222</v>
      </c>
      <c r="Q1694">
        <v>17</v>
      </c>
      <c r="R1694" t="s">
        <v>47</v>
      </c>
      <c r="S1694">
        <v>-0.93107475786279603</v>
      </c>
      <c r="T1694" t="b">
        <v>0</v>
      </c>
      <c r="U1694" t="b">
        <v>0</v>
      </c>
      <c r="V1694" t="b">
        <f t="shared" si="52"/>
        <v>1</v>
      </c>
      <c r="W1694">
        <v>0</v>
      </c>
      <c r="Y1694">
        <f t="shared" si="53"/>
        <v>0</v>
      </c>
    </row>
    <row r="1695" spans="1:25" x14ac:dyDescent="0.3">
      <c r="A1695" t="s">
        <v>3543</v>
      </c>
      <c r="B1695" t="s">
        <v>1087</v>
      </c>
      <c r="C1695">
        <v>127.57</v>
      </c>
      <c r="D1695" s="1">
        <v>44984.720196759263</v>
      </c>
      <c r="E1695" t="s">
        <v>25</v>
      </c>
      <c r="F1695" t="s">
        <v>92</v>
      </c>
      <c r="G1695" t="s">
        <v>1402</v>
      </c>
      <c r="H1695" t="s">
        <v>1152</v>
      </c>
      <c r="I1695" t="s">
        <v>487</v>
      </c>
      <c r="J1695" t="s">
        <v>30</v>
      </c>
      <c r="K1695">
        <v>52</v>
      </c>
      <c r="L1695" t="s">
        <v>82</v>
      </c>
      <c r="M1695">
        <v>75</v>
      </c>
      <c r="N1695">
        <v>1</v>
      </c>
      <c r="O1695">
        <v>6118.2</v>
      </c>
      <c r="P1695" s="1">
        <v>45600.340798611112</v>
      </c>
      <c r="Q1695">
        <v>17</v>
      </c>
      <c r="R1695" t="s">
        <v>47</v>
      </c>
      <c r="S1695">
        <v>-0.58238042694567704</v>
      </c>
      <c r="T1695" t="b">
        <v>0</v>
      </c>
      <c r="U1695" t="b">
        <v>0</v>
      </c>
      <c r="V1695" t="b">
        <f t="shared" si="52"/>
        <v>1</v>
      </c>
      <c r="W1695">
        <v>0</v>
      </c>
      <c r="Y1695">
        <f t="shared" si="53"/>
        <v>0</v>
      </c>
    </row>
    <row r="1696" spans="1:25" x14ac:dyDescent="0.3">
      <c r="A1696" t="s">
        <v>3544</v>
      </c>
      <c r="B1696" t="s">
        <v>63</v>
      </c>
      <c r="C1696">
        <v>392.05</v>
      </c>
      <c r="D1696" s="1">
        <v>45096.688900462963</v>
      </c>
      <c r="E1696" t="s">
        <v>25</v>
      </c>
      <c r="F1696" t="s">
        <v>126</v>
      </c>
      <c r="G1696" t="s">
        <v>1030</v>
      </c>
      <c r="H1696" t="s">
        <v>94</v>
      </c>
      <c r="I1696" t="s">
        <v>527</v>
      </c>
      <c r="J1696" t="s">
        <v>30</v>
      </c>
      <c r="K1696">
        <v>60</v>
      </c>
      <c r="L1696" t="s">
        <v>89</v>
      </c>
      <c r="M1696">
        <v>172</v>
      </c>
      <c r="N1696">
        <v>1</v>
      </c>
      <c r="O1696">
        <v>4383.6899999999996</v>
      </c>
      <c r="P1696" s="1">
        <v>45600.337789351855</v>
      </c>
      <c r="Q1696">
        <v>16</v>
      </c>
      <c r="R1696" t="s">
        <v>47</v>
      </c>
      <c r="S1696">
        <v>0.32353977581423699</v>
      </c>
      <c r="T1696" t="b">
        <v>0</v>
      </c>
      <c r="U1696" t="b">
        <v>0</v>
      </c>
      <c r="V1696" t="b">
        <f t="shared" si="52"/>
        <v>1</v>
      </c>
      <c r="W1696">
        <v>0</v>
      </c>
      <c r="Y1696">
        <f t="shared" si="53"/>
        <v>0</v>
      </c>
    </row>
    <row r="1697" spans="1:25" x14ac:dyDescent="0.3">
      <c r="A1697" t="s">
        <v>3545</v>
      </c>
      <c r="B1697" t="s">
        <v>987</v>
      </c>
      <c r="C1697">
        <v>521.01</v>
      </c>
      <c r="D1697" s="1">
        <v>45212.746493055558</v>
      </c>
      <c r="E1697" t="s">
        <v>57</v>
      </c>
      <c r="F1697" t="s">
        <v>70</v>
      </c>
      <c r="G1697" t="s">
        <v>99</v>
      </c>
      <c r="H1697" t="s">
        <v>449</v>
      </c>
      <c r="I1697" t="s">
        <v>589</v>
      </c>
      <c r="J1697" t="s">
        <v>81</v>
      </c>
      <c r="K1697">
        <v>41</v>
      </c>
      <c r="L1697" t="s">
        <v>89</v>
      </c>
      <c r="M1697">
        <v>73</v>
      </c>
      <c r="N1697">
        <v>1</v>
      </c>
      <c r="O1697">
        <v>4004.55</v>
      </c>
      <c r="P1697" s="1">
        <v>45600.338275462964</v>
      </c>
      <c r="Q1697">
        <v>17</v>
      </c>
      <c r="R1697" t="s">
        <v>54</v>
      </c>
      <c r="S1697">
        <v>0.76526493215089297</v>
      </c>
      <c r="T1697" t="b">
        <v>0</v>
      </c>
      <c r="U1697" t="b">
        <v>0</v>
      </c>
      <c r="V1697" t="b">
        <f t="shared" si="52"/>
        <v>1</v>
      </c>
      <c r="W1697">
        <v>0</v>
      </c>
      <c r="Y1697">
        <f t="shared" si="53"/>
        <v>0</v>
      </c>
    </row>
    <row r="1698" spans="1:25" x14ac:dyDescent="0.3">
      <c r="A1698" t="s">
        <v>3546</v>
      </c>
      <c r="B1698" t="s">
        <v>680</v>
      </c>
      <c r="C1698">
        <v>849.76</v>
      </c>
      <c r="D1698" s="1">
        <v>45154.68645833333</v>
      </c>
      <c r="E1698" t="s">
        <v>25</v>
      </c>
      <c r="F1698" t="s">
        <v>70</v>
      </c>
      <c r="G1698" t="s">
        <v>86</v>
      </c>
      <c r="H1698" t="s">
        <v>1178</v>
      </c>
      <c r="I1698" t="s">
        <v>295</v>
      </c>
      <c r="J1698" t="s">
        <v>30</v>
      </c>
      <c r="K1698">
        <v>25</v>
      </c>
      <c r="L1698" t="s">
        <v>46</v>
      </c>
      <c r="M1698">
        <v>269</v>
      </c>
      <c r="N1698">
        <v>1</v>
      </c>
      <c r="O1698">
        <v>373.88</v>
      </c>
      <c r="P1698" s="1">
        <v>45600.338773148149</v>
      </c>
      <c r="Q1698">
        <v>16</v>
      </c>
      <c r="R1698" t="s">
        <v>74</v>
      </c>
      <c r="S1698">
        <v>1.8913284025733099</v>
      </c>
      <c r="T1698" t="b">
        <v>0</v>
      </c>
      <c r="U1698" t="b">
        <v>0</v>
      </c>
      <c r="V1698" t="b">
        <f t="shared" si="52"/>
        <v>1</v>
      </c>
      <c r="W1698">
        <v>0</v>
      </c>
      <c r="Y1698">
        <f t="shared" si="53"/>
        <v>0</v>
      </c>
    </row>
    <row r="1699" spans="1:25" x14ac:dyDescent="0.3">
      <c r="A1699" t="s">
        <v>3547</v>
      </c>
      <c r="B1699" t="s">
        <v>1206</v>
      </c>
      <c r="C1699">
        <v>172.5</v>
      </c>
      <c r="D1699" s="1">
        <v>45244.682743055557</v>
      </c>
      <c r="E1699" t="s">
        <v>25</v>
      </c>
      <c r="F1699" t="s">
        <v>137</v>
      </c>
      <c r="G1699" t="s">
        <v>650</v>
      </c>
      <c r="H1699" t="s">
        <v>640</v>
      </c>
      <c r="I1699" t="s">
        <v>162</v>
      </c>
      <c r="J1699" t="s">
        <v>45</v>
      </c>
      <c r="K1699">
        <v>68</v>
      </c>
      <c r="L1699" t="s">
        <v>31</v>
      </c>
      <c r="M1699">
        <v>31</v>
      </c>
      <c r="N1699">
        <v>1</v>
      </c>
      <c r="O1699">
        <v>6851.16</v>
      </c>
      <c r="P1699" s="1">
        <v>45600.341134259259</v>
      </c>
      <c r="Q1699">
        <v>16</v>
      </c>
      <c r="R1699" t="s">
        <v>32</v>
      </c>
      <c r="S1699">
        <v>-0.42848223158117699</v>
      </c>
      <c r="T1699" t="b">
        <v>0</v>
      </c>
      <c r="U1699" t="b">
        <v>0</v>
      </c>
      <c r="V1699" t="b">
        <f t="shared" si="52"/>
        <v>1</v>
      </c>
      <c r="W1699">
        <v>0</v>
      </c>
      <c r="Y1699">
        <f t="shared" si="53"/>
        <v>0</v>
      </c>
    </row>
    <row r="1700" spans="1:25" x14ac:dyDescent="0.3">
      <c r="A1700" t="s">
        <v>3548</v>
      </c>
      <c r="B1700" t="s">
        <v>1807</v>
      </c>
      <c r="C1700">
        <v>265.44</v>
      </c>
      <c r="D1700" s="1">
        <v>44943.695347222223</v>
      </c>
      <c r="E1700" t="s">
        <v>25</v>
      </c>
      <c r="F1700" t="s">
        <v>250</v>
      </c>
      <c r="G1700" t="s">
        <v>3549</v>
      </c>
      <c r="H1700" t="s">
        <v>2249</v>
      </c>
      <c r="I1700" t="s">
        <v>290</v>
      </c>
      <c r="J1700" t="s">
        <v>30</v>
      </c>
      <c r="K1700">
        <v>30</v>
      </c>
      <c r="L1700" t="s">
        <v>89</v>
      </c>
      <c r="M1700">
        <v>169</v>
      </c>
      <c r="N1700">
        <v>1</v>
      </c>
      <c r="O1700">
        <v>9700.77</v>
      </c>
      <c r="P1700" s="1">
        <v>45600.34002314815</v>
      </c>
      <c r="Q1700">
        <v>16</v>
      </c>
      <c r="R1700" t="s">
        <v>32</v>
      </c>
      <c r="S1700">
        <v>-0.11013595343346599</v>
      </c>
      <c r="T1700" t="b">
        <v>0</v>
      </c>
      <c r="U1700" t="b">
        <v>0</v>
      </c>
      <c r="V1700" t="b">
        <f t="shared" si="52"/>
        <v>1</v>
      </c>
      <c r="W1700">
        <v>0</v>
      </c>
      <c r="Y1700">
        <f t="shared" si="53"/>
        <v>0</v>
      </c>
    </row>
    <row r="1701" spans="1:25" x14ac:dyDescent="0.3">
      <c r="A1701" t="s">
        <v>3550</v>
      </c>
      <c r="B1701" t="s">
        <v>2175</v>
      </c>
      <c r="C1701">
        <v>152.34</v>
      </c>
      <c r="D1701" s="1">
        <v>45211.715509259258</v>
      </c>
      <c r="E1701" t="s">
        <v>25</v>
      </c>
      <c r="F1701" t="s">
        <v>309</v>
      </c>
      <c r="G1701" t="s">
        <v>386</v>
      </c>
      <c r="H1701" t="s">
        <v>3551</v>
      </c>
      <c r="I1701" t="s">
        <v>265</v>
      </c>
      <c r="J1701" t="s">
        <v>81</v>
      </c>
      <c r="K1701">
        <v>55</v>
      </c>
      <c r="L1701" t="s">
        <v>31</v>
      </c>
      <c r="M1701">
        <v>115</v>
      </c>
      <c r="N1701">
        <v>1</v>
      </c>
      <c r="O1701">
        <v>6853.51</v>
      </c>
      <c r="P1701" s="1">
        <v>45600.339016203703</v>
      </c>
      <c r="Q1701">
        <v>17</v>
      </c>
      <c r="R1701" t="s">
        <v>141</v>
      </c>
      <c r="S1701">
        <v>-0.49753604014000902</v>
      </c>
      <c r="T1701" t="b">
        <v>0</v>
      </c>
      <c r="U1701" t="b">
        <v>0</v>
      </c>
      <c r="V1701" t="b">
        <f t="shared" si="52"/>
        <v>1</v>
      </c>
      <c r="W1701">
        <v>0</v>
      </c>
      <c r="Y1701">
        <f t="shared" si="53"/>
        <v>0</v>
      </c>
    </row>
    <row r="1702" spans="1:25" x14ac:dyDescent="0.3">
      <c r="A1702" t="s">
        <v>3552</v>
      </c>
      <c r="B1702" t="s">
        <v>2175</v>
      </c>
      <c r="C1702">
        <v>21.13</v>
      </c>
      <c r="D1702" s="1">
        <v>45041.674560185187</v>
      </c>
      <c r="E1702" t="s">
        <v>25</v>
      </c>
      <c r="F1702" t="s">
        <v>336</v>
      </c>
      <c r="G1702" t="s">
        <v>1571</v>
      </c>
      <c r="H1702" t="s">
        <v>1863</v>
      </c>
      <c r="I1702" t="s">
        <v>290</v>
      </c>
      <c r="J1702" t="s">
        <v>81</v>
      </c>
      <c r="K1702">
        <v>28</v>
      </c>
      <c r="L1702" t="s">
        <v>46</v>
      </c>
      <c r="M1702">
        <v>153</v>
      </c>
      <c r="N1702">
        <v>1</v>
      </c>
      <c r="O1702">
        <v>948.7</v>
      </c>
      <c r="P1702" s="1">
        <v>45600.340474537035</v>
      </c>
      <c r="Q1702">
        <v>16</v>
      </c>
      <c r="R1702" t="s">
        <v>32</v>
      </c>
      <c r="S1702">
        <v>-0.946968094753321</v>
      </c>
      <c r="T1702" t="b">
        <v>0</v>
      </c>
      <c r="U1702" t="b">
        <v>0</v>
      </c>
      <c r="V1702" t="b">
        <f t="shared" si="52"/>
        <v>1</v>
      </c>
      <c r="W1702">
        <v>0</v>
      </c>
      <c r="Y1702">
        <f t="shared" si="53"/>
        <v>0</v>
      </c>
    </row>
    <row r="1703" spans="1:25" x14ac:dyDescent="0.3">
      <c r="A1703" t="s">
        <v>3553</v>
      </c>
      <c r="B1703" t="s">
        <v>56</v>
      </c>
      <c r="C1703">
        <v>111.55</v>
      </c>
      <c r="D1703" s="1">
        <v>45288.685555555552</v>
      </c>
      <c r="E1703" t="s">
        <v>25</v>
      </c>
      <c r="F1703" t="s">
        <v>126</v>
      </c>
      <c r="G1703" t="s">
        <v>1729</v>
      </c>
      <c r="H1703" t="s">
        <v>3554</v>
      </c>
      <c r="I1703" t="s">
        <v>150</v>
      </c>
      <c r="J1703" t="s">
        <v>30</v>
      </c>
      <c r="K1703">
        <v>46</v>
      </c>
      <c r="L1703" t="s">
        <v>31</v>
      </c>
      <c r="M1703">
        <v>101</v>
      </c>
      <c r="N1703">
        <v>1</v>
      </c>
      <c r="O1703">
        <v>12221.17</v>
      </c>
      <c r="P1703" s="1">
        <v>45600.338993055557</v>
      </c>
      <c r="Q1703">
        <v>16</v>
      </c>
      <c r="R1703" t="s">
        <v>141</v>
      </c>
      <c r="S1703">
        <v>-0.63725354267546397</v>
      </c>
      <c r="T1703" t="b">
        <v>0</v>
      </c>
      <c r="U1703" t="b">
        <v>0</v>
      </c>
      <c r="V1703" t="b">
        <f t="shared" si="52"/>
        <v>1</v>
      </c>
      <c r="W1703">
        <v>0</v>
      </c>
      <c r="Y1703">
        <f t="shared" si="53"/>
        <v>0</v>
      </c>
    </row>
    <row r="1704" spans="1:25" x14ac:dyDescent="0.3">
      <c r="A1704" t="s">
        <v>3555</v>
      </c>
      <c r="B1704" t="s">
        <v>3345</v>
      </c>
      <c r="C1704">
        <v>321.82</v>
      </c>
      <c r="D1704" s="1">
        <v>45121.681192129632</v>
      </c>
      <c r="E1704" t="s">
        <v>57</v>
      </c>
      <c r="F1704" t="s">
        <v>50</v>
      </c>
      <c r="G1704" t="s">
        <v>547</v>
      </c>
      <c r="H1704" t="s">
        <v>1238</v>
      </c>
      <c r="I1704" t="s">
        <v>487</v>
      </c>
      <c r="J1704" t="s">
        <v>81</v>
      </c>
      <c r="K1704">
        <v>32</v>
      </c>
      <c r="L1704" t="s">
        <v>89</v>
      </c>
      <c r="M1704">
        <v>43</v>
      </c>
      <c r="N1704">
        <v>1</v>
      </c>
      <c r="O1704">
        <v>6500.5</v>
      </c>
      <c r="P1704" s="1">
        <v>45600.339143518519</v>
      </c>
      <c r="Q1704">
        <v>16</v>
      </c>
      <c r="R1704" t="s">
        <v>54</v>
      </c>
      <c r="S1704">
        <v>8.2981790938901706E-2</v>
      </c>
      <c r="T1704" t="b">
        <v>0</v>
      </c>
      <c r="U1704" t="b">
        <v>0</v>
      </c>
      <c r="V1704" t="b">
        <f t="shared" si="52"/>
        <v>1</v>
      </c>
      <c r="W1704">
        <v>0</v>
      </c>
      <c r="Y1704">
        <f t="shared" si="53"/>
        <v>0</v>
      </c>
    </row>
    <row r="1705" spans="1:25" x14ac:dyDescent="0.3">
      <c r="A1705" t="s">
        <v>3556</v>
      </c>
      <c r="B1705" t="s">
        <v>1871</v>
      </c>
      <c r="C1705">
        <v>1294.81</v>
      </c>
      <c r="D1705" s="1">
        <v>45271.703564814816</v>
      </c>
      <c r="E1705" t="s">
        <v>57</v>
      </c>
      <c r="F1705" t="s">
        <v>466</v>
      </c>
      <c r="G1705" t="s">
        <v>595</v>
      </c>
      <c r="H1705" t="s">
        <v>1322</v>
      </c>
      <c r="I1705" t="s">
        <v>620</v>
      </c>
      <c r="J1705" t="s">
        <v>81</v>
      </c>
      <c r="K1705">
        <v>45</v>
      </c>
      <c r="L1705" t="s">
        <v>89</v>
      </c>
      <c r="M1705">
        <v>279</v>
      </c>
      <c r="N1705">
        <v>1</v>
      </c>
      <c r="O1705">
        <v>9927.75</v>
      </c>
      <c r="P1705" s="1">
        <v>45600.341481481482</v>
      </c>
      <c r="Q1705">
        <v>16</v>
      </c>
      <c r="R1705" t="s">
        <v>47</v>
      </c>
      <c r="S1705">
        <v>3.4157528816957399</v>
      </c>
      <c r="T1705" t="b">
        <v>1</v>
      </c>
      <c r="U1705" t="b">
        <v>0</v>
      </c>
      <c r="V1705" t="b">
        <f t="shared" si="52"/>
        <v>1</v>
      </c>
      <c r="W1705">
        <v>1</v>
      </c>
      <c r="Y1705">
        <f t="shared" si="53"/>
        <v>1</v>
      </c>
    </row>
    <row r="1706" spans="1:25" x14ac:dyDescent="0.3">
      <c r="A1706" t="s">
        <v>3557</v>
      </c>
      <c r="B1706" t="s">
        <v>3478</v>
      </c>
      <c r="C1706">
        <v>148.77000000000001</v>
      </c>
      <c r="D1706" s="1">
        <v>45015.764560185184</v>
      </c>
      <c r="E1706" t="s">
        <v>25</v>
      </c>
      <c r="F1706" t="s">
        <v>236</v>
      </c>
      <c r="G1706" t="s">
        <v>2971</v>
      </c>
      <c r="H1706" t="s">
        <v>1981</v>
      </c>
      <c r="I1706" t="s">
        <v>173</v>
      </c>
      <c r="J1706" t="s">
        <v>81</v>
      </c>
      <c r="K1706">
        <v>67</v>
      </c>
      <c r="L1706" t="s">
        <v>82</v>
      </c>
      <c r="M1706">
        <v>175</v>
      </c>
      <c r="N1706">
        <v>1</v>
      </c>
      <c r="O1706">
        <v>2138.42</v>
      </c>
      <c r="P1706" s="1">
        <v>45600.341562499998</v>
      </c>
      <c r="Q1706">
        <v>18</v>
      </c>
      <c r="R1706" t="s">
        <v>141</v>
      </c>
      <c r="S1706">
        <v>-0.50976431873896899</v>
      </c>
      <c r="T1706" t="b">
        <v>0</v>
      </c>
      <c r="U1706" t="b">
        <v>0</v>
      </c>
      <c r="V1706" t="b">
        <f t="shared" si="52"/>
        <v>1</v>
      </c>
      <c r="W1706">
        <v>0</v>
      </c>
      <c r="Y1706">
        <f t="shared" si="53"/>
        <v>0</v>
      </c>
    </row>
    <row r="1707" spans="1:25" x14ac:dyDescent="0.3">
      <c r="A1707" t="s">
        <v>3558</v>
      </c>
      <c r="B1707" t="s">
        <v>1657</v>
      </c>
      <c r="C1707">
        <v>14.08</v>
      </c>
      <c r="D1707" s="1">
        <v>44963.762800925928</v>
      </c>
      <c r="E1707" t="s">
        <v>25</v>
      </c>
      <c r="F1707" t="s">
        <v>336</v>
      </c>
      <c r="G1707" t="s">
        <v>3559</v>
      </c>
      <c r="H1707" t="s">
        <v>584</v>
      </c>
      <c r="I1707" t="s">
        <v>140</v>
      </c>
      <c r="J1707" t="s">
        <v>81</v>
      </c>
      <c r="K1707">
        <v>57</v>
      </c>
      <c r="L1707" t="s">
        <v>82</v>
      </c>
      <c r="M1707">
        <v>154</v>
      </c>
      <c r="N1707">
        <v>1</v>
      </c>
      <c r="O1707">
        <v>3908.65</v>
      </c>
      <c r="P1707" s="1">
        <v>45600.339201388888</v>
      </c>
      <c r="Q1707">
        <v>18</v>
      </c>
      <c r="R1707" t="s">
        <v>47</v>
      </c>
      <c r="S1707">
        <v>-0.97111637602017398</v>
      </c>
      <c r="T1707" t="b">
        <v>0</v>
      </c>
      <c r="U1707" t="b">
        <v>0</v>
      </c>
      <c r="V1707" t="b">
        <f t="shared" si="52"/>
        <v>1</v>
      </c>
      <c r="W1707">
        <v>0</v>
      </c>
      <c r="Y1707">
        <f t="shared" si="53"/>
        <v>0</v>
      </c>
    </row>
    <row r="1708" spans="1:25" x14ac:dyDescent="0.3">
      <c r="A1708" t="s">
        <v>3560</v>
      </c>
      <c r="B1708" t="s">
        <v>3561</v>
      </c>
      <c r="C1708">
        <v>1283.97</v>
      </c>
      <c r="D1708" s="1">
        <v>45147.73060185185</v>
      </c>
      <c r="E1708" t="s">
        <v>25</v>
      </c>
      <c r="F1708" t="s">
        <v>534</v>
      </c>
      <c r="G1708" t="s">
        <v>3268</v>
      </c>
      <c r="H1708" t="s">
        <v>3017</v>
      </c>
      <c r="I1708" t="s">
        <v>107</v>
      </c>
      <c r="J1708" t="s">
        <v>30</v>
      </c>
      <c r="K1708">
        <v>42</v>
      </c>
      <c r="L1708" t="s">
        <v>31</v>
      </c>
      <c r="M1708">
        <v>121</v>
      </c>
      <c r="N1708">
        <v>1</v>
      </c>
      <c r="O1708">
        <v>11041.9</v>
      </c>
      <c r="P1708" s="1">
        <v>45600.338796296295</v>
      </c>
      <c r="Q1708">
        <v>17</v>
      </c>
      <c r="R1708" t="s">
        <v>74</v>
      </c>
      <c r="S1708">
        <v>3.3786227584428801</v>
      </c>
      <c r="T1708" t="b">
        <v>1</v>
      </c>
      <c r="U1708" t="b">
        <v>0</v>
      </c>
      <c r="V1708" t="b">
        <f t="shared" si="52"/>
        <v>1</v>
      </c>
      <c r="W1708">
        <v>1</v>
      </c>
      <c r="Y1708">
        <f t="shared" si="53"/>
        <v>1</v>
      </c>
    </row>
    <row r="1709" spans="1:25" x14ac:dyDescent="0.3">
      <c r="A1709" t="s">
        <v>3562</v>
      </c>
      <c r="B1709" t="s">
        <v>1079</v>
      </c>
      <c r="C1709">
        <v>566.33000000000004</v>
      </c>
      <c r="D1709" s="1">
        <v>45145.694351851853</v>
      </c>
      <c r="E1709" t="s">
        <v>57</v>
      </c>
      <c r="F1709" t="s">
        <v>262</v>
      </c>
      <c r="G1709" t="s">
        <v>1479</v>
      </c>
      <c r="H1709" t="s">
        <v>1245</v>
      </c>
      <c r="I1709" t="s">
        <v>162</v>
      </c>
      <c r="J1709" t="s">
        <v>30</v>
      </c>
      <c r="K1709">
        <v>24</v>
      </c>
      <c r="L1709" t="s">
        <v>46</v>
      </c>
      <c r="M1709">
        <v>66</v>
      </c>
      <c r="N1709">
        <v>1</v>
      </c>
      <c r="O1709">
        <v>379.82</v>
      </c>
      <c r="P1709" s="1">
        <v>45600.338402777779</v>
      </c>
      <c r="Q1709">
        <v>16</v>
      </c>
      <c r="R1709" t="s">
        <v>47</v>
      </c>
      <c r="S1709">
        <v>0.920498989883347</v>
      </c>
      <c r="T1709" t="b">
        <v>0</v>
      </c>
      <c r="U1709" t="b">
        <v>0</v>
      </c>
      <c r="V1709" t="b">
        <f t="shared" si="52"/>
        <v>1</v>
      </c>
      <c r="W1709">
        <v>0</v>
      </c>
      <c r="Y1709">
        <f t="shared" si="53"/>
        <v>0</v>
      </c>
    </row>
    <row r="1710" spans="1:25" x14ac:dyDescent="0.3">
      <c r="A1710" t="s">
        <v>3563</v>
      </c>
      <c r="B1710" t="s">
        <v>2379</v>
      </c>
      <c r="C1710">
        <v>206.51</v>
      </c>
      <c r="D1710" s="1">
        <v>45278.714918981481</v>
      </c>
      <c r="E1710" t="s">
        <v>25</v>
      </c>
      <c r="F1710" t="s">
        <v>77</v>
      </c>
      <c r="G1710" t="s">
        <v>1747</v>
      </c>
      <c r="H1710" t="s">
        <v>584</v>
      </c>
      <c r="I1710" t="s">
        <v>259</v>
      </c>
      <c r="J1710" t="s">
        <v>30</v>
      </c>
      <c r="K1710">
        <v>51</v>
      </c>
      <c r="L1710" t="s">
        <v>82</v>
      </c>
      <c r="M1710">
        <v>275</v>
      </c>
      <c r="N1710">
        <v>1</v>
      </c>
      <c r="O1710">
        <v>3921.74</v>
      </c>
      <c r="P1710" s="1">
        <v>45600.338449074072</v>
      </c>
      <c r="Q1710">
        <v>17</v>
      </c>
      <c r="R1710" t="s">
        <v>47</v>
      </c>
      <c r="S1710">
        <v>-0.31198818251937799</v>
      </c>
      <c r="T1710" t="b">
        <v>0</v>
      </c>
      <c r="U1710" t="b">
        <v>0</v>
      </c>
      <c r="V1710" t="b">
        <f t="shared" si="52"/>
        <v>1</v>
      </c>
      <c r="W1710">
        <v>0</v>
      </c>
      <c r="Y1710">
        <f t="shared" si="53"/>
        <v>0</v>
      </c>
    </row>
    <row r="1711" spans="1:25" x14ac:dyDescent="0.3">
      <c r="A1711" t="s">
        <v>3564</v>
      </c>
      <c r="B1711" t="s">
        <v>1010</v>
      </c>
      <c r="C1711">
        <v>180.94</v>
      </c>
      <c r="D1711" s="1">
        <v>45131.695347222223</v>
      </c>
      <c r="E1711" t="s">
        <v>25</v>
      </c>
      <c r="F1711" t="s">
        <v>50</v>
      </c>
      <c r="G1711" t="s">
        <v>743</v>
      </c>
      <c r="H1711" t="s">
        <v>3565</v>
      </c>
      <c r="I1711" t="s">
        <v>178</v>
      </c>
      <c r="J1711" t="s">
        <v>81</v>
      </c>
      <c r="K1711">
        <v>75</v>
      </c>
      <c r="L1711" t="s">
        <v>82</v>
      </c>
      <c r="M1711">
        <v>57</v>
      </c>
      <c r="N1711">
        <v>1</v>
      </c>
      <c r="O1711">
        <v>7659.99</v>
      </c>
      <c r="P1711" s="1">
        <v>45600.340671296297</v>
      </c>
      <c r="Q1711">
        <v>16</v>
      </c>
      <c r="R1711" t="s">
        <v>47</v>
      </c>
      <c r="S1711">
        <v>-0.39957279982341198</v>
      </c>
      <c r="T1711" t="b">
        <v>0</v>
      </c>
      <c r="U1711" t="b">
        <v>0</v>
      </c>
      <c r="V1711" t="b">
        <f t="shared" si="52"/>
        <v>1</v>
      </c>
      <c r="W1711">
        <v>0</v>
      </c>
      <c r="Y1711">
        <f t="shared" si="53"/>
        <v>0</v>
      </c>
    </row>
    <row r="1712" spans="1:25" x14ac:dyDescent="0.3">
      <c r="A1712" t="s">
        <v>3566</v>
      </c>
      <c r="B1712" t="s">
        <v>3567</v>
      </c>
      <c r="C1712">
        <v>77.900000000000006</v>
      </c>
      <c r="D1712" s="1">
        <v>45285.737500000003</v>
      </c>
      <c r="E1712" t="s">
        <v>25</v>
      </c>
      <c r="F1712" t="s">
        <v>466</v>
      </c>
      <c r="G1712" t="s">
        <v>448</v>
      </c>
      <c r="H1712" t="s">
        <v>2304</v>
      </c>
      <c r="I1712" t="s">
        <v>371</v>
      </c>
      <c r="J1712" t="s">
        <v>81</v>
      </c>
      <c r="K1712">
        <v>21</v>
      </c>
      <c r="L1712" t="s">
        <v>46</v>
      </c>
      <c r="M1712">
        <v>128</v>
      </c>
      <c r="N1712">
        <v>1</v>
      </c>
      <c r="O1712">
        <v>664.72</v>
      </c>
      <c r="P1712" s="1">
        <v>45600.339363425926</v>
      </c>
      <c r="Q1712">
        <v>17</v>
      </c>
      <c r="R1712" t="s">
        <v>47</v>
      </c>
      <c r="S1712">
        <v>-0.75251448801299803</v>
      </c>
      <c r="T1712" t="b">
        <v>0</v>
      </c>
      <c r="U1712" t="b">
        <v>0</v>
      </c>
      <c r="V1712" t="b">
        <f t="shared" si="52"/>
        <v>1</v>
      </c>
      <c r="W1712">
        <v>0</v>
      </c>
      <c r="Y1712">
        <f t="shared" si="53"/>
        <v>0</v>
      </c>
    </row>
    <row r="1713" spans="1:25" x14ac:dyDescent="0.3">
      <c r="A1713" t="s">
        <v>3568</v>
      </c>
      <c r="B1713" t="s">
        <v>3569</v>
      </c>
      <c r="C1713">
        <v>318.92</v>
      </c>
      <c r="D1713" s="1">
        <v>45065.787870370368</v>
      </c>
      <c r="E1713" t="s">
        <v>57</v>
      </c>
      <c r="F1713" t="s">
        <v>466</v>
      </c>
      <c r="G1713" t="s">
        <v>1561</v>
      </c>
      <c r="H1713" t="s">
        <v>1215</v>
      </c>
      <c r="I1713" t="s">
        <v>993</v>
      </c>
      <c r="J1713" t="s">
        <v>81</v>
      </c>
      <c r="K1713">
        <v>21</v>
      </c>
      <c r="L1713" t="s">
        <v>46</v>
      </c>
      <c r="M1713">
        <v>60</v>
      </c>
      <c r="N1713">
        <v>1</v>
      </c>
      <c r="O1713">
        <v>1167.25</v>
      </c>
      <c r="P1713" s="1">
        <v>45600.339618055557</v>
      </c>
      <c r="Q1713">
        <v>18</v>
      </c>
      <c r="R1713" t="s">
        <v>54</v>
      </c>
      <c r="S1713">
        <v>7.3048455382323699E-2</v>
      </c>
      <c r="T1713" t="b">
        <v>0</v>
      </c>
      <c r="U1713" t="b">
        <v>0</v>
      </c>
      <c r="V1713" t="b">
        <f t="shared" si="52"/>
        <v>1</v>
      </c>
      <c r="W1713">
        <v>0</v>
      </c>
      <c r="Y1713">
        <f t="shared" si="53"/>
        <v>0</v>
      </c>
    </row>
    <row r="1714" spans="1:25" x14ac:dyDescent="0.3">
      <c r="A1714" t="s">
        <v>3570</v>
      </c>
      <c r="B1714" t="s">
        <v>196</v>
      </c>
      <c r="C1714">
        <v>583.29999999999995</v>
      </c>
      <c r="D1714" s="1">
        <v>44960.688020833331</v>
      </c>
      <c r="E1714" t="s">
        <v>57</v>
      </c>
      <c r="F1714" t="s">
        <v>92</v>
      </c>
      <c r="G1714" t="s">
        <v>698</v>
      </c>
      <c r="H1714" t="s">
        <v>1934</v>
      </c>
      <c r="I1714" t="s">
        <v>222</v>
      </c>
      <c r="J1714" t="s">
        <v>45</v>
      </c>
      <c r="K1714">
        <v>59</v>
      </c>
      <c r="L1714" t="s">
        <v>89</v>
      </c>
      <c r="M1714">
        <v>142</v>
      </c>
      <c r="N1714">
        <v>1</v>
      </c>
      <c r="O1714">
        <v>5896.01</v>
      </c>
      <c r="P1714" s="1">
        <v>45600.341168981482</v>
      </c>
      <c r="Q1714">
        <v>16</v>
      </c>
      <c r="R1714" t="s">
        <v>54</v>
      </c>
      <c r="S1714">
        <v>0.97862612932994297</v>
      </c>
      <c r="T1714" t="b">
        <v>0</v>
      </c>
      <c r="U1714" t="b">
        <v>0</v>
      </c>
      <c r="V1714" t="b">
        <f t="shared" si="52"/>
        <v>1</v>
      </c>
      <c r="W1714">
        <v>0</v>
      </c>
      <c r="Y1714">
        <f t="shared" si="53"/>
        <v>0</v>
      </c>
    </row>
    <row r="1715" spans="1:25" x14ac:dyDescent="0.3">
      <c r="A1715" t="s">
        <v>3571</v>
      </c>
      <c r="B1715" t="s">
        <v>630</v>
      </c>
      <c r="C1715">
        <v>100.68</v>
      </c>
      <c r="D1715" s="1">
        <v>44938.697557870371</v>
      </c>
      <c r="E1715" t="s">
        <v>25</v>
      </c>
      <c r="F1715" t="s">
        <v>104</v>
      </c>
      <c r="G1715" t="s">
        <v>1128</v>
      </c>
      <c r="H1715" t="s">
        <v>418</v>
      </c>
      <c r="I1715" t="s">
        <v>167</v>
      </c>
      <c r="J1715" t="s">
        <v>45</v>
      </c>
      <c r="K1715">
        <v>63</v>
      </c>
      <c r="L1715" t="s">
        <v>82</v>
      </c>
      <c r="M1715">
        <v>139</v>
      </c>
      <c r="N1715">
        <v>1</v>
      </c>
      <c r="O1715">
        <v>1123.75</v>
      </c>
      <c r="P1715" s="1">
        <v>45600.341782407406</v>
      </c>
      <c r="Q1715">
        <v>16</v>
      </c>
      <c r="R1715" t="s">
        <v>141</v>
      </c>
      <c r="S1715">
        <v>-0.67448642457201602</v>
      </c>
      <c r="T1715" t="b">
        <v>0</v>
      </c>
      <c r="U1715" t="b">
        <v>0</v>
      </c>
      <c r="V1715" t="b">
        <f t="shared" si="52"/>
        <v>1</v>
      </c>
      <c r="W1715">
        <v>0</v>
      </c>
      <c r="Y1715">
        <f t="shared" si="53"/>
        <v>0</v>
      </c>
    </row>
    <row r="1716" spans="1:25" x14ac:dyDescent="0.3">
      <c r="A1716" t="s">
        <v>3572</v>
      </c>
      <c r="B1716" t="s">
        <v>889</v>
      </c>
      <c r="C1716">
        <v>589.64</v>
      </c>
      <c r="D1716" s="1">
        <v>45190.670578703706</v>
      </c>
      <c r="E1716" t="s">
        <v>25</v>
      </c>
      <c r="F1716" t="s">
        <v>262</v>
      </c>
      <c r="G1716" t="s">
        <v>1200</v>
      </c>
      <c r="H1716" t="s">
        <v>1670</v>
      </c>
      <c r="I1716" t="s">
        <v>1358</v>
      </c>
      <c r="J1716" t="s">
        <v>45</v>
      </c>
      <c r="K1716">
        <v>62</v>
      </c>
      <c r="L1716" t="s">
        <v>82</v>
      </c>
      <c r="M1716">
        <v>210</v>
      </c>
      <c r="N1716">
        <v>1</v>
      </c>
      <c r="O1716">
        <v>2039.4</v>
      </c>
      <c r="P1716" s="1">
        <v>45600.341585648152</v>
      </c>
      <c r="Q1716">
        <v>16</v>
      </c>
      <c r="R1716" t="s">
        <v>141</v>
      </c>
      <c r="S1716">
        <v>1.00034245602949</v>
      </c>
      <c r="T1716" t="b">
        <v>0</v>
      </c>
      <c r="U1716" t="b">
        <v>0</v>
      </c>
      <c r="V1716" t="b">
        <f t="shared" si="52"/>
        <v>1</v>
      </c>
      <c r="W1716">
        <v>0</v>
      </c>
      <c r="Y1716">
        <f t="shared" si="53"/>
        <v>0</v>
      </c>
    </row>
    <row r="1717" spans="1:25" x14ac:dyDescent="0.3">
      <c r="A1717" t="s">
        <v>3573</v>
      </c>
      <c r="B1717" t="s">
        <v>3574</v>
      </c>
      <c r="C1717">
        <v>225.93</v>
      </c>
      <c r="D1717" s="1">
        <v>44998.748460648145</v>
      </c>
      <c r="E1717" t="s">
        <v>57</v>
      </c>
      <c r="F1717" t="s">
        <v>309</v>
      </c>
      <c r="G1717" t="s">
        <v>165</v>
      </c>
      <c r="H1717" t="s">
        <v>1383</v>
      </c>
      <c r="I1717" t="s">
        <v>361</v>
      </c>
      <c r="J1717" t="s">
        <v>81</v>
      </c>
      <c r="K1717">
        <v>25</v>
      </c>
      <c r="L1717" t="s">
        <v>46</v>
      </c>
      <c r="M1717">
        <v>199</v>
      </c>
      <c r="N1717">
        <v>1</v>
      </c>
      <c r="O1717">
        <v>1864.27</v>
      </c>
      <c r="P1717" s="1">
        <v>45600.33934027778</v>
      </c>
      <c r="Q1717">
        <v>17</v>
      </c>
      <c r="R1717" t="s">
        <v>47</v>
      </c>
      <c r="S1717">
        <v>-0.24546908717153501</v>
      </c>
      <c r="T1717" t="b">
        <v>0</v>
      </c>
      <c r="U1717" t="b">
        <v>0</v>
      </c>
      <c r="V1717" t="b">
        <f t="shared" si="52"/>
        <v>1</v>
      </c>
      <c r="W1717">
        <v>0</v>
      </c>
      <c r="Y1717">
        <f t="shared" si="53"/>
        <v>0</v>
      </c>
    </row>
    <row r="1718" spans="1:25" x14ac:dyDescent="0.3">
      <c r="A1718" t="s">
        <v>3575</v>
      </c>
      <c r="B1718" t="s">
        <v>3506</v>
      </c>
      <c r="C1718">
        <v>651.54999999999995</v>
      </c>
      <c r="D1718" s="1">
        <v>44995.73233796296</v>
      </c>
      <c r="E1718" t="s">
        <v>25</v>
      </c>
      <c r="F1718" t="s">
        <v>438</v>
      </c>
      <c r="G1718" t="s">
        <v>2579</v>
      </c>
      <c r="H1718" t="s">
        <v>3551</v>
      </c>
      <c r="I1718" t="s">
        <v>182</v>
      </c>
      <c r="J1718" t="s">
        <v>45</v>
      </c>
      <c r="K1718">
        <v>72</v>
      </c>
      <c r="L1718" t="s">
        <v>82</v>
      </c>
      <c r="M1718">
        <v>82</v>
      </c>
      <c r="N1718">
        <v>1</v>
      </c>
      <c r="O1718">
        <v>2325.7800000000002</v>
      </c>
      <c r="P1718" s="1">
        <v>45600.340127314812</v>
      </c>
      <c r="Q1718">
        <v>17</v>
      </c>
      <c r="R1718" t="s">
        <v>54</v>
      </c>
      <c r="S1718">
        <v>1.2124020437218199</v>
      </c>
      <c r="T1718" t="b">
        <v>0</v>
      </c>
      <c r="U1718" t="b">
        <v>0</v>
      </c>
      <c r="V1718" t="b">
        <f t="shared" si="52"/>
        <v>1</v>
      </c>
      <c r="W1718">
        <v>0</v>
      </c>
      <c r="Y1718">
        <f t="shared" si="53"/>
        <v>0</v>
      </c>
    </row>
    <row r="1719" spans="1:25" x14ac:dyDescent="0.3">
      <c r="A1719" t="s">
        <v>3576</v>
      </c>
      <c r="B1719" t="s">
        <v>567</v>
      </c>
      <c r="C1719">
        <v>80.97</v>
      </c>
      <c r="D1719" s="1">
        <v>44935.727754629632</v>
      </c>
      <c r="E1719" t="s">
        <v>25</v>
      </c>
      <c r="F1719" t="s">
        <v>70</v>
      </c>
      <c r="G1719" t="s">
        <v>2929</v>
      </c>
      <c r="H1719" t="s">
        <v>1132</v>
      </c>
      <c r="I1719" t="s">
        <v>620</v>
      </c>
      <c r="J1719" t="s">
        <v>45</v>
      </c>
      <c r="K1719">
        <v>38</v>
      </c>
      <c r="L1719" t="s">
        <v>31</v>
      </c>
      <c r="M1719">
        <v>157</v>
      </c>
      <c r="N1719">
        <v>1</v>
      </c>
      <c r="O1719">
        <v>5926.31</v>
      </c>
      <c r="P1719" s="1">
        <v>45600.33965277778</v>
      </c>
      <c r="Q1719">
        <v>17</v>
      </c>
      <c r="R1719" t="s">
        <v>47</v>
      </c>
      <c r="S1719">
        <v>-0.74199885347551697</v>
      </c>
      <c r="T1719" t="b">
        <v>0</v>
      </c>
      <c r="U1719" t="b">
        <v>0</v>
      </c>
      <c r="V1719" t="b">
        <f t="shared" si="52"/>
        <v>1</v>
      </c>
      <c r="W1719">
        <v>0</v>
      </c>
      <c r="Y1719">
        <f t="shared" si="53"/>
        <v>0</v>
      </c>
    </row>
    <row r="1720" spans="1:25" x14ac:dyDescent="0.3">
      <c r="A1720" t="s">
        <v>3577</v>
      </c>
      <c r="B1720" t="s">
        <v>1098</v>
      </c>
      <c r="C1720">
        <v>191.89</v>
      </c>
      <c r="D1720" s="1">
        <v>45104.692407407405</v>
      </c>
      <c r="E1720" t="s">
        <v>25</v>
      </c>
      <c r="F1720" t="s">
        <v>250</v>
      </c>
      <c r="G1720" t="s">
        <v>1378</v>
      </c>
      <c r="H1720" t="s">
        <v>2566</v>
      </c>
      <c r="I1720" t="s">
        <v>589</v>
      </c>
      <c r="J1720" t="s">
        <v>81</v>
      </c>
      <c r="K1720">
        <v>25</v>
      </c>
      <c r="L1720" t="s">
        <v>46</v>
      </c>
      <c r="M1720">
        <v>14</v>
      </c>
      <c r="N1720">
        <v>1</v>
      </c>
      <c r="O1720">
        <v>399.57</v>
      </c>
      <c r="P1720" s="1">
        <v>45600.340219907404</v>
      </c>
      <c r="Q1720">
        <v>16</v>
      </c>
      <c r="R1720" t="s">
        <v>32</v>
      </c>
      <c r="S1720">
        <v>-0.36206589487702301</v>
      </c>
      <c r="T1720" t="b">
        <v>0</v>
      </c>
      <c r="U1720" t="b">
        <v>0</v>
      </c>
      <c r="V1720" t="b">
        <f t="shared" si="52"/>
        <v>1</v>
      </c>
      <c r="W1720">
        <v>0</v>
      </c>
      <c r="Y1720">
        <f t="shared" si="53"/>
        <v>0</v>
      </c>
    </row>
    <row r="1721" spans="1:25" x14ac:dyDescent="0.3">
      <c r="A1721" t="s">
        <v>3578</v>
      </c>
      <c r="B1721" t="s">
        <v>1520</v>
      </c>
      <c r="C1721">
        <v>304.75</v>
      </c>
      <c r="D1721" s="1">
        <v>44984.6721875</v>
      </c>
      <c r="E1721" t="s">
        <v>57</v>
      </c>
      <c r="F1721" t="s">
        <v>131</v>
      </c>
      <c r="G1721" t="s">
        <v>2295</v>
      </c>
      <c r="H1721" t="s">
        <v>52</v>
      </c>
      <c r="I1721" t="s">
        <v>1300</v>
      </c>
      <c r="J1721" t="s">
        <v>81</v>
      </c>
      <c r="K1721">
        <v>78</v>
      </c>
      <c r="L1721" t="s">
        <v>82</v>
      </c>
      <c r="M1721">
        <v>125</v>
      </c>
      <c r="N1721">
        <v>1</v>
      </c>
      <c r="O1721">
        <v>1916.34</v>
      </c>
      <c r="P1721" s="1">
        <v>45600.338206018518</v>
      </c>
      <c r="Q1721">
        <v>16</v>
      </c>
      <c r="R1721" t="s">
        <v>47</v>
      </c>
      <c r="S1721">
        <v>2.4512122680009699E-2</v>
      </c>
      <c r="T1721" t="b">
        <v>0</v>
      </c>
      <c r="U1721" t="b">
        <v>0</v>
      </c>
      <c r="V1721" t="b">
        <f t="shared" si="52"/>
        <v>1</v>
      </c>
      <c r="W1721">
        <v>0</v>
      </c>
      <c r="Y1721">
        <f t="shared" si="53"/>
        <v>0</v>
      </c>
    </row>
    <row r="1722" spans="1:25" x14ac:dyDescent="0.3">
      <c r="A1722" t="s">
        <v>3579</v>
      </c>
      <c r="B1722" t="s">
        <v>3569</v>
      </c>
      <c r="C1722">
        <v>201.53</v>
      </c>
      <c r="D1722" s="1">
        <v>45236.688692129632</v>
      </c>
      <c r="E1722" t="s">
        <v>25</v>
      </c>
      <c r="F1722" t="s">
        <v>268</v>
      </c>
      <c r="G1722" t="s">
        <v>489</v>
      </c>
      <c r="H1722" t="s">
        <v>2514</v>
      </c>
      <c r="I1722" t="s">
        <v>95</v>
      </c>
      <c r="J1722" t="s">
        <v>45</v>
      </c>
      <c r="K1722">
        <v>68</v>
      </c>
      <c r="L1722" t="s">
        <v>82</v>
      </c>
      <c r="M1722">
        <v>287</v>
      </c>
      <c r="N1722">
        <v>1</v>
      </c>
      <c r="O1722">
        <v>2732.86</v>
      </c>
      <c r="P1722" s="1">
        <v>45600.341909722221</v>
      </c>
      <c r="Q1722">
        <v>16</v>
      </c>
      <c r="R1722" t="s">
        <v>47</v>
      </c>
      <c r="S1722">
        <v>-0.32904611737170802</v>
      </c>
      <c r="T1722" t="b">
        <v>0</v>
      </c>
      <c r="U1722" t="b">
        <v>0</v>
      </c>
      <c r="V1722" t="b">
        <f t="shared" si="52"/>
        <v>1</v>
      </c>
      <c r="W1722">
        <v>0</v>
      </c>
      <c r="Y1722">
        <f t="shared" si="53"/>
        <v>0</v>
      </c>
    </row>
    <row r="1723" spans="1:25" x14ac:dyDescent="0.3">
      <c r="A1723" t="s">
        <v>3580</v>
      </c>
      <c r="B1723" t="s">
        <v>2962</v>
      </c>
      <c r="C1723">
        <v>8.4499999999999993</v>
      </c>
      <c r="D1723" s="1">
        <v>44967.739976851852</v>
      </c>
      <c r="E1723" t="s">
        <v>25</v>
      </c>
      <c r="F1723" t="s">
        <v>256</v>
      </c>
      <c r="G1723" t="s">
        <v>1387</v>
      </c>
      <c r="H1723" t="s">
        <v>407</v>
      </c>
      <c r="I1723" t="s">
        <v>167</v>
      </c>
      <c r="J1723" t="s">
        <v>30</v>
      </c>
      <c r="K1723">
        <v>22</v>
      </c>
      <c r="L1723" t="s">
        <v>46</v>
      </c>
      <c r="M1723">
        <v>141</v>
      </c>
      <c r="N1723">
        <v>1</v>
      </c>
      <c r="O1723">
        <v>1115.3</v>
      </c>
      <c r="P1723" s="1">
        <v>45600.338738425926</v>
      </c>
      <c r="Q1723">
        <v>17</v>
      </c>
      <c r="R1723" t="s">
        <v>54</v>
      </c>
      <c r="S1723">
        <v>-0.99040074815242696</v>
      </c>
      <c r="T1723" t="b">
        <v>0</v>
      </c>
      <c r="U1723" t="b">
        <v>0</v>
      </c>
      <c r="V1723" t="b">
        <f t="shared" si="52"/>
        <v>1</v>
      </c>
      <c r="W1723">
        <v>0</v>
      </c>
      <c r="Y1723">
        <f t="shared" si="53"/>
        <v>0</v>
      </c>
    </row>
    <row r="1724" spans="1:25" x14ac:dyDescent="0.3">
      <c r="A1724" t="s">
        <v>3581</v>
      </c>
      <c r="B1724" t="s">
        <v>3264</v>
      </c>
      <c r="C1724">
        <v>435.98</v>
      </c>
      <c r="D1724" s="1">
        <v>45211.686909722222</v>
      </c>
      <c r="E1724" t="s">
        <v>25</v>
      </c>
      <c r="F1724" t="s">
        <v>41</v>
      </c>
      <c r="G1724" t="s">
        <v>211</v>
      </c>
      <c r="H1724" t="s">
        <v>548</v>
      </c>
      <c r="I1724" t="s">
        <v>527</v>
      </c>
      <c r="J1724" t="s">
        <v>81</v>
      </c>
      <c r="K1724">
        <v>30</v>
      </c>
      <c r="L1724" t="s">
        <v>89</v>
      </c>
      <c r="M1724">
        <v>105</v>
      </c>
      <c r="N1724">
        <v>1</v>
      </c>
      <c r="O1724">
        <v>7334.08</v>
      </c>
      <c r="P1724" s="1">
        <v>45600.34103009259</v>
      </c>
      <c r="Q1724">
        <v>16</v>
      </c>
      <c r="R1724" t="s">
        <v>141</v>
      </c>
      <c r="S1724">
        <v>0.47401268305577998</v>
      </c>
      <c r="T1724" t="b">
        <v>0</v>
      </c>
      <c r="U1724" t="b">
        <v>0</v>
      </c>
      <c r="V1724" t="b">
        <f t="shared" si="52"/>
        <v>1</v>
      </c>
      <c r="W1724">
        <v>0</v>
      </c>
      <c r="Y1724">
        <f t="shared" si="53"/>
        <v>0</v>
      </c>
    </row>
    <row r="1725" spans="1:25" x14ac:dyDescent="0.3">
      <c r="A1725" t="s">
        <v>3582</v>
      </c>
      <c r="B1725" t="s">
        <v>1136</v>
      </c>
      <c r="C1725">
        <v>743.24</v>
      </c>
      <c r="D1725" s="1">
        <v>45114.729942129627</v>
      </c>
      <c r="E1725" t="s">
        <v>57</v>
      </c>
      <c r="F1725" t="s">
        <v>77</v>
      </c>
      <c r="G1725" t="s">
        <v>583</v>
      </c>
      <c r="H1725" t="s">
        <v>1379</v>
      </c>
      <c r="I1725" t="s">
        <v>833</v>
      </c>
      <c r="J1725" t="s">
        <v>45</v>
      </c>
      <c r="K1725">
        <v>19</v>
      </c>
      <c r="L1725" t="s">
        <v>46</v>
      </c>
      <c r="M1725">
        <v>109</v>
      </c>
      <c r="N1725">
        <v>1</v>
      </c>
      <c r="O1725">
        <v>1024.19</v>
      </c>
      <c r="P1725" s="1">
        <v>45600.339421296296</v>
      </c>
      <c r="Q1725">
        <v>17</v>
      </c>
      <c r="R1725" t="s">
        <v>54</v>
      </c>
      <c r="S1725">
        <v>1.5264667117158299</v>
      </c>
      <c r="T1725" t="b">
        <v>0</v>
      </c>
      <c r="U1725" t="b">
        <v>0</v>
      </c>
      <c r="V1725" t="b">
        <f t="shared" si="52"/>
        <v>1</v>
      </c>
      <c r="W1725">
        <v>0</v>
      </c>
      <c r="Y1725">
        <f t="shared" si="53"/>
        <v>0</v>
      </c>
    </row>
    <row r="1726" spans="1:25" x14ac:dyDescent="0.3">
      <c r="A1726" t="s">
        <v>3583</v>
      </c>
      <c r="B1726" t="s">
        <v>1340</v>
      </c>
      <c r="C1726">
        <v>16.27</v>
      </c>
      <c r="D1726" s="1">
        <v>44970.749131944445</v>
      </c>
      <c r="E1726" t="s">
        <v>25</v>
      </c>
      <c r="F1726" t="s">
        <v>58</v>
      </c>
      <c r="G1726" t="s">
        <v>1646</v>
      </c>
      <c r="H1726" t="s">
        <v>792</v>
      </c>
      <c r="I1726" t="s">
        <v>871</v>
      </c>
      <c r="J1726" t="s">
        <v>30</v>
      </c>
      <c r="K1726">
        <v>57</v>
      </c>
      <c r="L1726" t="s">
        <v>31</v>
      </c>
      <c r="M1726">
        <v>44</v>
      </c>
      <c r="N1726">
        <v>1</v>
      </c>
      <c r="O1726">
        <v>10971.32</v>
      </c>
      <c r="P1726" s="1">
        <v>45600.339629629627</v>
      </c>
      <c r="Q1726">
        <v>17</v>
      </c>
      <c r="R1726" t="s">
        <v>47</v>
      </c>
      <c r="S1726">
        <v>-0.96361499503089598</v>
      </c>
      <c r="T1726" t="b">
        <v>0</v>
      </c>
      <c r="U1726" t="b">
        <v>0</v>
      </c>
      <c r="V1726" t="b">
        <f t="shared" si="52"/>
        <v>1</v>
      </c>
      <c r="W1726">
        <v>0</v>
      </c>
      <c r="Y1726">
        <f t="shared" si="53"/>
        <v>0</v>
      </c>
    </row>
    <row r="1727" spans="1:25" x14ac:dyDescent="0.3">
      <c r="A1727" t="s">
        <v>3584</v>
      </c>
      <c r="B1727" t="s">
        <v>2656</v>
      </c>
      <c r="C1727">
        <v>290.86</v>
      </c>
      <c r="D1727" s="1">
        <v>45082.739664351851</v>
      </c>
      <c r="E1727" t="s">
        <v>25</v>
      </c>
      <c r="F1727" t="s">
        <v>120</v>
      </c>
      <c r="G1727" t="s">
        <v>217</v>
      </c>
      <c r="H1727" t="s">
        <v>1162</v>
      </c>
      <c r="I1727" t="s">
        <v>1537</v>
      </c>
      <c r="J1727" t="s">
        <v>45</v>
      </c>
      <c r="K1727">
        <v>45</v>
      </c>
      <c r="L1727" t="s">
        <v>31</v>
      </c>
      <c r="M1727">
        <v>36</v>
      </c>
      <c r="N1727">
        <v>1</v>
      </c>
      <c r="O1727">
        <v>14631.88</v>
      </c>
      <c r="P1727" s="1">
        <v>45600.340798611112</v>
      </c>
      <c r="Q1727">
        <v>17</v>
      </c>
      <c r="R1727" t="s">
        <v>47</v>
      </c>
      <c r="S1727">
        <v>-2.3065129347875999E-2</v>
      </c>
      <c r="T1727" t="b">
        <v>0</v>
      </c>
      <c r="U1727" t="b">
        <v>0</v>
      </c>
      <c r="V1727" t="b">
        <f t="shared" si="52"/>
        <v>1</v>
      </c>
      <c r="W1727">
        <v>0</v>
      </c>
      <c r="Y1727">
        <f t="shared" si="53"/>
        <v>0</v>
      </c>
    </row>
    <row r="1728" spans="1:25" x14ac:dyDescent="0.3">
      <c r="A1728" t="s">
        <v>3585</v>
      </c>
      <c r="B1728" t="s">
        <v>261</v>
      </c>
      <c r="C1728">
        <v>85.73</v>
      </c>
      <c r="D1728" s="1">
        <v>44986.673587962963</v>
      </c>
      <c r="E1728" t="s">
        <v>25</v>
      </c>
      <c r="F1728" t="s">
        <v>314</v>
      </c>
      <c r="G1728" t="s">
        <v>1318</v>
      </c>
      <c r="H1728" t="s">
        <v>513</v>
      </c>
      <c r="I1728" t="s">
        <v>753</v>
      </c>
      <c r="J1728" t="s">
        <v>30</v>
      </c>
      <c r="K1728">
        <v>41</v>
      </c>
      <c r="L1728" t="s">
        <v>31</v>
      </c>
      <c r="M1728">
        <v>266</v>
      </c>
      <c r="N1728">
        <v>1</v>
      </c>
      <c r="O1728">
        <v>14928.35</v>
      </c>
      <c r="P1728" s="1">
        <v>45600.339317129627</v>
      </c>
      <c r="Q1728">
        <v>16</v>
      </c>
      <c r="R1728" t="s">
        <v>74</v>
      </c>
      <c r="S1728">
        <v>-0.72569448201023801</v>
      </c>
      <c r="T1728" t="b">
        <v>0</v>
      </c>
      <c r="U1728" t="b">
        <v>0</v>
      </c>
      <c r="V1728" t="b">
        <f t="shared" si="52"/>
        <v>1</v>
      </c>
      <c r="W1728">
        <v>0</v>
      </c>
      <c r="Y1728">
        <f t="shared" si="53"/>
        <v>0</v>
      </c>
    </row>
    <row r="1729" spans="1:25" x14ac:dyDescent="0.3">
      <c r="A1729" t="s">
        <v>3586</v>
      </c>
      <c r="B1729" t="s">
        <v>1157</v>
      </c>
      <c r="C1729">
        <v>555.71</v>
      </c>
      <c r="D1729" s="1">
        <v>44949.733124999999</v>
      </c>
      <c r="E1729" t="s">
        <v>57</v>
      </c>
      <c r="F1729" t="s">
        <v>401</v>
      </c>
      <c r="G1729" t="s">
        <v>1224</v>
      </c>
      <c r="H1729" t="s">
        <v>306</v>
      </c>
      <c r="I1729" t="s">
        <v>775</v>
      </c>
      <c r="J1729" t="s">
        <v>81</v>
      </c>
      <c r="K1729">
        <v>22</v>
      </c>
      <c r="L1729" t="s">
        <v>46</v>
      </c>
      <c r="M1729">
        <v>73</v>
      </c>
      <c r="N1729">
        <v>1</v>
      </c>
      <c r="O1729">
        <v>830.37</v>
      </c>
      <c r="P1729" s="1">
        <v>45600.339166666665</v>
      </c>
      <c r="Q1729">
        <v>17</v>
      </c>
      <c r="R1729" t="s">
        <v>47</v>
      </c>
      <c r="S1729">
        <v>0.88412243001753399</v>
      </c>
      <c r="T1729" t="b">
        <v>0</v>
      </c>
      <c r="U1729" t="b">
        <v>0</v>
      </c>
      <c r="V1729" t="b">
        <f t="shared" si="52"/>
        <v>1</v>
      </c>
      <c r="W1729">
        <v>0</v>
      </c>
      <c r="Y1729">
        <f t="shared" si="53"/>
        <v>0</v>
      </c>
    </row>
    <row r="1730" spans="1:25" x14ac:dyDescent="0.3">
      <c r="A1730" t="s">
        <v>3587</v>
      </c>
      <c r="B1730" t="s">
        <v>881</v>
      </c>
      <c r="C1730">
        <v>40.03</v>
      </c>
      <c r="D1730" s="1">
        <v>44935.720752314817</v>
      </c>
      <c r="E1730" t="s">
        <v>25</v>
      </c>
      <c r="F1730" t="s">
        <v>309</v>
      </c>
      <c r="G1730" t="s">
        <v>1037</v>
      </c>
      <c r="H1730" t="s">
        <v>520</v>
      </c>
      <c r="I1730" t="s">
        <v>585</v>
      </c>
      <c r="J1730" t="s">
        <v>81</v>
      </c>
      <c r="K1730">
        <v>23</v>
      </c>
      <c r="L1730" t="s">
        <v>46</v>
      </c>
      <c r="M1730">
        <v>200</v>
      </c>
      <c r="N1730">
        <v>1</v>
      </c>
      <c r="O1730">
        <v>6408.8</v>
      </c>
      <c r="P1730" s="1">
        <v>45600.34175925926</v>
      </c>
      <c r="Q1730">
        <v>17</v>
      </c>
      <c r="R1730" t="s">
        <v>47</v>
      </c>
      <c r="S1730">
        <v>-0.88223014922941501</v>
      </c>
      <c r="T1730" t="b">
        <v>0</v>
      </c>
      <c r="U1730" t="b">
        <v>0</v>
      </c>
      <c r="V1730" t="b">
        <f t="shared" si="52"/>
        <v>1</v>
      </c>
      <c r="W1730">
        <v>0</v>
      </c>
      <c r="Y1730">
        <f t="shared" si="53"/>
        <v>0</v>
      </c>
    </row>
    <row r="1731" spans="1:25" x14ac:dyDescent="0.3">
      <c r="A1731" t="s">
        <v>3588</v>
      </c>
      <c r="B1731" t="s">
        <v>2103</v>
      </c>
      <c r="C1731">
        <v>73.010000000000005</v>
      </c>
      <c r="D1731" s="1">
        <v>45217.76834490741</v>
      </c>
      <c r="E1731" t="s">
        <v>57</v>
      </c>
      <c r="F1731" t="s">
        <v>191</v>
      </c>
      <c r="G1731" t="s">
        <v>1535</v>
      </c>
      <c r="H1731" t="s">
        <v>2078</v>
      </c>
      <c r="I1731" t="s">
        <v>178</v>
      </c>
      <c r="J1731" t="s">
        <v>45</v>
      </c>
      <c r="K1731">
        <v>25</v>
      </c>
      <c r="L1731" t="s">
        <v>46</v>
      </c>
      <c r="M1731">
        <v>62</v>
      </c>
      <c r="N1731">
        <v>1</v>
      </c>
      <c r="O1731">
        <v>1997.33</v>
      </c>
      <c r="P1731" s="1">
        <v>45600.340416666666</v>
      </c>
      <c r="Q1731">
        <v>18</v>
      </c>
      <c r="R1731" t="s">
        <v>74</v>
      </c>
      <c r="S1731">
        <v>-0.76926414693426304</v>
      </c>
      <c r="T1731" t="b">
        <v>0</v>
      </c>
      <c r="U1731" t="b">
        <v>0</v>
      </c>
      <c r="V1731" t="b">
        <f t="shared" ref="V1731:V1794" si="54">ISLOGICAL(T1731)</f>
        <v>1</v>
      </c>
      <c r="W1731">
        <v>0</v>
      </c>
      <c r="Y1731">
        <f t="shared" ref="Y1731:Y1794" si="55">--T1731</f>
        <v>0</v>
      </c>
    </row>
    <row r="1732" spans="1:25" x14ac:dyDescent="0.3">
      <c r="A1732" t="s">
        <v>3589</v>
      </c>
      <c r="B1732" t="s">
        <v>714</v>
      </c>
      <c r="C1732">
        <v>346.12</v>
      </c>
      <c r="D1732" s="1">
        <v>45289.746874999997</v>
      </c>
      <c r="E1732" t="s">
        <v>25</v>
      </c>
      <c r="F1732" t="s">
        <v>225</v>
      </c>
      <c r="G1732" t="s">
        <v>811</v>
      </c>
      <c r="H1732" t="s">
        <v>2293</v>
      </c>
      <c r="I1732" t="s">
        <v>665</v>
      </c>
      <c r="J1732" t="s">
        <v>81</v>
      </c>
      <c r="K1732">
        <v>44</v>
      </c>
      <c r="L1732" t="s">
        <v>31</v>
      </c>
      <c r="M1732">
        <v>12</v>
      </c>
      <c r="N1732">
        <v>1</v>
      </c>
      <c r="O1732">
        <v>13084.27</v>
      </c>
      <c r="P1732" s="1">
        <v>45600.34097222222</v>
      </c>
      <c r="Q1732">
        <v>17</v>
      </c>
      <c r="R1732" t="s">
        <v>54</v>
      </c>
      <c r="S1732">
        <v>0.16621629232677901</v>
      </c>
      <c r="T1732" t="b">
        <v>0</v>
      </c>
      <c r="U1732" t="b">
        <v>0</v>
      </c>
      <c r="V1732" t="b">
        <f t="shared" si="54"/>
        <v>1</v>
      </c>
      <c r="W1732">
        <v>0</v>
      </c>
      <c r="Y1732">
        <f t="shared" si="55"/>
        <v>0</v>
      </c>
    </row>
    <row r="1733" spans="1:25" x14ac:dyDescent="0.3">
      <c r="A1733" t="s">
        <v>3590</v>
      </c>
      <c r="B1733" t="s">
        <v>697</v>
      </c>
      <c r="C1733">
        <v>1.93</v>
      </c>
      <c r="D1733" s="1">
        <v>45218.754259259258</v>
      </c>
      <c r="E1733" t="s">
        <v>25</v>
      </c>
      <c r="F1733" t="s">
        <v>278</v>
      </c>
      <c r="G1733" t="s">
        <v>202</v>
      </c>
      <c r="H1733" t="s">
        <v>1507</v>
      </c>
      <c r="I1733" t="s">
        <v>107</v>
      </c>
      <c r="J1733" t="s">
        <v>81</v>
      </c>
      <c r="K1733">
        <v>47</v>
      </c>
      <c r="L1733" t="s">
        <v>31</v>
      </c>
      <c r="M1733">
        <v>175</v>
      </c>
      <c r="N1733">
        <v>5</v>
      </c>
      <c r="O1733">
        <v>5684.09</v>
      </c>
      <c r="P1733" s="1">
        <v>45600.339270833334</v>
      </c>
      <c r="Q1733">
        <v>18</v>
      </c>
      <c r="R1733" t="s">
        <v>141</v>
      </c>
      <c r="S1733">
        <v>-1.01273362671411</v>
      </c>
      <c r="T1733" t="b">
        <v>0</v>
      </c>
      <c r="U1733" t="b">
        <v>1</v>
      </c>
      <c r="V1733" t="b">
        <f t="shared" si="54"/>
        <v>1</v>
      </c>
      <c r="W1733">
        <v>1</v>
      </c>
      <c r="Y1733">
        <f t="shared" si="55"/>
        <v>0</v>
      </c>
    </row>
    <row r="1734" spans="1:25" x14ac:dyDescent="0.3">
      <c r="A1734" t="s">
        <v>3591</v>
      </c>
      <c r="B1734" t="s">
        <v>546</v>
      </c>
      <c r="C1734">
        <v>252.93</v>
      </c>
      <c r="D1734" s="1">
        <v>44963.670231481483</v>
      </c>
      <c r="E1734" t="s">
        <v>25</v>
      </c>
      <c r="F1734" t="s">
        <v>608</v>
      </c>
      <c r="G1734" t="s">
        <v>448</v>
      </c>
      <c r="H1734" t="s">
        <v>2742</v>
      </c>
      <c r="I1734" t="s">
        <v>366</v>
      </c>
      <c r="J1734" t="s">
        <v>30</v>
      </c>
      <c r="K1734">
        <v>75</v>
      </c>
      <c r="L1734" t="s">
        <v>82</v>
      </c>
      <c r="M1734">
        <v>222</v>
      </c>
      <c r="N1734">
        <v>1</v>
      </c>
      <c r="O1734">
        <v>2760.37</v>
      </c>
      <c r="P1734" s="1">
        <v>45600.338807870372</v>
      </c>
      <c r="Q1734">
        <v>16</v>
      </c>
      <c r="R1734" t="s">
        <v>47</v>
      </c>
      <c r="S1734">
        <v>-0.15298630785167</v>
      </c>
      <c r="T1734" t="b">
        <v>0</v>
      </c>
      <c r="U1734" t="b">
        <v>0</v>
      </c>
      <c r="V1734" t="b">
        <f t="shared" si="54"/>
        <v>1</v>
      </c>
      <c r="W1734">
        <v>0</v>
      </c>
      <c r="Y1734">
        <f t="shared" si="55"/>
        <v>0</v>
      </c>
    </row>
    <row r="1735" spans="1:25" x14ac:dyDescent="0.3">
      <c r="A1735" t="s">
        <v>3592</v>
      </c>
      <c r="B1735" t="s">
        <v>680</v>
      </c>
      <c r="C1735">
        <v>238.54</v>
      </c>
      <c r="D1735" s="1">
        <v>45023.669456018521</v>
      </c>
      <c r="E1735" t="s">
        <v>25</v>
      </c>
      <c r="F1735" t="s">
        <v>77</v>
      </c>
      <c r="G1735" t="s">
        <v>461</v>
      </c>
      <c r="H1735" t="s">
        <v>1753</v>
      </c>
      <c r="I1735" t="s">
        <v>611</v>
      </c>
      <c r="J1735" t="s">
        <v>30</v>
      </c>
      <c r="K1735">
        <v>19</v>
      </c>
      <c r="L1735" t="s">
        <v>46</v>
      </c>
      <c r="M1735">
        <v>12</v>
      </c>
      <c r="N1735">
        <v>4</v>
      </c>
      <c r="O1735">
        <v>868.91</v>
      </c>
      <c r="P1735" s="1">
        <v>45600.338402777779</v>
      </c>
      <c r="Q1735">
        <v>16</v>
      </c>
      <c r="R1735" t="s">
        <v>54</v>
      </c>
      <c r="S1735">
        <v>-0.20227620394103499</v>
      </c>
      <c r="T1735" t="b">
        <v>0</v>
      </c>
      <c r="U1735" t="b">
        <v>1</v>
      </c>
      <c r="V1735" t="b">
        <f t="shared" si="54"/>
        <v>1</v>
      </c>
      <c r="W1735">
        <v>1</v>
      </c>
      <c r="Y1735">
        <f t="shared" si="55"/>
        <v>0</v>
      </c>
    </row>
    <row r="1736" spans="1:25" x14ac:dyDescent="0.3">
      <c r="A1736" t="s">
        <v>3593</v>
      </c>
      <c r="B1736" t="s">
        <v>826</v>
      </c>
      <c r="C1736">
        <v>1011.22</v>
      </c>
      <c r="D1736" s="1">
        <v>45159.785543981481</v>
      </c>
      <c r="E1736" t="s">
        <v>25</v>
      </c>
      <c r="F1736" t="s">
        <v>268</v>
      </c>
      <c r="G1736" t="s">
        <v>609</v>
      </c>
      <c r="H1736" t="s">
        <v>596</v>
      </c>
      <c r="I1736" t="s">
        <v>239</v>
      </c>
      <c r="J1736" t="s">
        <v>81</v>
      </c>
      <c r="K1736">
        <v>61</v>
      </c>
      <c r="L1736" t="s">
        <v>82</v>
      </c>
      <c r="M1736">
        <v>129</v>
      </c>
      <c r="N1736">
        <v>1</v>
      </c>
      <c r="O1736">
        <v>5838.91</v>
      </c>
      <c r="P1736" s="1">
        <v>45600.340266203704</v>
      </c>
      <c r="Q1736">
        <v>18</v>
      </c>
      <c r="R1736" t="s">
        <v>47</v>
      </c>
      <c r="S1736">
        <v>2.4443754229060999</v>
      </c>
      <c r="T1736" t="b">
        <v>1</v>
      </c>
      <c r="U1736" t="b">
        <v>0</v>
      </c>
      <c r="V1736" t="b">
        <f t="shared" si="54"/>
        <v>1</v>
      </c>
      <c r="W1736">
        <v>1</v>
      </c>
      <c r="Y1736">
        <f t="shared" si="55"/>
        <v>1</v>
      </c>
    </row>
    <row r="1737" spans="1:25" x14ac:dyDescent="0.3">
      <c r="A1737" t="s">
        <v>3594</v>
      </c>
      <c r="B1737" t="s">
        <v>1134</v>
      </c>
      <c r="C1737">
        <v>58.7</v>
      </c>
      <c r="D1737" s="1">
        <v>44988.666678240741</v>
      </c>
      <c r="E1737" t="s">
        <v>25</v>
      </c>
      <c r="F1737" t="s">
        <v>216</v>
      </c>
      <c r="G1737" t="s">
        <v>1721</v>
      </c>
      <c r="H1737" t="s">
        <v>300</v>
      </c>
      <c r="I1737" t="s">
        <v>589</v>
      </c>
      <c r="J1737" t="s">
        <v>81</v>
      </c>
      <c r="K1737">
        <v>67</v>
      </c>
      <c r="L1737" t="s">
        <v>31</v>
      </c>
      <c r="M1737">
        <v>141</v>
      </c>
      <c r="N1737">
        <v>1</v>
      </c>
      <c r="O1737">
        <v>8937.35</v>
      </c>
      <c r="P1737" s="1">
        <v>45600.338333333333</v>
      </c>
      <c r="Q1737">
        <v>16</v>
      </c>
      <c r="R1737" t="s">
        <v>54</v>
      </c>
      <c r="S1737">
        <v>-0.81828001997379096</v>
      </c>
      <c r="T1737" t="b">
        <v>0</v>
      </c>
      <c r="U1737" t="b">
        <v>0</v>
      </c>
      <c r="V1737" t="b">
        <f t="shared" si="54"/>
        <v>1</v>
      </c>
      <c r="W1737">
        <v>0</v>
      </c>
      <c r="Y1737">
        <f t="shared" si="55"/>
        <v>0</v>
      </c>
    </row>
    <row r="1738" spans="1:25" x14ac:dyDescent="0.3">
      <c r="A1738" t="s">
        <v>3595</v>
      </c>
      <c r="B1738" t="s">
        <v>497</v>
      </c>
      <c r="C1738">
        <v>7.56</v>
      </c>
      <c r="D1738" s="1">
        <v>44963.693576388891</v>
      </c>
      <c r="E1738" t="s">
        <v>25</v>
      </c>
      <c r="F1738" t="s">
        <v>191</v>
      </c>
      <c r="G1738" t="s">
        <v>2257</v>
      </c>
      <c r="H1738" t="s">
        <v>976</v>
      </c>
      <c r="I1738" t="s">
        <v>285</v>
      </c>
      <c r="J1738" t="s">
        <v>30</v>
      </c>
      <c r="K1738">
        <v>40</v>
      </c>
      <c r="L1738" t="s">
        <v>31</v>
      </c>
      <c r="M1738">
        <v>145</v>
      </c>
      <c r="N1738">
        <v>1</v>
      </c>
      <c r="O1738">
        <v>8528.7199999999993</v>
      </c>
      <c r="P1738" s="1">
        <v>45600.338414351849</v>
      </c>
      <c r="Q1738">
        <v>16</v>
      </c>
      <c r="R1738" t="s">
        <v>47</v>
      </c>
      <c r="S1738">
        <v>-0.99344925458185995</v>
      </c>
      <c r="T1738" t="b">
        <v>0</v>
      </c>
      <c r="U1738" t="b">
        <v>0</v>
      </c>
      <c r="V1738" t="b">
        <f t="shared" si="54"/>
        <v>1</v>
      </c>
      <c r="W1738">
        <v>0</v>
      </c>
      <c r="Y1738">
        <f t="shared" si="55"/>
        <v>0</v>
      </c>
    </row>
    <row r="1739" spans="1:25" x14ac:dyDescent="0.3">
      <c r="A1739" t="s">
        <v>3596</v>
      </c>
      <c r="B1739" t="s">
        <v>714</v>
      </c>
      <c r="C1739">
        <v>540.4</v>
      </c>
      <c r="D1739" s="1">
        <v>44979.696030092593</v>
      </c>
      <c r="E1739" t="s">
        <v>25</v>
      </c>
      <c r="F1739" t="s">
        <v>35</v>
      </c>
      <c r="G1739" t="s">
        <v>840</v>
      </c>
      <c r="H1739" t="s">
        <v>1832</v>
      </c>
      <c r="I1739" t="s">
        <v>898</v>
      </c>
      <c r="J1739" t="s">
        <v>81</v>
      </c>
      <c r="K1739">
        <v>45</v>
      </c>
      <c r="L1739" t="s">
        <v>31</v>
      </c>
      <c r="M1739">
        <v>272</v>
      </c>
      <c r="N1739">
        <v>1</v>
      </c>
      <c r="O1739">
        <v>425.77</v>
      </c>
      <c r="P1739" s="1">
        <v>45600.338101851848</v>
      </c>
      <c r="Q1739">
        <v>16</v>
      </c>
      <c r="R1739" t="s">
        <v>74</v>
      </c>
      <c r="S1739">
        <v>0.83168126885504801</v>
      </c>
      <c r="T1739" t="b">
        <v>0</v>
      </c>
      <c r="U1739" t="b">
        <v>0</v>
      </c>
      <c r="V1739" t="b">
        <f t="shared" si="54"/>
        <v>1</v>
      </c>
      <c r="W1739">
        <v>0</v>
      </c>
      <c r="Y1739">
        <f t="shared" si="55"/>
        <v>0</v>
      </c>
    </row>
    <row r="1740" spans="1:25" x14ac:dyDescent="0.3">
      <c r="A1740" t="s">
        <v>3597</v>
      </c>
      <c r="B1740" t="s">
        <v>3345</v>
      </c>
      <c r="C1740">
        <v>264.14</v>
      </c>
      <c r="D1740" s="1">
        <v>45135.733680555553</v>
      </c>
      <c r="E1740" t="s">
        <v>25</v>
      </c>
      <c r="F1740" t="s">
        <v>210</v>
      </c>
      <c r="G1740" t="s">
        <v>2960</v>
      </c>
      <c r="H1740" t="s">
        <v>1569</v>
      </c>
      <c r="I1740" t="s">
        <v>399</v>
      </c>
      <c r="J1740" t="s">
        <v>30</v>
      </c>
      <c r="K1740">
        <v>64</v>
      </c>
      <c r="L1740" t="s">
        <v>31</v>
      </c>
      <c r="M1740">
        <v>125</v>
      </c>
      <c r="N1740">
        <v>1</v>
      </c>
      <c r="O1740">
        <v>8459.26</v>
      </c>
      <c r="P1740" s="1">
        <v>45600.338437500002</v>
      </c>
      <c r="Q1740">
        <v>17</v>
      </c>
      <c r="R1740" t="s">
        <v>54</v>
      </c>
      <c r="S1740">
        <v>-0.11458882799331201</v>
      </c>
      <c r="T1740" t="b">
        <v>0</v>
      </c>
      <c r="U1740" t="b">
        <v>0</v>
      </c>
      <c r="V1740" t="b">
        <f t="shared" si="54"/>
        <v>1</v>
      </c>
      <c r="W1740">
        <v>0</v>
      </c>
      <c r="Y1740">
        <f t="shared" si="55"/>
        <v>0</v>
      </c>
    </row>
    <row r="1741" spans="1:25" x14ac:dyDescent="0.3">
      <c r="A1741" t="s">
        <v>3598</v>
      </c>
      <c r="B1741" t="s">
        <v>3599</v>
      </c>
      <c r="C1741">
        <v>248.15</v>
      </c>
      <c r="D1741" s="1">
        <v>45092.695138888892</v>
      </c>
      <c r="E1741" t="s">
        <v>25</v>
      </c>
      <c r="F1741" t="s">
        <v>191</v>
      </c>
      <c r="G1741" t="s">
        <v>1197</v>
      </c>
      <c r="H1741" t="s">
        <v>1259</v>
      </c>
      <c r="I1741" t="s">
        <v>775</v>
      </c>
      <c r="J1741" t="s">
        <v>30</v>
      </c>
      <c r="K1741">
        <v>75</v>
      </c>
      <c r="L1741" t="s">
        <v>82</v>
      </c>
      <c r="M1741">
        <v>202</v>
      </c>
      <c r="N1741">
        <v>1</v>
      </c>
      <c r="O1741">
        <v>2649.23</v>
      </c>
      <c r="P1741" s="1">
        <v>45600.339502314811</v>
      </c>
      <c r="Q1741">
        <v>16</v>
      </c>
      <c r="R1741" t="s">
        <v>141</v>
      </c>
      <c r="S1741">
        <v>-0.169359185079409</v>
      </c>
      <c r="T1741" t="b">
        <v>0</v>
      </c>
      <c r="U1741" t="b">
        <v>0</v>
      </c>
      <c r="V1741" t="b">
        <f t="shared" si="54"/>
        <v>1</v>
      </c>
      <c r="W1741">
        <v>0</v>
      </c>
      <c r="Y1741">
        <f t="shared" si="55"/>
        <v>0</v>
      </c>
    </row>
    <row r="1742" spans="1:25" x14ac:dyDescent="0.3">
      <c r="A1742" t="s">
        <v>3600</v>
      </c>
      <c r="B1742" t="s">
        <v>1160</v>
      </c>
      <c r="C1742">
        <v>24.34</v>
      </c>
      <c r="D1742" s="1">
        <v>45259.718773148146</v>
      </c>
      <c r="E1742" t="s">
        <v>25</v>
      </c>
      <c r="F1742" t="s">
        <v>50</v>
      </c>
      <c r="G1742" t="s">
        <v>726</v>
      </c>
      <c r="H1742" t="s">
        <v>3601</v>
      </c>
      <c r="I1742" t="s">
        <v>280</v>
      </c>
      <c r="J1742" t="s">
        <v>81</v>
      </c>
      <c r="K1742">
        <v>54</v>
      </c>
      <c r="L1742" t="s">
        <v>89</v>
      </c>
      <c r="M1742">
        <v>110</v>
      </c>
      <c r="N1742">
        <v>1</v>
      </c>
      <c r="O1742">
        <v>6659.12</v>
      </c>
      <c r="P1742" s="1">
        <v>45600.339849537035</v>
      </c>
      <c r="Q1742">
        <v>17</v>
      </c>
      <c r="R1742" t="s">
        <v>74</v>
      </c>
      <c r="S1742">
        <v>-0.93597291987862596</v>
      </c>
      <c r="T1742" t="b">
        <v>0</v>
      </c>
      <c r="U1742" t="b">
        <v>0</v>
      </c>
      <c r="V1742" t="b">
        <f t="shared" si="54"/>
        <v>1</v>
      </c>
      <c r="W1742">
        <v>0</v>
      </c>
      <c r="Y1742">
        <f t="shared" si="55"/>
        <v>0</v>
      </c>
    </row>
    <row r="1743" spans="1:25" x14ac:dyDescent="0.3">
      <c r="A1743" t="s">
        <v>3602</v>
      </c>
      <c r="B1743" t="s">
        <v>1040</v>
      </c>
      <c r="C1743">
        <v>428.61</v>
      </c>
      <c r="D1743" s="1">
        <v>44935.675000000003</v>
      </c>
      <c r="E1743" t="s">
        <v>25</v>
      </c>
      <c r="F1743" t="s">
        <v>170</v>
      </c>
      <c r="G1743" t="s">
        <v>1872</v>
      </c>
      <c r="H1743" t="s">
        <v>1589</v>
      </c>
      <c r="I1743" t="s">
        <v>38</v>
      </c>
      <c r="J1743" t="s">
        <v>30</v>
      </c>
      <c r="K1743">
        <v>66</v>
      </c>
      <c r="L1743" t="s">
        <v>31</v>
      </c>
      <c r="M1743">
        <v>62</v>
      </c>
      <c r="N1743">
        <v>1</v>
      </c>
      <c r="O1743">
        <v>11937.04</v>
      </c>
      <c r="P1743" s="1">
        <v>45600.340069444443</v>
      </c>
      <c r="Q1743">
        <v>16</v>
      </c>
      <c r="R1743" t="s">
        <v>47</v>
      </c>
      <c r="S1743">
        <v>0.44876830958957997</v>
      </c>
      <c r="T1743" t="b">
        <v>0</v>
      </c>
      <c r="U1743" t="b">
        <v>0</v>
      </c>
      <c r="V1743" t="b">
        <f t="shared" si="54"/>
        <v>1</v>
      </c>
      <c r="W1743">
        <v>0</v>
      </c>
      <c r="Y1743">
        <f t="shared" si="55"/>
        <v>0</v>
      </c>
    </row>
    <row r="1744" spans="1:25" x14ac:dyDescent="0.3">
      <c r="A1744" t="s">
        <v>3603</v>
      </c>
      <c r="B1744" t="s">
        <v>397</v>
      </c>
      <c r="C1744">
        <v>117.66</v>
      </c>
      <c r="D1744" s="1">
        <v>45141.763807870368</v>
      </c>
      <c r="E1744" t="s">
        <v>57</v>
      </c>
      <c r="F1744" t="s">
        <v>104</v>
      </c>
      <c r="G1744" t="s">
        <v>3412</v>
      </c>
      <c r="H1744" t="s">
        <v>520</v>
      </c>
      <c r="I1744" t="s">
        <v>253</v>
      </c>
      <c r="J1744" t="s">
        <v>81</v>
      </c>
      <c r="K1744">
        <v>39</v>
      </c>
      <c r="L1744" t="s">
        <v>31</v>
      </c>
      <c r="M1744">
        <v>126</v>
      </c>
      <c r="N1744">
        <v>1</v>
      </c>
      <c r="O1744">
        <v>6794.17</v>
      </c>
      <c r="P1744" s="1">
        <v>45600.338831018518</v>
      </c>
      <c r="Q1744">
        <v>18</v>
      </c>
      <c r="R1744" t="s">
        <v>141</v>
      </c>
      <c r="S1744">
        <v>-0.616325032244191</v>
      </c>
      <c r="T1744" t="b">
        <v>0</v>
      </c>
      <c r="U1744" t="b">
        <v>0</v>
      </c>
      <c r="V1744" t="b">
        <f t="shared" si="54"/>
        <v>1</v>
      </c>
      <c r="W1744">
        <v>0</v>
      </c>
      <c r="Y1744">
        <f t="shared" si="55"/>
        <v>0</v>
      </c>
    </row>
    <row r="1745" spans="1:25" x14ac:dyDescent="0.3">
      <c r="A1745" t="s">
        <v>3604</v>
      </c>
      <c r="B1745" t="s">
        <v>2110</v>
      </c>
      <c r="C1745">
        <v>165.8</v>
      </c>
      <c r="D1745" s="1">
        <v>45050.740451388891</v>
      </c>
      <c r="E1745" t="s">
        <v>25</v>
      </c>
      <c r="F1745" t="s">
        <v>92</v>
      </c>
      <c r="G1745" t="s">
        <v>2575</v>
      </c>
      <c r="H1745" t="s">
        <v>1877</v>
      </c>
      <c r="I1745" t="s">
        <v>383</v>
      </c>
      <c r="J1745" t="s">
        <v>45</v>
      </c>
      <c r="K1745">
        <v>60</v>
      </c>
      <c r="L1745" t="s">
        <v>89</v>
      </c>
      <c r="M1745">
        <v>287</v>
      </c>
      <c r="N1745">
        <v>1</v>
      </c>
      <c r="O1745">
        <v>2064.7600000000002</v>
      </c>
      <c r="P1745" s="1">
        <v>45600.338854166665</v>
      </c>
      <c r="Q1745">
        <v>17</v>
      </c>
      <c r="R1745" t="s">
        <v>141</v>
      </c>
      <c r="S1745">
        <v>-0.45143166200499502</v>
      </c>
      <c r="T1745" t="b">
        <v>0</v>
      </c>
      <c r="U1745" t="b">
        <v>0</v>
      </c>
      <c r="V1745" t="b">
        <f t="shared" si="54"/>
        <v>1</v>
      </c>
      <c r="W1745">
        <v>0</v>
      </c>
      <c r="Y1745">
        <f t="shared" si="55"/>
        <v>0</v>
      </c>
    </row>
    <row r="1746" spans="1:25" x14ac:dyDescent="0.3">
      <c r="A1746" t="s">
        <v>3605</v>
      </c>
      <c r="B1746" t="s">
        <v>1234</v>
      </c>
      <c r="C1746">
        <v>289.18</v>
      </c>
      <c r="D1746" s="1">
        <v>45167.679108796299</v>
      </c>
      <c r="E1746" t="s">
        <v>25</v>
      </c>
      <c r="F1746" t="s">
        <v>210</v>
      </c>
      <c r="G1746" t="s">
        <v>1474</v>
      </c>
      <c r="H1746" t="s">
        <v>1956</v>
      </c>
      <c r="I1746" t="s">
        <v>665</v>
      </c>
      <c r="J1746" t="s">
        <v>30</v>
      </c>
      <c r="K1746">
        <v>65</v>
      </c>
      <c r="L1746" t="s">
        <v>82</v>
      </c>
      <c r="M1746">
        <v>64</v>
      </c>
      <c r="N1746">
        <v>1</v>
      </c>
      <c r="O1746">
        <v>3139.75</v>
      </c>
      <c r="P1746" s="1">
        <v>45600.341099537036</v>
      </c>
      <c r="Q1746">
        <v>16</v>
      </c>
      <c r="R1746" t="s">
        <v>32</v>
      </c>
      <c r="S1746">
        <v>-2.88196133944453E-2</v>
      </c>
      <c r="T1746" t="b">
        <v>0</v>
      </c>
      <c r="U1746" t="b">
        <v>0</v>
      </c>
      <c r="V1746" t="b">
        <f t="shared" si="54"/>
        <v>1</v>
      </c>
      <c r="W1746">
        <v>0</v>
      </c>
      <c r="Y1746">
        <f t="shared" si="55"/>
        <v>0</v>
      </c>
    </row>
    <row r="1747" spans="1:25" x14ac:dyDescent="0.3">
      <c r="A1747" t="s">
        <v>3606</v>
      </c>
      <c r="B1747" t="s">
        <v>350</v>
      </c>
      <c r="C1747">
        <v>125.39</v>
      </c>
      <c r="D1747" s="1">
        <v>45138.703055555554</v>
      </c>
      <c r="E1747" t="s">
        <v>25</v>
      </c>
      <c r="F1747" t="s">
        <v>153</v>
      </c>
      <c r="G1747" t="s">
        <v>1058</v>
      </c>
      <c r="H1747" t="s">
        <v>976</v>
      </c>
      <c r="I1747" t="s">
        <v>321</v>
      </c>
      <c r="J1747" t="s">
        <v>30</v>
      </c>
      <c r="K1747">
        <v>21</v>
      </c>
      <c r="L1747" t="s">
        <v>46</v>
      </c>
      <c r="M1747">
        <v>140</v>
      </c>
      <c r="N1747">
        <v>1</v>
      </c>
      <c r="O1747">
        <v>202.69</v>
      </c>
      <c r="P1747" s="1">
        <v>45600.338067129633</v>
      </c>
      <c r="Q1747">
        <v>16</v>
      </c>
      <c r="R1747" t="s">
        <v>47</v>
      </c>
      <c r="S1747">
        <v>-0.58984755505372599</v>
      </c>
      <c r="T1747" t="b">
        <v>0</v>
      </c>
      <c r="U1747" t="b">
        <v>0</v>
      </c>
      <c r="V1747" t="b">
        <f t="shared" si="54"/>
        <v>1</v>
      </c>
      <c r="W1747">
        <v>0</v>
      </c>
      <c r="Y1747">
        <f t="shared" si="55"/>
        <v>0</v>
      </c>
    </row>
    <row r="1748" spans="1:25" x14ac:dyDescent="0.3">
      <c r="A1748" t="s">
        <v>3607</v>
      </c>
      <c r="B1748" t="s">
        <v>2708</v>
      </c>
      <c r="C1748">
        <v>305.18</v>
      </c>
      <c r="D1748" s="1">
        <v>45082.742048611108</v>
      </c>
      <c r="E1748" t="s">
        <v>25</v>
      </c>
      <c r="F1748" t="s">
        <v>278</v>
      </c>
      <c r="G1748" t="s">
        <v>3608</v>
      </c>
      <c r="H1748" t="s">
        <v>294</v>
      </c>
      <c r="I1748" t="s">
        <v>162</v>
      </c>
      <c r="J1748" t="s">
        <v>45</v>
      </c>
      <c r="K1748">
        <v>58</v>
      </c>
      <c r="L1748" t="s">
        <v>82</v>
      </c>
      <c r="M1748">
        <v>216</v>
      </c>
      <c r="N1748">
        <v>1</v>
      </c>
      <c r="O1748">
        <v>4474.2</v>
      </c>
      <c r="P1748" s="1">
        <v>45600.339143518519</v>
      </c>
      <c r="Q1748">
        <v>17</v>
      </c>
      <c r="R1748" t="s">
        <v>47</v>
      </c>
      <c r="S1748">
        <v>2.59849965728816E-2</v>
      </c>
      <c r="T1748" t="b">
        <v>0</v>
      </c>
      <c r="U1748" t="b">
        <v>0</v>
      </c>
      <c r="V1748" t="b">
        <f t="shared" si="54"/>
        <v>1</v>
      </c>
      <c r="W1748">
        <v>0</v>
      </c>
      <c r="Y1748">
        <f t="shared" si="55"/>
        <v>0</v>
      </c>
    </row>
    <row r="1749" spans="1:25" x14ac:dyDescent="0.3">
      <c r="A1749" t="s">
        <v>3609</v>
      </c>
      <c r="B1749" t="s">
        <v>1657</v>
      </c>
      <c r="C1749">
        <v>506.9</v>
      </c>
      <c r="D1749" s="1">
        <v>45231.739421296297</v>
      </c>
      <c r="E1749" t="s">
        <v>57</v>
      </c>
      <c r="F1749" t="s">
        <v>35</v>
      </c>
      <c r="G1749" t="s">
        <v>2205</v>
      </c>
      <c r="H1749" t="s">
        <v>1085</v>
      </c>
      <c r="I1749" t="s">
        <v>871</v>
      </c>
      <c r="J1749" t="s">
        <v>81</v>
      </c>
      <c r="K1749">
        <v>64</v>
      </c>
      <c r="L1749" t="s">
        <v>31</v>
      </c>
      <c r="M1749">
        <v>56</v>
      </c>
      <c r="N1749">
        <v>1</v>
      </c>
      <c r="O1749">
        <v>11471.87</v>
      </c>
      <c r="P1749" s="1">
        <v>45600.340381944443</v>
      </c>
      <c r="Q1749">
        <v>17</v>
      </c>
      <c r="R1749" t="s">
        <v>74</v>
      </c>
      <c r="S1749">
        <v>0.71693411673595697</v>
      </c>
      <c r="T1749" t="b">
        <v>0</v>
      </c>
      <c r="U1749" t="b">
        <v>0</v>
      </c>
      <c r="V1749" t="b">
        <f t="shared" si="54"/>
        <v>1</v>
      </c>
      <c r="W1749">
        <v>0</v>
      </c>
      <c r="Y1749">
        <f t="shared" si="55"/>
        <v>0</v>
      </c>
    </row>
    <row r="1750" spans="1:25" x14ac:dyDescent="0.3">
      <c r="A1750" t="s">
        <v>3610</v>
      </c>
      <c r="B1750" t="s">
        <v>3299</v>
      </c>
      <c r="C1750">
        <v>504.12</v>
      </c>
      <c r="D1750" s="1">
        <v>45030.733217592591</v>
      </c>
      <c r="E1750" t="s">
        <v>57</v>
      </c>
      <c r="F1750" t="s">
        <v>210</v>
      </c>
      <c r="G1750" t="s">
        <v>919</v>
      </c>
      <c r="H1750" t="s">
        <v>1089</v>
      </c>
      <c r="I1750" t="s">
        <v>194</v>
      </c>
      <c r="J1750" t="s">
        <v>81</v>
      </c>
      <c r="K1750">
        <v>25</v>
      </c>
      <c r="L1750" t="s">
        <v>46</v>
      </c>
      <c r="M1750">
        <v>101</v>
      </c>
      <c r="N1750">
        <v>1</v>
      </c>
      <c r="O1750">
        <v>1107.28</v>
      </c>
      <c r="P1750" s="1">
        <v>45600.340752314813</v>
      </c>
      <c r="Q1750">
        <v>17</v>
      </c>
      <c r="R1750" t="s">
        <v>54</v>
      </c>
      <c r="S1750">
        <v>0.70741181575413403</v>
      </c>
      <c r="T1750" t="b">
        <v>0</v>
      </c>
      <c r="U1750" t="b">
        <v>0</v>
      </c>
      <c r="V1750" t="b">
        <f t="shared" si="54"/>
        <v>1</v>
      </c>
      <c r="W1750">
        <v>0</v>
      </c>
      <c r="Y1750">
        <f t="shared" si="55"/>
        <v>0</v>
      </c>
    </row>
    <row r="1751" spans="1:25" x14ac:dyDescent="0.3">
      <c r="A1751" t="s">
        <v>3611</v>
      </c>
      <c r="B1751" t="s">
        <v>1807</v>
      </c>
      <c r="C1751">
        <v>42.09</v>
      </c>
      <c r="D1751" s="1">
        <v>44946.771817129629</v>
      </c>
      <c r="E1751" t="s">
        <v>25</v>
      </c>
      <c r="F1751" t="s">
        <v>126</v>
      </c>
      <c r="G1751" t="s">
        <v>1148</v>
      </c>
      <c r="H1751" t="s">
        <v>2117</v>
      </c>
      <c r="I1751" t="s">
        <v>259</v>
      </c>
      <c r="J1751" t="s">
        <v>81</v>
      </c>
      <c r="K1751">
        <v>29</v>
      </c>
      <c r="L1751" t="s">
        <v>89</v>
      </c>
      <c r="M1751">
        <v>118</v>
      </c>
      <c r="N1751">
        <v>1</v>
      </c>
      <c r="O1751">
        <v>5526.28</v>
      </c>
      <c r="P1751" s="1">
        <v>45600.338078703702</v>
      </c>
      <c r="Q1751">
        <v>18</v>
      </c>
      <c r="R1751" t="s">
        <v>54</v>
      </c>
      <c r="S1751">
        <v>-0.87517405569612206</v>
      </c>
      <c r="T1751" t="b">
        <v>0</v>
      </c>
      <c r="U1751" t="b">
        <v>0</v>
      </c>
      <c r="V1751" t="b">
        <f t="shared" si="54"/>
        <v>1</v>
      </c>
      <c r="W1751">
        <v>0</v>
      </c>
      <c r="Y1751">
        <f t="shared" si="55"/>
        <v>0</v>
      </c>
    </row>
    <row r="1752" spans="1:25" x14ac:dyDescent="0.3">
      <c r="A1752" t="s">
        <v>3612</v>
      </c>
      <c r="B1752" t="s">
        <v>3478</v>
      </c>
      <c r="C1752">
        <v>607.28</v>
      </c>
      <c r="D1752" s="1">
        <v>44949.699432870373</v>
      </c>
      <c r="E1752" t="s">
        <v>25</v>
      </c>
      <c r="F1752" t="s">
        <v>210</v>
      </c>
      <c r="G1752" t="s">
        <v>2617</v>
      </c>
      <c r="H1752" t="s">
        <v>382</v>
      </c>
      <c r="I1752" t="s">
        <v>647</v>
      </c>
      <c r="J1752" t="s">
        <v>30</v>
      </c>
      <c r="K1752">
        <v>32</v>
      </c>
      <c r="L1752" t="s">
        <v>31</v>
      </c>
      <c r="M1752">
        <v>84</v>
      </c>
      <c r="N1752">
        <v>1</v>
      </c>
      <c r="O1752">
        <v>9679.68</v>
      </c>
      <c r="P1752" s="1">
        <v>45600.340462962966</v>
      </c>
      <c r="Q1752">
        <v>16</v>
      </c>
      <c r="R1752" t="s">
        <v>47</v>
      </c>
      <c r="S1752">
        <v>1.0607645385184701</v>
      </c>
      <c r="T1752" t="b">
        <v>0</v>
      </c>
      <c r="U1752" t="b">
        <v>0</v>
      </c>
      <c r="V1752" t="b">
        <f t="shared" si="54"/>
        <v>1</v>
      </c>
      <c r="W1752">
        <v>0</v>
      </c>
      <c r="Y1752">
        <f t="shared" si="55"/>
        <v>0</v>
      </c>
    </row>
    <row r="1753" spans="1:25" x14ac:dyDescent="0.3">
      <c r="A1753" t="s">
        <v>3613</v>
      </c>
      <c r="B1753" t="s">
        <v>409</v>
      </c>
      <c r="C1753">
        <v>91.9</v>
      </c>
      <c r="D1753" s="1">
        <v>45061.679895833331</v>
      </c>
      <c r="E1753" t="s">
        <v>25</v>
      </c>
      <c r="F1753" t="s">
        <v>278</v>
      </c>
      <c r="G1753" t="s">
        <v>1204</v>
      </c>
      <c r="H1753" t="s">
        <v>731</v>
      </c>
      <c r="I1753" t="s">
        <v>321</v>
      </c>
      <c r="J1753" t="s">
        <v>45</v>
      </c>
      <c r="K1753">
        <v>77</v>
      </c>
      <c r="L1753" t="s">
        <v>82</v>
      </c>
      <c r="M1753">
        <v>125</v>
      </c>
      <c r="N1753">
        <v>1</v>
      </c>
      <c r="O1753">
        <v>1033.94</v>
      </c>
      <c r="P1753" s="1">
        <v>45600.340833333335</v>
      </c>
      <c r="Q1753">
        <v>16</v>
      </c>
      <c r="R1753" t="s">
        <v>47</v>
      </c>
      <c r="S1753">
        <v>-0.70456045429158698</v>
      </c>
      <c r="T1753" t="b">
        <v>0</v>
      </c>
      <c r="U1753" t="b">
        <v>0</v>
      </c>
      <c r="V1753" t="b">
        <f t="shared" si="54"/>
        <v>1</v>
      </c>
      <c r="W1753">
        <v>0</v>
      </c>
      <c r="Y1753">
        <f t="shared" si="55"/>
        <v>0</v>
      </c>
    </row>
    <row r="1754" spans="1:25" x14ac:dyDescent="0.3">
      <c r="A1754" t="s">
        <v>3614</v>
      </c>
      <c r="B1754" t="s">
        <v>1574</v>
      </c>
      <c r="C1754">
        <v>303.43</v>
      </c>
      <c r="D1754" s="1">
        <v>45083.731215277781</v>
      </c>
      <c r="E1754" t="s">
        <v>25</v>
      </c>
      <c r="F1754" t="s">
        <v>314</v>
      </c>
      <c r="G1754" t="s">
        <v>3615</v>
      </c>
      <c r="H1754" t="s">
        <v>1427</v>
      </c>
      <c r="I1754" t="s">
        <v>188</v>
      </c>
      <c r="J1754" t="s">
        <v>81</v>
      </c>
      <c r="K1754">
        <v>22</v>
      </c>
      <c r="L1754" t="s">
        <v>46</v>
      </c>
      <c r="M1754">
        <v>30</v>
      </c>
      <c r="N1754">
        <v>1</v>
      </c>
      <c r="O1754">
        <v>1833.24</v>
      </c>
      <c r="P1754" s="1">
        <v>45600.339016203703</v>
      </c>
      <c r="Q1754">
        <v>17</v>
      </c>
      <c r="R1754" t="s">
        <v>32</v>
      </c>
      <c r="S1754">
        <v>1.9990742357705201E-2</v>
      </c>
      <c r="T1754" t="b">
        <v>0</v>
      </c>
      <c r="U1754" t="b">
        <v>0</v>
      </c>
      <c r="V1754" t="b">
        <f t="shared" si="54"/>
        <v>1</v>
      </c>
      <c r="W1754">
        <v>0</v>
      </c>
      <c r="Y1754">
        <f t="shared" si="55"/>
        <v>0</v>
      </c>
    </row>
    <row r="1755" spans="1:25" x14ac:dyDescent="0.3">
      <c r="A1755" t="s">
        <v>3616</v>
      </c>
      <c r="B1755" t="s">
        <v>861</v>
      </c>
      <c r="C1755">
        <v>668.78</v>
      </c>
      <c r="D1755" s="1">
        <v>45222.725740740738</v>
      </c>
      <c r="E1755" t="s">
        <v>25</v>
      </c>
      <c r="F1755" t="s">
        <v>41</v>
      </c>
      <c r="G1755" t="s">
        <v>1116</v>
      </c>
      <c r="H1755" t="s">
        <v>2003</v>
      </c>
      <c r="I1755" t="s">
        <v>222</v>
      </c>
      <c r="J1755" t="s">
        <v>30</v>
      </c>
      <c r="K1755">
        <v>20</v>
      </c>
      <c r="L1755" t="s">
        <v>46</v>
      </c>
      <c r="M1755">
        <v>141</v>
      </c>
      <c r="N1755">
        <v>1</v>
      </c>
      <c r="O1755">
        <v>983.68</v>
      </c>
      <c r="P1755" s="1">
        <v>45600.339722222219</v>
      </c>
      <c r="Q1755">
        <v>17</v>
      </c>
      <c r="R1755" t="s">
        <v>47</v>
      </c>
      <c r="S1755">
        <v>1.2714197580803801</v>
      </c>
      <c r="T1755" t="b">
        <v>0</v>
      </c>
      <c r="U1755" t="b">
        <v>0</v>
      </c>
      <c r="V1755" t="b">
        <f t="shared" si="54"/>
        <v>1</v>
      </c>
      <c r="W1755">
        <v>0</v>
      </c>
      <c r="Y1755">
        <f t="shared" si="55"/>
        <v>0</v>
      </c>
    </row>
    <row r="1756" spans="1:25" x14ac:dyDescent="0.3">
      <c r="A1756" t="s">
        <v>3617</v>
      </c>
      <c r="B1756" t="s">
        <v>725</v>
      </c>
      <c r="C1756">
        <v>270.54000000000002</v>
      </c>
      <c r="D1756" s="1">
        <v>45019.765300925923</v>
      </c>
      <c r="E1756" t="s">
        <v>57</v>
      </c>
      <c r="F1756" t="s">
        <v>298</v>
      </c>
      <c r="G1756" t="s">
        <v>1784</v>
      </c>
      <c r="H1756" t="s">
        <v>3618</v>
      </c>
      <c r="I1756" t="s">
        <v>556</v>
      </c>
      <c r="J1756" t="s">
        <v>30</v>
      </c>
      <c r="K1756">
        <v>20</v>
      </c>
      <c r="L1756" t="s">
        <v>46</v>
      </c>
      <c r="M1756">
        <v>139</v>
      </c>
      <c r="N1756">
        <v>1</v>
      </c>
      <c r="O1756">
        <v>269.77999999999997</v>
      </c>
      <c r="P1756" s="1">
        <v>45600.340069444443</v>
      </c>
      <c r="Q1756">
        <v>18</v>
      </c>
      <c r="R1756" t="s">
        <v>47</v>
      </c>
      <c r="S1756">
        <v>-9.2666984006381195E-2</v>
      </c>
      <c r="T1756" t="b">
        <v>0</v>
      </c>
      <c r="U1756" t="b">
        <v>0</v>
      </c>
      <c r="V1756" t="b">
        <f t="shared" si="54"/>
        <v>1</v>
      </c>
      <c r="W1756">
        <v>0</v>
      </c>
      <c r="Y1756">
        <f t="shared" si="55"/>
        <v>0</v>
      </c>
    </row>
    <row r="1757" spans="1:25" x14ac:dyDescent="0.3">
      <c r="A1757" t="s">
        <v>3619</v>
      </c>
      <c r="B1757" t="s">
        <v>245</v>
      </c>
      <c r="C1757">
        <v>247.93</v>
      </c>
      <c r="D1757" s="1">
        <v>45152.755868055552</v>
      </c>
      <c r="E1757" t="s">
        <v>25</v>
      </c>
      <c r="F1757" t="s">
        <v>77</v>
      </c>
      <c r="G1757" t="s">
        <v>865</v>
      </c>
      <c r="H1757" t="s">
        <v>2875</v>
      </c>
      <c r="I1757" t="s">
        <v>753</v>
      </c>
      <c r="J1757" t="s">
        <v>81</v>
      </c>
      <c r="K1757">
        <v>37</v>
      </c>
      <c r="L1757" t="s">
        <v>89</v>
      </c>
      <c r="M1757">
        <v>79</v>
      </c>
      <c r="N1757">
        <v>1</v>
      </c>
      <c r="O1757">
        <v>9801.48</v>
      </c>
      <c r="P1757" s="1">
        <v>45600.339861111112</v>
      </c>
      <c r="Q1757">
        <v>18</v>
      </c>
      <c r="R1757" t="s">
        <v>47</v>
      </c>
      <c r="S1757">
        <v>-0.17011274846645999</v>
      </c>
      <c r="T1757" t="b">
        <v>0</v>
      </c>
      <c r="U1757" t="b">
        <v>0</v>
      </c>
      <c r="V1757" t="b">
        <f t="shared" si="54"/>
        <v>1</v>
      </c>
      <c r="W1757">
        <v>0</v>
      </c>
      <c r="Y1757">
        <f t="shared" si="55"/>
        <v>0</v>
      </c>
    </row>
    <row r="1758" spans="1:25" x14ac:dyDescent="0.3">
      <c r="A1758" t="s">
        <v>3620</v>
      </c>
      <c r="B1758" t="s">
        <v>24</v>
      </c>
      <c r="C1758">
        <v>34.67</v>
      </c>
      <c r="D1758" s="1">
        <v>45041.69091435185</v>
      </c>
      <c r="E1758" t="s">
        <v>25</v>
      </c>
      <c r="F1758" t="s">
        <v>278</v>
      </c>
      <c r="G1758" t="s">
        <v>515</v>
      </c>
      <c r="H1758" t="s">
        <v>938</v>
      </c>
      <c r="I1758" t="s">
        <v>556</v>
      </c>
      <c r="J1758" t="s">
        <v>45</v>
      </c>
      <c r="K1758">
        <v>19</v>
      </c>
      <c r="L1758" t="s">
        <v>46</v>
      </c>
      <c r="M1758">
        <v>71</v>
      </c>
      <c r="N1758">
        <v>1</v>
      </c>
      <c r="O1758">
        <v>888.6</v>
      </c>
      <c r="P1758" s="1">
        <v>45600.341412037036</v>
      </c>
      <c r="Q1758">
        <v>16</v>
      </c>
      <c r="R1758" t="s">
        <v>32</v>
      </c>
      <c r="S1758">
        <v>-0.90058969356846996</v>
      </c>
      <c r="T1758" t="b">
        <v>0</v>
      </c>
      <c r="U1758" t="b">
        <v>0</v>
      </c>
      <c r="V1758" t="b">
        <f t="shared" si="54"/>
        <v>1</v>
      </c>
      <c r="W1758">
        <v>0</v>
      </c>
      <c r="Y1758">
        <f t="shared" si="55"/>
        <v>0</v>
      </c>
    </row>
    <row r="1759" spans="1:25" x14ac:dyDescent="0.3">
      <c r="A1759" t="s">
        <v>3621</v>
      </c>
      <c r="B1759" t="s">
        <v>2322</v>
      </c>
      <c r="C1759">
        <v>326.02999999999997</v>
      </c>
      <c r="D1759" s="1">
        <v>45055.704733796294</v>
      </c>
      <c r="E1759" t="s">
        <v>57</v>
      </c>
      <c r="F1759" t="s">
        <v>216</v>
      </c>
      <c r="G1759" t="s">
        <v>342</v>
      </c>
      <c r="H1759" t="s">
        <v>3622</v>
      </c>
      <c r="I1759" t="s">
        <v>871</v>
      </c>
      <c r="J1759" t="s">
        <v>45</v>
      </c>
      <c r="K1759">
        <v>18</v>
      </c>
      <c r="L1759" t="s">
        <v>46</v>
      </c>
      <c r="M1759">
        <v>137</v>
      </c>
      <c r="N1759">
        <v>1</v>
      </c>
      <c r="O1759">
        <v>290.24</v>
      </c>
      <c r="P1759" s="1">
        <v>45600.341504629629</v>
      </c>
      <c r="Q1759">
        <v>16</v>
      </c>
      <c r="R1759" t="s">
        <v>32</v>
      </c>
      <c r="S1759">
        <v>9.7402253936554495E-2</v>
      </c>
      <c r="T1759" t="b">
        <v>0</v>
      </c>
      <c r="U1759" t="b">
        <v>0</v>
      </c>
      <c r="V1759" t="b">
        <f t="shared" si="54"/>
        <v>1</v>
      </c>
      <c r="W1759">
        <v>0</v>
      </c>
      <c r="Y1759">
        <f t="shared" si="55"/>
        <v>0</v>
      </c>
    </row>
    <row r="1760" spans="1:25" x14ac:dyDescent="0.3">
      <c r="A1760" t="s">
        <v>3623</v>
      </c>
      <c r="B1760" t="s">
        <v>1285</v>
      </c>
      <c r="C1760">
        <v>148.26</v>
      </c>
      <c r="D1760" s="1">
        <v>45054.731342592589</v>
      </c>
      <c r="E1760" t="s">
        <v>25</v>
      </c>
      <c r="F1760" t="s">
        <v>309</v>
      </c>
      <c r="G1760" t="s">
        <v>1948</v>
      </c>
      <c r="H1760" t="s">
        <v>1354</v>
      </c>
      <c r="I1760" t="s">
        <v>1050</v>
      </c>
      <c r="J1760" t="s">
        <v>30</v>
      </c>
      <c r="K1760">
        <v>25</v>
      </c>
      <c r="L1760" t="s">
        <v>46</v>
      </c>
      <c r="M1760">
        <v>57</v>
      </c>
      <c r="N1760">
        <v>1</v>
      </c>
      <c r="O1760">
        <v>958.7</v>
      </c>
      <c r="P1760" s="1">
        <v>45600.341817129629</v>
      </c>
      <c r="Q1760">
        <v>17</v>
      </c>
      <c r="R1760" t="s">
        <v>47</v>
      </c>
      <c r="S1760">
        <v>-0.51151121568167801</v>
      </c>
      <c r="T1760" t="b">
        <v>0</v>
      </c>
      <c r="U1760" t="b">
        <v>0</v>
      </c>
      <c r="V1760" t="b">
        <f t="shared" si="54"/>
        <v>1</v>
      </c>
      <c r="W1760">
        <v>0</v>
      </c>
      <c r="Y1760">
        <f t="shared" si="55"/>
        <v>0</v>
      </c>
    </row>
    <row r="1761" spans="1:25" x14ac:dyDescent="0.3">
      <c r="A1761" t="s">
        <v>3624</v>
      </c>
      <c r="B1761" t="s">
        <v>497</v>
      </c>
      <c r="C1761">
        <v>1086.5999999999999</v>
      </c>
      <c r="D1761" s="1">
        <v>45068.736643518518</v>
      </c>
      <c r="E1761" t="s">
        <v>25</v>
      </c>
      <c r="F1761" t="s">
        <v>26</v>
      </c>
      <c r="G1761" t="s">
        <v>461</v>
      </c>
      <c r="H1761" t="s">
        <v>1494</v>
      </c>
      <c r="I1761" t="s">
        <v>1823</v>
      </c>
      <c r="J1761" t="s">
        <v>45</v>
      </c>
      <c r="K1761">
        <v>19</v>
      </c>
      <c r="L1761" t="s">
        <v>46</v>
      </c>
      <c r="M1761">
        <v>38</v>
      </c>
      <c r="N1761">
        <v>1</v>
      </c>
      <c r="O1761">
        <v>1605.67</v>
      </c>
      <c r="P1761" s="1">
        <v>45600.340833333335</v>
      </c>
      <c r="Q1761">
        <v>17</v>
      </c>
      <c r="R1761" t="s">
        <v>47</v>
      </c>
      <c r="S1761">
        <v>2.70257364161467</v>
      </c>
      <c r="T1761" t="b">
        <v>1</v>
      </c>
      <c r="U1761" t="b">
        <v>0</v>
      </c>
      <c r="V1761" t="b">
        <f t="shared" si="54"/>
        <v>1</v>
      </c>
      <c r="W1761">
        <v>1</v>
      </c>
      <c r="Y1761">
        <f t="shared" si="55"/>
        <v>1</v>
      </c>
    </row>
    <row r="1762" spans="1:25" x14ac:dyDescent="0.3">
      <c r="A1762" t="s">
        <v>3625</v>
      </c>
      <c r="B1762" t="s">
        <v>3073</v>
      </c>
      <c r="C1762">
        <v>373.99</v>
      </c>
      <c r="D1762" s="1">
        <v>45222.685648148145</v>
      </c>
      <c r="E1762" t="s">
        <v>25</v>
      </c>
      <c r="F1762" t="s">
        <v>298</v>
      </c>
      <c r="G1762" t="s">
        <v>1857</v>
      </c>
      <c r="H1762" t="s">
        <v>2588</v>
      </c>
      <c r="I1762" t="s">
        <v>361</v>
      </c>
      <c r="J1762" t="s">
        <v>30</v>
      </c>
      <c r="K1762">
        <v>60</v>
      </c>
      <c r="L1762" t="s">
        <v>31</v>
      </c>
      <c r="M1762">
        <v>140</v>
      </c>
      <c r="N1762">
        <v>1</v>
      </c>
      <c r="O1762">
        <v>8590.5</v>
      </c>
      <c r="P1762" s="1">
        <v>45600.338310185187</v>
      </c>
      <c r="Q1762">
        <v>16</v>
      </c>
      <c r="R1762" t="s">
        <v>47</v>
      </c>
      <c r="S1762">
        <v>0.26167907231361698</v>
      </c>
      <c r="T1762" t="b">
        <v>0</v>
      </c>
      <c r="U1762" t="b">
        <v>0</v>
      </c>
      <c r="V1762" t="b">
        <f t="shared" si="54"/>
        <v>1</v>
      </c>
      <c r="W1762">
        <v>0</v>
      </c>
      <c r="Y1762">
        <f t="shared" si="55"/>
        <v>0</v>
      </c>
    </row>
    <row r="1763" spans="1:25" x14ac:dyDescent="0.3">
      <c r="A1763" t="s">
        <v>3626</v>
      </c>
      <c r="B1763" t="s">
        <v>2389</v>
      </c>
      <c r="C1763">
        <v>254.34</v>
      </c>
      <c r="D1763" s="1">
        <v>45183.711145833331</v>
      </c>
      <c r="E1763" t="s">
        <v>25</v>
      </c>
      <c r="F1763" t="s">
        <v>519</v>
      </c>
      <c r="G1763" t="s">
        <v>2931</v>
      </c>
      <c r="H1763" t="s">
        <v>2327</v>
      </c>
      <c r="I1763" t="s">
        <v>833</v>
      </c>
      <c r="J1763" t="s">
        <v>45</v>
      </c>
      <c r="K1763">
        <v>49</v>
      </c>
      <c r="L1763" t="s">
        <v>89</v>
      </c>
      <c r="M1763">
        <v>79</v>
      </c>
      <c r="N1763">
        <v>1</v>
      </c>
      <c r="O1763">
        <v>5461.08</v>
      </c>
      <c r="P1763" s="1">
        <v>45600.341041666667</v>
      </c>
      <c r="Q1763">
        <v>17</v>
      </c>
      <c r="R1763" t="s">
        <v>141</v>
      </c>
      <c r="S1763">
        <v>-0.14815665159829899</v>
      </c>
      <c r="T1763" t="b">
        <v>0</v>
      </c>
      <c r="U1763" t="b">
        <v>0</v>
      </c>
      <c r="V1763" t="b">
        <f t="shared" si="54"/>
        <v>1</v>
      </c>
      <c r="W1763">
        <v>0</v>
      </c>
      <c r="Y1763">
        <f t="shared" si="55"/>
        <v>0</v>
      </c>
    </row>
    <row r="1764" spans="1:25" x14ac:dyDescent="0.3">
      <c r="A1764" t="s">
        <v>3627</v>
      </c>
      <c r="B1764" t="s">
        <v>2383</v>
      </c>
      <c r="C1764">
        <v>819.48</v>
      </c>
      <c r="D1764" s="1">
        <v>45204.685729166667</v>
      </c>
      <c r="E1764" t="s">
        <v>25</v>
      </c>
      <c r="F1764" t="s">
        <v>314</v>
      </c>
      <c r="G1764" t="s">
        <v>1175</v>
      </c>
      <c r="H1764" t="s">
        <v>1711</v>
      </c>
      <c r="I1764" t="s">
        <v>871</v>
      </c>
      <c r="J1764" t="s">
        <v>30</v>
      </c>
      <c r="K1764">
        <v>25</v>
      </c>
      <c r="L1764" t="s">
        <v>46</v>
      </c>
      <c r="M1764">
        <v>26</v>
      </c>
      <c r="N1764">
        <v>1</v>
      </c>
      <c r="O1764">
        <v>1804.5</v>
      </c>
      <c r="P1764" s="1">
        <v>45600.339317129627</v>
      </c>
      <c r="Q1764">
        <v>16</v>
      </c>
      <c r="R1764" t="s">
        <v>141</v>
      </c>
      <c r="S1764">
        <v>1.78761067821014</v>
      </c>
      <c r="T1764" t="b">
        <v>0</v>
      </c>
      <c r="U1764" t="b">
        <v>0</v>
      </c>
      <c r="V1764" t="b">
        <f t="shared" si="54"/>
        <v>1</v>
      </c>
      <c r="W1764">
        <v>0</v>
      </c>
      <c r="Y1764">
        <f t="shared" si="55"/>
        <v>0</v>
      </c>
    </row>
    <row r="1765" spans="1:25" x14ac:dyDescent="0.3">
      <c r="A1765" t="s">
        <v>3628</v>
      </c>
      <c r="B1765" t="s">
        <v>425</v>
      </c>
      <c r="C1765">
        <v>14</v>
      </c>
      <c r="D1765" s="1">
        <v>45175.683854166666</v>
      </c>
      <c r="E1765" t="s">
        <v>25</v>
      </c>
      <c r="F1765" t="s">
        <v>250</v>
      </c>
      <c r="G1765" t="s">
        <v>226</v>
      </c>
      <c r="H1765" t="s">
        <v>3629</v>
      </c>
      <c r="I1765" t="s">
        <v>383</v>
      </c>
      <c r="J1765" t="s">
        <v>30</v>
      </c>
      <c r="K1765">
        <v>49</v>
      </c>
      <c r="L1765" t="s">
        <v>89</v>
      </c>
      <c r="M1765">
        <v>173</v>
      </c>
      <c r="N1765">
        <v>1</v>
      </c>
      <c r="O1765">
        <v>7975.18</v>
      </c>
      <c r="P1765" s="1">
        <v>45600.339884259258</v>
      </c>
      <c r="Q1765">
        <v>16</v>
      </c>
      <c r="R1765" t="s">
        <v>74</v>
      </c>
      <c r="S1765">
        <v>-0.97139039907001101</v>
      </c>
      <c r="T1765" t="b">
        <v>0</v>
      </c>
      <c r="U1765" t="b">
        <v>0</v>
      </c>
      <c r="V1765" t="b">
        <f t="shared" si="54"/>
        <v>1</v>
      </c>
      <c r="W1765">
        <v>0</v>
      </c>
      <c r="Y1765">
        <f t="shared" si="55"/>
        <v>0</v>
      </c>
    </row>
    <row r="1766" spans="1:25" x14ac:dyDescent="0.3">
      <c r="A1766" t="s">
        <v>3630</v>
      </c>
      <c r="B1766" t="s">
        <v>3631</v>
      </c>
      <c r="C1766">
        <v>57.16</v>
      </c>
      <c r="D1766" s="1">
        <v>45092.781689814816</v>
      </c>
      <c r="E1766" t="s">
        <v>25</v>
      </c>
      <c r="F1766" t="s">
        <v>137</v>
      </c>
      <c r="G1766" t="s">
        <v>1474</v>
      </c>
      <c r="H1766" t="s">
        <v>957</v>
      </c>
      <c r="I1766" t="s">
        <v>167</v>
      </c>
      <c r="J1766" t="s">
        <v>30</v>
      </c>
      <c r="K1766">
        <v>40</v>
      </c>
      <c r="L1766" t="s">
        <v>89</v>
      </c>
      <c r="M1766">
        <v>74</v>
      </c>
      <c r="N1766">
        <v>1</v>
      </c>
      <c r="O1766">
        <v>222.22</v>
      </c>
      <c r="P1766" s="1">
        <v>45600.339421296296</v>
      </c>
      <c r="Q1766">
        <v>18</v>
      </c>
      <c r="R1766" t="s">
        <v>141</v>
      </c>
      <c r="S1766">
        <v>-0.82355496368314596</v>
      </c>
      <c r="T1766" t="b">
        <v>0</v>
      </c>
      <c r="U1766" t="b">
        <v>0</v>
      </c>
      <c r="V1766" t="b">
        <f t="shared" si="54"/>
        <v>1</v>
      </c>
      <c r="W1766">
        <v>0</v>
      </c>
      <c r="Y1766">
        <f t="shared" si="55"/>
        <v>0</v>
      </c>
    </row>
    <row r="1767" spans="1:25" x14ac:dyDescent="0.3">
      <c r="A1767" t="s">
        <v>3632</v>
      </c>
      <c r="B1767" t="s">
        <v>3633</v>
      </c>
      <c r="C1767">
        <v>282.26</v>
      </c>
      <c r="D1767" s="1">
        <v>45103.705057870371</v>
      </c>
      <c r="E1767" t="s">
        <v>25</v>
      </c>
      <c r="F1767" t="s">
        <v>104</v>
      </c>
      <c r="G1767" t="s">
        <v>2101</v>
      </c>
      <c r="H1767" t="s">
        <v>1311</v>
      </c>
      <c r="I1767" t="s">
        <v>178</v>
      </c>
      <c r="J1767" t="s">
        <v>45</v>
      </c>
      <c r="K1767">
        <v>37</v>
      </c>
      <c r="L1767" t="s">
        <v>89</v>
      </c>
      <c r="M1767">
        <v>278</v>
      </c>
      <c r="N1767">
        <v>1</v>
      </c>
      <c r="O1767">
        <v>6857.2</v>
      </c>
      <c r="P1767" s="1">
        <v>45600.339120370372</v>
      </c>
      <c r="Q1767">
        <v>16</v>
      </c>
      <c r="R1767" t="s">
        <v>47</v>
      </c>
      <c r="S1767">
        <v>-5.2522607205314299E-2</v>
      </c>
      <c r="T1767" t="b">
        <v>0</v>
      </c>
      <c r="U1767" t="b">
        <v>0</v>
      </c>
      <c r="V1767" t="b">
        <f t="shared" si="54"/>
        <v>1</v>
      </c>
      <c r="W1767">
        <v>0</v>
      </c>
      <c r="Y1767">
        <f t="shared" si="55"/>
        <v>0</v>
      </c>
    </row>
    <row r="1768" spans="1:25" x14ac:dyDescent="0.3">
      <c r="A1768" t="s">
        <v>3634</v>
      </c>
      <c r="B1768" t="s">
        <v>501</v>
      </c>
      <c r="C1768">
        <v>46.96</v>
      </c>
      <c r="D1768" s="1">
        <v>45107.697650462964</v>
      </c>
      <c r="E1768" t="s">
        <v>25</v>
      </c>
      <c r="F1768" t="s">
        <v>159</v>
      </c>
      <c r="G1768" t="s">
        <v>1583</v>
      </c>
      <c r="H1768" t="s">
        <v>1146</v>
      </c>
      <c r="I1768" t="s">
        <v>285</v>
      </c>
      <c r="J1768" t="s">
        <v>45</v>
      </c>
      <c r="K1768">
        <v>46</v>
      </c>
      <c r="L1768" t="s">
        <v>89</v>
      </c>
      <c r="M1768">
        <v>12</v>
      </c>
      <c r="N1768">
        <v>1</v>
      </c>
      <c r="O1768">
        <v>2028.92</v>
      </c>
      <c r="P1768" s="1">
        <v>45600.341087962966</v>
      </c>
      <c r="Q1768">
        <v>16</v>
      </c>
      <c r="R1768" t="s">
        <v>54</v>
      </c>
      <c r="S1768">
        <v>-0.85849290253731703</v>
      </c>
      <c r="T1768" t="b">
        <v>0</v>
      </c>
      <c r="U1768" t="b">
        <v>0</v>
      </c>
      <c r="V1768" t="b">
        <f t="shared" si="54"/>
        <v>1</v>
      </c>
      <c r="W1768">
        <v>0</v>
      </c>
      <c r="Y1768">
        <f t="shared" si="55"/>
        <v>0</v>
      </c>
    </row>
    <row r="1769" spans="1:25" x14ac:dyDescent="0.3">
      <c r="A1769" t="s">
        <v>3635</v>
      </c>
      <c r="B1769" t="s">
        <v>1630</v>
      </c>
      <c r="C1769">
        <v>473.2</v>
      </c>
      <c r="D1769" s="1">
        <v>45145.668136574073</v>
      </c>
      <c r="E1769" t="s">
        <v>25</v>
      </c>
      <c r="F1769" t="s">
        <v>35</v>
      </c>
      <c r="G1769" t="s">
        <v>1623</v>
      </c>
      <c r="H1769" t="s">
        <v>149</v>
      </c>
      <c r="I1769" t="s">
        <v>67</v>
      </c>
      <c r="J1769" t="s">
        <v>45</v>
      </c>
      <c r="K1769">
        <v>34</v>
      </c>
      <c r="L1769" t="s">
        <v>31</v>
      </c>
      <c r="M1769">
        <v>173</v>
      </c>
      <c r="N1769">
        <v>1</v>
      </c>
      <c r="O1769">
        <v>248.52</v>
      </c>
      <c r="P1769" s="1">
        <v>45600.340624999997</v>
      </c>
      <c r="Q1769">
        <v>16</v>
      </c>
      <c r="R1769" t="s">
        <v>47</v>
      </c>
      <c r="S1769">
        <v>0.60150190699227402</v>
      </c>
      <c r="T1769" t="b">
        <v>0</v>
      </c>
      <c r="U1769" t="b">
        <v>0</v>
      </c>
      <c r="V1769" t="b">
        <f t="shared" si="54"/>
        <v>1</v>
      </c>
      <c r="W1769">
        <v>0</v>
      </c>
      <c r="Y1769">
        <f t="shared" si="55"/>
        <v>0</v>
      </c>
    </row>
    <row r="1770" spans="1:25" x14ac:dyDescent="0.3">
      <c r="A1770" t="s">
        <v>3636</v>
      </c>
      <c r="B1770" t="s">
        <v>228</v>
      </c>
      <c r="C1770">
        <v>192.97</v>
      </c>
      <c r="D1770" s="1">
        <v>44998.673622685186</v>
      </c>
      <c r="E1770" t="s">
        <v>25</v>
      </c>
      <c r="F1770" t="s">
        <v>298</v>
      </c>
      <c r="G1770" t="s">
        <v>229</v>
      </c>
      <c r="H1770" t="s">
        <v>1738</v>
      </c>
      <c r="I1770" t="s">
        <v>647</v>
      </c>
      <c r="J1770" t="s">
        <v>30</v>
      </c>
      <c r="K1770">
        <v>59</v>
      </c>
      <c r="L1770" t="s">
        <v>82</v>
      </c>
      <c r="M1770">
        <v>140</v>
      </c>
      <c r="N1770">
        <v>1</v>
      </c>
      <c r="O1770">
        <v>3019.04</v>
      </c>
      <c r="P1770" s="1">
        <v>45600.337893518517</v>
      </c>
      <c r="Q1770">
        <v>16</v>
      </c>
      <c r="R1770" t="s">
        <v>47</v>
      </c>
      <c r="S1770">
        <v>-0.35836658370422803</v>
      </c>
      <c r="T1770" t="b">
        <v>0</v>
      </c>
      <c r="U1770" t="b">
        <v>0</v>
      </c>
      <c r="V1770" t="b">
        <f t="shared" si="54"/>
        <v>1</v>
      </c>
      <c r="W1770">
        <v>0</v>
      </c>
      <c r="Y1770">
        <f t="shared" si="55"/>
        <v>0</v>
      </c>
    </row>
    <row r="1771" spans="1:25" x14ac:dyDescent="0.3">
      <c r="A1771" t="s">
        <v>3637</v>
      </c>
      <c r="B1771" t="s">
        <v>1006</v>
      </c>
      <c r="C1771">
        <v>168.99</v>
      </c>
      <c r="D1771" s="1">
        <v>45047.776562500003</v>
      </c>
      <c r="E1771" t="s">
        <v>25</v>
      </c>
      <c r="F1771" t="s">
        <v>210</v>
      </c>
      <c r="G1771" t="s">
        <v>995</v>
      </c>
      <c r="H1771" t="s">
        <v>982</v>
      </c>
      <c r="I1771" t="s">
        <v>316</v>
      </c>
      <c r="J1771" t="s">
        <v>30</v>
      </c>
      <c r="K1771">
        <v>18</v>
      </c>
      <c r="L1771" t="s">
        <v>46</v>
      </c>
      <c r="M1771">
        <v>203</v>
      </c>
      <c r="N1771">
        <v>1</v>
      </c>
      <c r="O1771">
        <v>1523.57</v>
      </c>
      <c r="P1771" s="1">
        <v>45600.340289351851</v>
      </c>
      <c r="Q1771">
        <v>18</v>
      </c>
      <c r="R1771" t="s">
        <v>47</v>
      </c>
      <c r="S1771">
        <v>-0.44050499289276002</v>
      </c>
      <c r="T1771" t="b">
        <v>0</v>
      </c>
      <c r="U1771" t="b">
        <v>0</v>
      </c>
      <c r="V1771" t="b">
        <f t="shared" si="54"/>
        <v>1</v>
      </c>
      <c r="W1771">
        <v>0</v>
      </c>
      <c r="Y1771">
        <f t="shared" si="55"/>
        <v>0</v>
      </c>
    </row>
    <row r="1772" spans="1:25" x14ac:dyDescent="0.3">
      <c r="A1772" t="s">
        <v>3638</v>
      </c>
      <c r="B1772" t="s">
        <v>421</v>
      </c>
      <c r="C1772">
        <v>1.82</v>
      </c>
      <c r="D1772" s="1">
        <v>45029.733078703706</v>
      </c>
      <c r="E1772" t="s">
        <v>25</v>
      </c>
      <c r="F1772" t="s">
        <v>225</v>
      </c>
      <c r="G1772" t="s">
        <v>968</v>
      </c>
      <c r="H1772" t="s">
        <v>3074</v>
      </c>
      <c r="I1772" t="s">
        <v>44</v>
      </c>
      <c r="J1772" t="s">
        <v>45</v>
      </c>
      <c r="K1772">
        <v>80</v>
      </c>
      <c r="L1772" t="s">
        <v>82</v>
      </c>
      <c r="M1772">
        <v>60</v>
      </c>
      <c r="N1772">
        <v>1</v>
      </c>
      <c r="O1772">
        <v>5571.39</v>
      </c>
      <c r="P1772" s="1">
        <v>45600.339791666665</v>
      </c>
      <c r="Q1772">
        <v>17</v>
      </c>
      <c r="R1772" t="s">
        <v>141</v>
      </c>
      <c r="S1772">
        <v>-1.0131104084076299</v>
      </c>
      <c r="T1772" t="b">
        <v>0</v>
      </c>
      <c r="U1772" t="b">
        <v>0</v>
      </c>
      <c r="V1772" t="b">
        <f t="shared" si="54"/>
        <v>1</v>
      </c>
      <c r="W1772">
        <v>0</v>
      </c>
      <c r="Y1772">
        <f t="shared" si="55"/>
        <v>0</v>
      </c>
    </row>
    <row r="1773" spans="1:25" x14ac:dyDescent="0.3">
      <c r="A1773" t="s">
        <v>3639</v>
      </c>
      <c r="B1773" t="s">
        <v>893</v>
      </c>
      <c r="C1773">
        <v>40.9</v>
      </c>
      <c r="D1773" s="1">
        <v>45078.768888888888</v>
      </c>
      <c r="E1773" t="s">
        <v>25</v>
      </c>
      <c r="F1773" t="s">
        <v>262</v>
      </c>
      <c r="G1773" t="s">
        <v>559</v>
      </c>
      <c r="H1773" t="s">
        <v>2987</v>
      </c>
      <c r="I1773" t="s">
        <v>1222</v>
      </c>
      <c r="J1773" t="s">
        <v>30</v>
      </c>
      <c r="K1773">
        <v>55</v>
      </c>
      <c r="L1773" t="s">
        <v>31</v>
      </c>
      <c r="M1773">
        <v>37</v>
      </c>
      <c r="N1773">
        <v>1</v>
      </c>
      <c r="O1773">
        <v>1514.34</v>
      </c>
      <c r="P1773" s="1">
        <v>45600.340995370374</v>
      </c>
      <c r="Q1773">
        <v>18</v>
      </c>
      <c r="R1773" t="s">
        <v>141</v>
      </c>
      <c r="S1773">
        <v>-0.87925014856244199</v>
      </c>
      <c r="T1773" t="b">
        <v>0</v>
      </c>
      <c r="U1773" t="b">
        <v>0</v>
      </c>
      <c r="V1773" t="b">
        <f t="shared" si="54"/>
        <v>1</v>
      </c>
      <c r="W1773">
        <v>0</v>
      </c>
      <c r="Y1773">
        <f t="shared" si="55"/>
        <v>0</v>
      </c>
    </row>
    <row r="1774" spans="1:25" x14ac:dyDescent="0.3">
      <c r="A1774" t="s">
        <v>3640</v>
      </c>
      <c r="B1774" t="s">
        <v>2037</v>
      </c>
      <c r="C1774">
        <v>78.91</v>
      </c>
      <c r="D1774" s="1">
        <v>44986.713263888887</v>
      </c>
      <c r="E1774" t="s">
        <v>25</v>
      </c>
      <c r="F1774" t="s">
        <v>298</v>
      </c>
      <c r="G1774" t="s">
        <v>2915</v>
      </c>
      <c r="H1774" t="s">
        <v>1618</v>
      </c>
      <c r="I1774" t="s">
        <v>383</v>
      </c>
      <c r="J1774" t="s">
        <v>45</v>
      </c>
      <c r="K1774">
        <v>61</v>
      </c>
      <c r="L1774" t="s">
        <v>31</v>
      </c>
      <c r="M1774">
        <v>157</v>
      </c>
      <c r="N1774">
        <v>1</v>
      </c>
      <c r="O1774">
        <v>1817.43</v>
      </c>
      <c r="P1774" s="1">
        <v>45600.340775462966</v>
      </c>
      <c r="Q1774">
        <v>17</v>
      </c>
      <c r="R1774" t="s">
        <v>74</v>
      </c>
      <c r="S1774">
        <v>-0.74905494700881103</v>
      </c>
      <c r="T1774" t="b">
        <v>0</v>
      </c>
      <c r="U1774" t="b">
        <v>0</v>
      </c>
      <c r="V1774" t="b">
        <f t="shared" si="54"/>
        <v>1</v>
      </c>
      <c r="W1774">
        <v>0</v>
      </c>
      <c r="Y1774">
        <f t="shared" si="55"/>
        <v>0</v>
      </c>
    </row>
    <row r="1775" spans="1:25" x14ac:dyDescent="0.3">
      <c r="A1775" t="s">
        <v>3641</v>
      </c>
      <c r="B1775" t="s">
        <v>1766</v>
      </c>
      <c r="C1775">
        <v>169.97</v>
      </c>
      <c r="D1775" s="1">
        <v>45267.731435185182</v>
      </c>
      <c r="E1775" t="s">
        <v>57</v>
      </c>
      <c r="F1775" t="s">
        <v>26</v>
      </c>
      <c r="G1775" t="s">
        <v>949</v>
      </c>
      <c r="H1775" t="s">
        <v>2938</v>
      </c>
      <c r="I1775" t="s">
        <v>419</v>
      </c>
      <c r="J1775" t="s">
        <v>30</v>
      </c>
      <c r="K1775">
        <v>22</v>
      </c>
      <c r="L1775" t="s">
        <v>46</v>
      </c>
      <c r="M1775">
        <v>12</v>
      </c>
      <c r="N1775">
        <v>1</v>
      </c>
      <c r="O1775">
        <v>6269.12</v>
      </c>
      <c r="P1775" s="1">
        <v>45600.339722222219</v>
      </c>
      <c r="Q1775">
        <v>17</v>
      </c>
      <c r="R1775" t="s">
        <v>141</v>
      </c>
      <c r="S1775">
        <v>-0.43714821053226099</v>
      </c>
      <c r="T1775" t="b">
        <v>0</v>
      </c>
      <c r="U1775" t="b">
        <v>0</v>
      </c>
      <c r="V1775" t="b">
        <f t="shared" si="54"/>
        <v>1</v>
      </c>
      <c r="W1775">
        <v>0</v>
      </c>
      <c r="Y1775">
        <f t="shared" si="55"/>
        <v>0</v>
      </c>
    </row>
    <row r="1776" spans="1:25" x14ac:dyDescent="0.3">
      <c r="A1776" t="s">
        <v>3642</v>
      </c>
      <c r="B1776" t="s">
        <v>598</v>
      </c>
      <c r="C1776">
        <v>17.79</v>
      </c>
      <c r="D1776" s="1">
        <v>44979.709432870368</v>
      </c>
      <c r="E1776" t="s">
        <v>25</v>
      </c>
      <c r="F1776" t="s">
        <v>405</v>
      </c>
      <c r="G1776" t="s">
        <v>2575</v>
      </c>
      <c r="H1776" t="s">
        <v>3154</v>
      </c>
      <c r="I1776" t="s">
        <v>61</v>
      </c>
      <c r="J1776" t="s">
        <v>81</v>
      </c>
      <c r="K1776">
        <v>61</v>
      </c>
      <c r="L1776" t="s">
        <v>82</v>
      </c>
      <c r="M1776">
        <v>162</v>
      </c>
      <c r="N1776">
        <v>5</v>
      </c>
      <c r="O1776">
        <v>2281.9</v>
      </c>
      <c r="P1776" s="1">
        <v>45600.341006944444</v>
      </c>
      <c r="Q1776">
        <v>17</v>
      </c>
      <c r="R1776" t="s">
        <v>74</v>
      </c>
      <c r="S1776">
        <v>-0.95840855708399997</v>
      </c>
      <c r="T1776" t="b">
        <v>0</v>
      </c>
      <c r="U1776" t="b">
        <v>1</v>
      </c>
      <c r="V1776" t="b">
        <f t="shared" si="54"/>
        <v>1</v>
      </c>
      <c r="W1776">
        <v>1</v>
      </c>
      <c r="Y1776">
        <f t="shared" si="55"/>
        <v>0</v>
      </c>
    </row>
    <row r="1777" spans="1:25" x14ac:dyDescent="0.3">
      <c r="A1777" t="s">
        <v>3643</v>
      </c>
      <c r="B1777" t="s">
        <v>1407</v>
      </c>
      <c r="C1777">
        <v>486.61</v>
      </c>
      <c r="D1777" s="1">
        <v>45258.678807870368</v>
      </c>
      <c r="E1777" t="s">
        <v>57</v>
      </c>
      <c r="F1777" t="s">
        <v>298</v>
      </c>
      <c r="G1777" t="s">
        <v>2400</v>
      </c>
      <c r="H1777" t="s">
        <v>407</v>
      </c>
      <c r="I1777" t="s">
        <v>491</v>
      </c>
      <c r="J1777" t="s">
        <v>30</v>
      </c>
      <c r="K1777">
        <v>48</v>
      </c>
      <c r="L1777" t="s">
        <v>89</v>
      </c>
      <c r="M1777">
        <v>130</v>
      </c>
      <c r="N1777">
        <v>1</v>
      </c>
      <c r="O1777">
        <v>2006.69</v>
      </c>
      <c r="P1777" s="1">
        <v>45600.337893518517</v>
      </c>
      <c r="Q1777">
        <v>16</v>
      </c>
      <c r="R1777" t="s">
        <v>32</v>
      </c>
      <c r="S1777">
        <v>0.64743502072114001</v>
      </c>
      <c r="T1777" t="b">
        <v>0</v>
      </c>
      <c r="U1777" t="b">
        <v>0</v>
      </c>
      <c r="V1777" t="b">
        <f t="shared" si="54"/>
        <v>1</v>
      </c>
      <c r="W1777">
        <v>0</v>
      </c>
      <c r="Y1777">
        <f t="shared" si="55"/>
        <v>0</v>
      </c>
    </row>
    <row r="1778" spans="1:25" x14ac:dyDescent="0.3">
      <c r="A1778" t="s">
        <v>3644</v>
      </c>
      <c r="B1778" t="s">
        <v>802</v>
      </c>
      <c r="C1778">
        <v>148.13</v>
      </c>
      <c r="D1778" s="1">
        <v>45002.690879629627</v>
      </c>
      <c r="E1778" t="s">
        <v>25</v>
      </c>
      <c r="F1778" t="s">
        <v>438</v>
      </c>
      <c r="G1778" t="s">
        <v>1282</v>
      </c>
      <c r="H1778" t="s">
        <v>1930</v>
      </c>
      <c r="I1778" t="s">
        <v>117</v>
      </c>
      <c r="J1778" t="s">
        <v>81</v>
      </c>
      <c r="K1778">
        <v>58</v>
      </c>
      <c r="L1778" t="s">
        <v>82</v>
      </c>
      <c r="M1778">
        <v>56</v>
      </c>
      <c r="N1778">
        <v>1</v>
      </c>
      <c r="O1778">
        <v>2189.38</v>
      </c>
      <c r="P1778" s="1">
        <v>45600.338194444441</v>
      </c>
      <c r="Q1778">
        <v>16</v>
      </c>
      <c r="R1778" t="s">
        <v>54</v>
      </c>
      <c r="S1778">
        <v>-0.51195650313766194</v>
      </c>
      <c r="T1778" t="b">
        <v>0</v>
      </c>
      <c r="U1778" t="b">
        <v>0</v>
      </c>
      <c r="V1778" t="b">
        <f t="shared" si="54"/>
        <v>1</v>
      </c>
      <c r="W1778">
        <v>0</v>
      </c>
      <c r="Y1778">
        <f t="shared" si="55"/>
        <v>0</v>
      </c>
    </row>
    <row r="1779" spans="1:25" x14ac:dyDescent="0.3">
      <c r="A1779" t="s">
        <v>3645</v>
      </c>
      <c r="B1779" t="s">
        <v>963</v>
      </c>
      <c r="C1779">
        <v>164.52</v>
      </c>
      <c r="D1779" s="1">
        <v>45285.674837962964</v>
      </c>
      <c r="E1779" t="s">
        <v>25</v>
      </c>
      <c r="F1779" t="s">
        <v>336</v>
      </c>
      <c r="G1779" t="s">
        <v>1801</v>
      </c>
      <c r="H1779" t="s">
        <v>1338</v>
      </c>
      <c r="I1779" t="s">
        <v>527</v>
      </c>
      <c r="J1779" t="s">
        <v>30</v>
      </c>
      <c r="K1779">
        <v>61</v>
      </c>
      <c r="L1779" t="s">
        <v>31</v>
      </c>
      <c r="M1779">
        <v>162</v>
      </c>
      <c r="N1779">
        <v>1</v>
      </c>
      <c r="O1779">
        <v>11036.74</v>
      </c>
      <c r="P1779" s="1">
        <v>45600.341168981482</v>
      </c>
      <c r="Q1779">
        <v>16</v>
      </c>
      <c r="R1779" t="s">
        <v>47</v>
      </c>
      <c r="S1779">
        <v>-0.45581603080238198</v>
      </c>
      <c r="T1779" t="b">
        <v>0</v>
      </c>
      <c r="U1779" t="b">
        <v>0</v>
      </c>
      <c r="V1779" t="b">
        <f t="shared" si="54"/>
        <v>1</v>
      </c>
      <c r="W1779">
        <v>0</v>
      </c>
      <c r="Y1779">
        <f t="shared" si="55"/>
        <v>0</v>
      </c>
    </row>
    <row r="1780" spans="1:25" x14ac:dyDescent="0.3">
      <c r="A1780" t="s">
        <v>3646</v>
      </c>
      <c r="B1780" t="s">
        <v>1370</v>
      </c>
      <c r="C1780">
        <v>720.89</v>
      </c>
      <c r="D1780" s="1">
        <v>45278.715833333335</v>
      </c>
      <c r="E1780" t="s">
        <v>25</v>
      </c>
      <c r="F1780" t="s">
        <v>77</v>
      </c>
      <c r="G1780" t="s">
        <v>2446</v>
      </c>
      <c r="H1780" t="s">
        <v>1738</v>
      </c>
      <c r="I1780" t="s">
        <v>194</v>
      </c>
      <c r="J1780" t="s">
        <v>30</v>
      </c>
      <c r="K1780">
        <v>27</v>
      </c>
      <c r="L1780" t="s">
        <v>46</v>
      </c>
      <c r="M1780">
        <v>120</v>
      </c>
      <c r="N1780">
        <v>1</v>
      </c>
      <c r="O1780">
        <v>447.06</v>
      </c>
      <c r="P1780" s="1">
        <v>45600.340289351851</v>
      </c>
      <c r="Q1780">
        <v>17</v>
      </c>
      <c r="R1780" t="s">
        <v>47</v>
      </c>
      <c r="S1780">
        <v>1.4499115221677199</v>
      </c>
      <c r="T1780" t="b">
        <v>0</v>
      </c>
      <c r="U1780" t="b">
        <v>0</v>
      </c>
      <c r="V1780" t="b">
        <f t="shared" si="54"/>
        <v>1</v>
      </c>
      <c r="W1780">
        <v>0</v>
      </c>
      <c r="Y1780">
        <f t="shared" si="55"/>
        <v>0</v>
      </c>
    </row>
    <row r="1781" spans="1:25" x14ac:dyDescent="0.3">
      <c r="A1781" t="s">
        <v>3647</v>
      </c>
      <c r="B1781" t="s">
        <v>649</v>
      </c>
      <c r="C1781">
        <v>268.7</v>
      </c>
      <c r="D1781" s="1">
        <v>45202.677789351852</v>
      </c>
      <c r="E1781" t="s">
        <v>25</v>
      </c>
      <c r="F1781" t="s">
        <v>191</v>
      </c>
      <c r="G1781" t="s">
        <v>2989</v>
      </c>
      <c r="H1781" t="s">
        <v>1125</v>
      </c>
      <c r="I1781" t="s">
        <v>772</v>
      </c>
      <c r="J1781" t="s">
        <v>30</v>
      </c>
      <c r="K1781">
        <v>53</v>
      </c>
      <c r="L1781" t="s">
        <v>82</v>
      </c>
      <c r="M1781">
        <v>63</v>
      </c>
      <c r="N1781">
        <v>1</v>
      </c>
      <c r="O1781">
        <v>2104.7399999999998</v>
      </c>
      <c r="P1781" s="1">
        <v>45600.337962962964</v>
      </c>
      <c r="Q1781">
        <v>16</v>
      </c>
      <c r="R1781" t="s">
        <v>32</v>
      </c>
      <c r="S1781">
        <v>-9.8969514152624005E-2</v>
      </c>
      <c r="T1781" t="b">
        <v>0</v>
      </c>
      <c r="U1781" t="b">
        <v>0</v>
      </c>
      <c r="V1781" t="b">
        <f t="shared" si="54"/>
        <v>1</v>
      </c>
      <c r="W1781">
        <v>0</v>
      </c>
      <c r="Y1781">
        <f t="shared" si="55"/>
        <v>0</v>
      </c>
    </row>
    <row r="1782" spans="1:25" x14ac:dyDescent="0.3">
      <c r="A1782" t="s">
        <v>3648</v>
      </c>
      <c r="B1782" t="s">
        <v>1783</v>
      </c>
      <c r="C1782">
        <v>637.34</v>
      </c>
      <c r="D1782" s="1">
        <v>45170.680358796293</v>
      </c>
      <c r="E1782" t="s">
        <v>25</v>
      </c>
      <c r="F1782" t="s">
        <v>77</v>
      </c>
      <c r="G1782" t="s">
        <v>299</v>
      </c>
      <c r="H1782" t="s">
        <v>1208</v>
      </c>
      <c r="I1782" t="s">
        <v>775</v>
      </c>
      <c r="J1782" t="s">
        <v>30</v>
      </c>
      <c r="K1782">
        <v>51</v>
      </c>
      <c r="L1782" t="s">
        <v>82</v>
      </c>
      <c r="M1782">
        <v>278</v>
      </c>
      <c r="N1782">
        <v>1</v>
      </c>
      <c r="O1782">
        <v>5183.5</v>
      </c>
      <c r="P1782" s="1">
        <v>45600.340219907404</v>
      </c>
      <c r="Q1782">
        <v>16</v>
      </c>
      <c r="R1782" t="s">
        <v>54</v>
      </c>
      <c r="S1782">
        <v>1.1637286994945899</v>
      </c>
      <c r="T1782" t="b">
        <v>0</v>
      </c>
      <c r="U1782" t="b">
        <v>0</v>
      </c>
      <c r="V1782" t="b">
        <f t="shared" si="54"/>
        <v>1</v>
      </c>
      <c r="W1782">
        <v>0</v>
      </c>
      <c r="Y1782">
        <f t="shared" si="55"/>
        <v>0</v>
      </c>
    </row>
    <row r="1783" spans="1:25" x14ac:dyDescent="0.3">
      <c r="A1783" t="s">
        <v>3649</v>
      </c>
      <c r="B1783" t="s">
        <v>241</v>
      </c>
      <c r="C1783">
        <v>216.76</v>
      </c>
      <c r="D1783" s="1">
        <v>45239.726701388892</v>
      </c>
      <c r="E1783" t="s">
        <v>57</v>
      </c>
      <c r="F1783" t="s">
        <v>309</v>
      </c>
      <c r="G1783" t="s">
        <v>439</v>
      </c>
      <c r="H1783" t="s">
        <v>891</v>
      </c>
      <c r="I1783" t="s">
        <v>463</v>
      </c>
      <c r="J1783" t="s">
        <v>45</v>
      </c>
      <c r="K1783">
        <v>47</v>
      </c>
      <c r="L1783" t="s">
        <v>89</v>
      </c>
      <c r="M1783">
        <v>138</v>
      </c>
      <c r="N1783">
        <v>1</v>
      </c>
      <c r="O1783">
        <v>643.64</v>
      </c>
      <c r="P1783" s="1">
        <v>45600.339988425927</v>
      </c>
      <c r="Q1783">
        <v>17</v>
      </c>
      <c r="R1783" t="s">
        <v>141</v>
      </c>
      <c r="S1783">
        <v>-0.27687897925905902</v>
      </c>
      <c r="T1783" t="b">
        <v>0</v>
      </c>
      <c r="U1783" t="b">
        <v>0</v>
      </c>
      <c r="V1783" t="b">
        <f t="shared" si="54"/>
        <v>1</v>
      </c>
      <c r="W1783">
        <v>0</v>
      </c>
      <c r="Y1783">
        <f t="shared" si="55"/>
        <v>0</v>
      </c>
    </row>
    <row r="1784" spans="1:25" x14ac:dyDescent="0.3">
      <c r="A1784" t="s">
        <v>3650</v>
      </c>
      <c r="B1784" t="s">
        <v>1630</v>
      </c>
      <c r="C1784">
        <v>418.02</v>
      </c>
      <c r="D1784" s="1">
        <v>45083.747731481482</v>
      </c>
      <c r="E1784" t="s">
        <v>25</v>
      </c>
      <c r="F1784" t="s">
        <v>153</v>
      </c>
      <c r="G1784" t="s">
        <v>658</v>
      </c>
      <c r="H1784" t="s">
        <v>2133</v>
      </c>
      <c r="I1784" t="s">
        <v>123</v>
      </c>
      <c r="J1784" t="s">
        <v>30</v>
      </c>
      <c r="K1784">
        <v>46</v>
      </c>
      <c r="L1784" t="s">
        <v>31</v>
      </c>
      <c r="M1784">
        <v>110</v>
      </c>
      <c r="N1784">
        <v>1</v>
      </c>
      <c r="O1784">
        <v>11011.86</v>
      </c>
      <c r="P1784" s="1">
        <v>45600.337881944448</v>
      </c>
      <c r="Q1784">
        <v>17</v>
      </c>
      <c r="R1784" t="s">
        <v>32</v>
      </c>
      <c r="S1784">
        <v>0.41249450836745499</v>
      </c>
      <c r="T1784" t="b">
        <v>0</v>
      </c>
      <c r="U1784" t="b">
        <v>0</v>
      </c>
      <c r="V1784" t="b">
        <f t="shared" si="54"/>
        <v>1</v>
      </c>
      <c r="W1784">
        <v>0</v>
      </c>
      <c r="Y1784">
        <f t="shared" si="55"/>
        <v>0</v>
      </c>
    </row>
    <row r="1785" spans="1:25" x14ac:dyDescent="0.3">
      <c r="A1785" t="s">
        <v>3651</v>
      </c>
      <c r="B1785" t="s">
        <v>735</v>
      </c>
      <c r="C1785">
        <v>292.02999999999997</v>
      </c>
      <c r="D1785" s="1">
        <v>45173.680787037039</v>
      </c>
      <c r="E1785" t="s">
        <v>57</v>
      </c>
      <c r="F1785" t="s">
        <v>104</v>
      </c>
      <c r="G1785" t="s">
        <v>2896</v>
      </c>
      <c r="H1785" t="s">
        <v>453</v>
      </c>
      <c r="I1785" t="s">
        <v>1358</v>
      </c>
      <c r="J1785" t="s">
        <v>30</v>
      </c>
      <c r="K1785">
        <v>46</v>
      </c>
      <c r="L1785" t="s">
        <v>89</v>
      </c>
      <c r="M1785">
        <v>154</v>
      </c>
      <c r="N1785">
        <v>1</v>
      </c>
      <c r="O1785">
        <v>951.33</v>
      </c>
      <c r="P1785" s="1">
        <v>45600.338321759256</v>
      </c>
      <c r="Q1785">
        <v>16</v>
      </c>
      <c r="R1785" t="s">
        <v>47</v>
      </c>
      <c r="S1785">
        <v>-1.9057542244015301E-2</v>
      </c>
      <c r="T1785" t="b">
        <v>0</v>
      </c>
      <c r="U1785" t="b">
        <v>0</v>
      </c>
      <c r="V1785" t="b">
        <f t="shared" si="54"/>
        <v>1</v>
      </c>
      <c r="W1785">
        <v>0</v>
      </c>
      <c r="Y1785">
        <f t="shared" si="55"/>
        <v>0</v>
      </c>
    </row>
    <row r="1786" spans="1:25" x14ac:dyDescent="0.3">
      <c r="A1786" t="s">
        <v>3652</v>
      </c>
      <c r="B1786" t="s">
        <v>1827</v>
      </c>
      <c r="C1786">
        <v>251.4</v>
      </c>
      <c r="D1786" s="1">
        <v>45112.702881944446</v>
      </c>
      <c r="E1786" t="s">
        <v>25</v>
      </c>
      <c r="F1786" t="s">
        <v>268</v>
      </c>
      <c r="G1786" t="s">
        <v>2822</v>
      </c>
      <c r="H1786" t="s">
        <v>1412</v>
      </c>
      <c r="I1786" t="s">
        <v>295</v>
      </c>
      <c r="J1786" t="s">
        <v>30</v>
      </c>
      <c r="K1786">
        <v>57</v>
      </c>
      <c r="L1786" t="s">
        <v>82</v>
      </c>
      <c r="M1786">
        <v>178</v>
      </c>
      <c r="N1786">
        <v>1</v>
      </c>
      <c r="O1786">
        <v>2561.67</v>
      </c>
      <c r="P1786" s="1">
        <v>45600.341006944444</v>
      </c>
      <c r="Q1786">
        <v>16</v>
      </c>
      <c r="R1786" t="s">
        <v>74</v>
      </c>
      <c r="S1786">
        <v>-0.158226998679796</v>
      </c>
      <c r="T1786" t="b">
        <v>0</v>
      </c>
      <c r="U1786" t="b">
        <v>0</v>
      </c>
      <c r="V1786" t="b">
        <f t="shared" si="54"/>
        <v>1</v>
      </c>
      <c r="W1786">
        <v>0</v>
      </c>
      <c r="Y1786">
        <f t="shared" si="55"/>
        <v>0</v>
      </c>
    </row>
    <row r="1787" spans="1:25" x14ac:dyDescent="0.3">
      <c r="A1787" t="s">
        <v>3653</v>
      </c>
      <c r="B1787" t="s">
        <v>1414</v>
      </c>
      <c r="C1787">
        <v>184.56</v>
      </c>
      <c r="D1787" s="1">
        <v>45260.671944444446</v>
      </c>
      <c r="E1787" t="s">
        <v>25</v>
      </c>
      <c r="F1787" t="s">
        <v>314</v>
      </c>
      <c r="G1787" t="s">
        <v>599</v>
      </c>
      <c r="H1787" t="s">
        <v>2078</v>
      </c>
      <c r="I1787" t="s">
        <v>720</v>
      </c>
      <c r="J1787" t="s">
        <v>45</v>
      </c>
      <c r="K1787">
        <v>21</v>
      </c>
      <c r="L1787" t="s">
        <v>46</v>
      </c>
      <c r="M1787">
        <v>93</v>
      </c>
      <c r="N1787">
        <v>1</v>
      </c>
      <c r="O1787">
        <v>1549.27</v>
      </c>
      <c r="P1787" s="1">
        <v>45600.33797453704</v>
      </c>
      <c r="Q1787">
        <v>16</v>
      </c>
      <c r="R1787" t="s">
        <v>141</v>
      </c>
      <c r="S1787">
        <v>-0.387173256818304</v>
      </c>
      <c r="T1787" t="b">
        <v>0</v>
      </c>
      <c r="U1787" t="b">
        <v>0</v>
      </c>
      <c r="V1787" t="b">
        <f t="shared" si="54"/>
        <v>1</v>
      </c>
      <c r="W1787">
        <v>0</v>
      </c>
      <c r="Y1787">
        <f t="shared" si="55"/>
        <v>0</v>
      </c>
    </row>
    <row r="1788" spans="1:25" x14ac:dyDescent="0.3">
      <c r="A1788" t="s">
        <v>3654</v>
      </c>
      <c r="B1788" t="s">
        <v>3251</v>
      </c>
      <c r="C1788">
        <v>33.76</v>
      </c>
      <c r="D1788" s="1">
        <v>44942.735706018517</v>
      </c>
      <c r="E1788" t="s">
        <v>25</v>
      </c>
      <c r="F1788" t="s">
        <v>70</v>
      </c>
      <c r="G1788" t="s">
        <v>337</v>
      </c>
      <c r="H1788" t="s">
        <v>1680</v>
      </c>
      <c r="I1788" t="s">
        <v>1222</v>
      </c>
      <c r="J1788" t="s">
        <v>45</v>
      </c>
      <c r="K1788">
        <v>26</v>
      </c>
      <c r="L1788" t="s">
        <v>89</v>
      </c>
      <c r="M1788">
        <v>227</v>
      </c>
      <c r="N1788">
        <v>1</v>
      </c>
      <c r="O1788">
        <v>3253.51</v>
      </c>
      <c r="P1788" s="1">
        <v>45600.339444444442</v>
      </c>
      <c r="Q1788">
        <v>17</v>
      </c>
      <c r="R1788" t="s">
        <v>47</v>
      </c>
      <c r="S1788">
        <v>-0.90370670576036205</v>
      </c>
      <c r="T1788" t="b">
        <v>0</v>
      </c>
      <c r="U1788" t="b">
        <v>0</v>
      </c>
      <c r="V1788" t="b">
        <f t="shared" si="54"/>
        <v>1</v>
      </c>
      <c r="W1788">
        <v>0</v>
      </c>
      <c r="Y1788">
        <f t="shared" si="55"/>
        <v>0</v>
      </c>
    </row>
    <row r="1789" spans="1:25" x14ac:dyDescent="0.3">
      <c r="A1789" t="s">
        <v>3655</v>
      </c>
      <c r="B1789" t="s">
        <v>377</v>
      </c>
      <c r="C1789">
        <v>253.46</v>
      </c>
      <c r="D1789" s="1">
        <v>45068.68582175926</v>
      </c>
      <c r="E1789" t="s">
        <v>25</v>
      </c>
      <c r="F1789" t="s">
        <v>104</v>
      </c>
      <c r="G1789" t="s">
        <v>2667</v>
      </c>
      <c r="H1789" t="s">
        <v>468</v>
      </c>
      <c r="I1789" t="s">
        <v>259</v>
      </c>
      <c r="J1789" t="s">
        <v>30</v>
      </c>
      <c r="K1789">
        <v>45</v>
      </c>
      <c r="L1789" t="s">
        <v>89</v>
      </c>
      <c r="M1789">
        <v>60</v>
      </c>
      <c r="N1789">
        <v>1</v>
      </c>
      <c r="O1789">
        <v>1338.95</v>
      </c>
      <c r="P1789" s="1">
        <v>45600.338321759256</v>
      </c>
      <c r="Q1789">
        <v>16</v>
      </c>
      <c r="R1789" t="s">
        <v>47</v>
      </c>
      <c r="S1789">
        <v>-0.151170905146502</v>
      </c>
      <c r="T1789" t="b">
        <v>0</v>
      </c>
      <c r="U1789" t="b">
        <v>0</v>
      </c>
      <c r="V1789" t="b">
        <f t="shared" si="54"/>
        <v>1</v>
      </c>
      <c r="W1789">
        <v>0</v>
      </c>
      <c r="Y1789">
        <f t="shared" si="55"/>
        <v>0</v>
      </c>
    </row>
    <row r="1790" spans="1:25" x14ac:dyDescent="0.3">
      <c r="A1790" t="s">
        <v>3656</v>
      </c>
      <c r="B1790" t="s">
        <v>1082</v>
      </c>
      <c r="C1790">
        <v>1612.37</v>
      </c>
      <c r="D1790" s="1">
        <v>45131.740428240744</v>
      </c>
      <c r="E1790" t="s">
        <v>25</v>
      </c>
      <c r="F1790" t="s">
        <v>153</v>
      </c>
      <c r="G1790" t="s">
        <v>2006</v>
      </c>
      <c r="H1790" t="s">
        <v>1682</v>
      </c>
      <c r="I1790" t="s">
        <v>316</v>
      </c>
      <c r="J1790" t="s">
        <v>30</v>
      </c>
      <c r="K1790">
        <v>65</v>
      </c>
      <c r="L1790" t="s">
        <v>82</v>
      </c>
      <c r="M1790">
        <v>173</v>
      </c>
      <c r="N1790">
        <v>1</v>
      </c>
      <c r="O1790">
        <v>3910.59</v>
      </c>
      <c r="P1790" s="1">
        <v>45600.339131944442</v>
      </c>
      <c r="Q1790">
        <v>17</v>
      </c>
      <c r="R1790" t="s">
        <v>47</v>
      </c>
      <c r="S1790">
        <v>4.5034873780222604</v>
      </c>
      <c r="T1790" t="b">
        <v>1</v>
      </c>
      <c r="U1790" t="b">
        <v>0</v>
      </c>
      <c r="V1790" t="b">
        <f t="shared" si="54"/>
        <v>1</v>
      </c>
      <c r="W1790">
        <v>1</v>
      </c>
      <c r="Y1790">
        <f t="shared" si="55"/>
        <v>1</v>
      </c>
    </row>
    <row r="1791" spans="1:25" x14ac:dyDescent="0.3">
      <c r="A1791" t="s">
        <v>3657</v>
      </c>
      <c r="B1791" t="s">
        <v>327</v>
      </c>
      <c r="C1791">
        <v>138.68</v>
      </c>
      <c r="D1791" s="1">
        <v>45091.671111111114</v>
      </c>
      <c r="E1791" t="s">
        <v>57</v>
      </c>
      <c r="F1791" t="s">
        <v>534</v>
      </c>
      <c r="G1791" t="s">
        <v>3658</v>
      </c>
      <c r="H1791" t="s">
        <v>243</v>
      </c>
      <c r="I1791" t="s">
        <v>53</v>
      </c>
      <c r="J1791" t="s">
        <v>81</v>
      </c>
      <c r="K1791">
        <v>22</v>
      </c>
      <c r="L1791" t="s">
        <v>46</v>
      </c>
      <c r="M1791">
        <v>44</v>
      </c>
      <c r="N1791">
        <v>1</v>
      </c>
      <c r="O1791">
        <v>206.2</v>
      </c>
      <c r="P1791" s="1">
        <v>45600.33934027778</v>
      </c>
      <c r="Q1791">
        <v>16</v>
      </c>
      <c r="R1791" t="s">
        <v>74</v>
      </c>
      <c r="S1791">
        <v>-0.544325475899615</v>
      </c>
      <c r="T1791" t="b">
        <v>0</v>
      </c>
      <c r="U1791" t="b">
        <v>0</v>
      </c>
      <c r="V1791" t="b">
        <f t="shared" si="54"/>
        <v>1</v>
      </c>
      <c r="W1791">
        <v>0</v>
      </c>
      <c r="Y1791">
        <f t="shared" si="55"/>
        <v>0</v>
      </c>
    </row>
    <row r="1792" spans="1:25" x14ac:dyDescent="0.3">
      <c r="A1792" t="s">
        <v>3659</v>
      </c>
      <c r="B1792" t="s">
        <v>1136</v>
      </c>
      <c r="C1792">
        <v>42.56</v>
      </c>
      <c r="D1792" s="1">
        <v>45138.684467592589</v>
      </c>
      <c r="E1792" t="s">
        <v>25</v>
      </c>
      <c r="F1792" t="s">
        <v>571</v>
      </c>
      <c r="G1792" t="s">
        <v>2308</v>
      </c>
      <c r="H1792" t="s">
        <v>946</v>
      </c>
      <c r="I1792" t="s">
        <v>366</v>
      </c>
      <c r="J1792" t="s">
        <v>45</v>
      </c>
      <c r="K1792">
        <v>18</v>
      </c>
      <c r="L1792" t="s">
        <v>46</v>
      </c>
      <c r="M1792">
        <v>146</v>
      </c>
      <c r="N1792">
        <v>1</v>
      </c>
      <c r="O1792">
        <v>4361.4399999999996</v>
      </c>
      <c r="P1792" s="1">
        <v>45600.338333333333</v>
      </c>
      <c r="Q1792">
        <v>16</v>
      </c>
      <c r="R1792" t="s">
        <v>47</v>
      </c>
      <c r="S1792">
        <v>-0.873564170278332</v>
      </c>
      <c r="T1792" t="b">
        <v>0</v>
      </c>
      <c r="U1792" t="b">
        <v>0</v>
      </c>
      <c r="V1792" t="b">
        <f t="shared" si="54"/>
        <v>1</v>
      </c>
      <c r="W1792">
        <v>0</v>
      </c>
      <c r="Y1792">
        <f t="shared" si="55"/>
        <v>0</v>
      </c>
    </row>
    <row r="1793" spans="1:25" x14ac:dyDescent="0.3">
      <c r="A1793" t="s">
        <v>3660</v>
      </c>
      <c r="B1793" t="s">
        <v>856</v>
      </c>
      <c r="C1793">
        <v>680.76</v>
      </c>
      <c r="D1793" s="1">
        <v>44984.693530092591</v>
      </c>
      <c r="E1793" t="s">
        <v>25</v>
      </c>
      <c r="F1793" t="s">
        <v>304</v>
      </c>
      <c r="G1793" t="s">
        <v>2474</v>
      </c>
      <c r="H1793" t="s">
        <v>264</v>
      </c>
      <c r="I1793" t="s">
        <v>1362</v>
      </c>
      <c r="J1793" t="s">
        <v>81</v>
      </c>
      <c r="K1793">
        <v>21</v>
      </c>
      <c r="L1793" t="s">
        <v>46</v>
      </c>
      <c r="M1793">
        <v>165</v>
      </c>
      <c r="N1793">
        <v>1</v>
      </c>
      <c r="O1793">
        <v>572.97</v>
      </c>
      <c r="P1793" s="1">
        <v>45600.339629629627</v>
      </c>
      <c r="Q1793">
        <v>16</v>
      </c>
      <c r="R1793" t="s">
        <v>47</v>
      </c>
      <c r="S1793">
        <v>1.31245470979342</v>
      </c>
      <c r="T1793" t="b">
        <v>0</v>
      </c>
      <c r="U1793" t="b">
        <v>0</v>
      </c>
      <c r="V1793" t="b">
        <f t="shared" si="54"/>
        <v>1</v>
      </c>
      <c r="W1793">
        <v>0</v>
      </c>
      <c r="Y1793">
        <f t="shared" si="55"/>
        <v>0</v>
      </c>
    </row>
    <row r="1794" spans="1:25" x14ac:dyDescent="0.3">
      <c r="A1794" t="s">
        <v>3661</v>
      </c>
      <c r="B1794" t="s">
        <v>1101</v>
      </c>
      <c r="C1794">
        <v>53.83</v>
      </c>
      <c r="D1794" s="1">
        <v>45077.722997685189</v>
      </c>
      <c r="E1794" t="s">
        <v>25</v>
      </c>
      <c r="F1794" t="s">
        <v>210</v>
      </c>
      <c r="G1794" t="s">
        <v>2291</v>
      </c>
      <c r="H1794" t="s">
        <v>3017</v>
      </c>
      <c r="I1794" t="s">
        <v>632</v>
      </c>
      <c r="J1794" t="s">
        <v>81</v>
      </c>
      <c r="K1794">
        <v>70</v>
      </c>
      <c r="L1794" t="s">
        <v>82</v>
      </c>
      <c r="M1794">
        <v>131</v>
      </c>
      <c r="N1794">
        <v>1</v>
      </c>
      <c r="O1794">
        <v>4580.59</v>
      </c>
      <c r="P1794" s="1">
        <v>45600.341493055559</v>
      </c>
      <c r="Q1794">
        <v>17</v>
      </c>
      <c r="R1794" t="s">
        <v>74</v>
      </c>
      <c r="S1794">
        <v>-0.83496117313259599</v>
      </c>
      <c r="T1794" t="b">
        <v>0</v>
      </c>
      <c r="U1794" t="b">
        <v>0</v>
      </c>
      <c r="V1794" t="b">
        <f t="shared" si="54"/>
        <v>1</v>
      </c>
      <c r="W1794">
        <v>0</v>
      </c>
      <c r="Y1794">
        <f t="shared" si="55"/>
        <v>0</v>
      </c>
    </row>
    <row r="1795" spans="1:25" x14ac:dyDescent="0.3">
      <c r="A1795" t="s">
        <v>3662</v>
      </c>
      <c r="B1795" t="s">
        <v>2110</v>
      </c>
      <c r="C1795">
        <v>11.09</v>
      </c>
      <c r="D1795" s="1">
        <v>45230.704629629632</v>
      </c>
      <c r="E1795" t="s">
        <v>25</v>
      </c>
      <c r="F1795" t="s">
        <v>262</v>
      </c>
      <c r="G1795" t="s">
        <v>1499</v>
      </c>
      <c r="H1795" t="s">
        <v>2117</v>
      </c>
      <c r="I1795" t="s">
        <v>222</v>
      </c>
      <c r="J1795" t="s">
        <v>81</v>
      </c>
      <c r="K1795">
        <v>51</v>
      </c>
      <c r="L1795" t="s">
        <v>89</v>
      </c>
      <c r="M1795">
        <v>95</v>
      </c>
      <c r="N1795">
        <v>1</v>
      </c>
      <c r="O1795">
        <v>2990.05</v>
      </c>
      <c r="P1795" s="1">
        <v>45600.340520833335</v>
      </c>
      <c r="Q1795">
        <v>16</v>
      </c>
      <c r="R1795" t="s">
        <v>32</v>
      </c>
      <c r="S1795">
        <v>-0.981357987507818</v>
      </c>
      <c r="T1795" t="b">
        <v>0</v>
      </c>
      <c r="U1795" t="b">
        <v>0</v>
      </c>
      <c r="V1795" t="b">
        <f t="shared" ref="V1795:V1858" si="56">ISLOGICAL(T1795)</f>
        <v>1</v>
      </c>
      <c r="W1795">
        <v>0</v>
      </c>
      <c r="Y1795">
        <f t="shared" ref="Y1795:Y1858" si="57">--T1795</f>
        <v>0</v>
      </c>
    </row>
    <row r="1796" spans="1:25" x14ac:dyDescent="0.3">
      <c r="A1796" t="s">
        <v>3663</v>
      </c>
      <c r="B1796" t="s">
        <v>1501</v>
      </c>
      <c r="C1796">
        <v>37.81</v>
      </c>
      <c r="D1796" s="1">
        <v>45131.697615740741</v>
      </c>
      <c r="E1796" t="s">
        <v>25</v>
      </c>
      <c r="F1796" t="s">
        <v>534</v>
      </c>
      <c r="G1796" t="s">
        <v>417</v>
      </c>
      <c r="H1796" t="s">
        <v>133</v>
      </c>
      <c r="I1796" t="s">
        <v>239</v>
      </c>
      <c r="J1796" t="s">
        <v>81</v>
      </c>
      <c r="K1796">
        <v>63</v>
      </c>
      <c r="L1796" t="s">
        <v>82</v>
      </c>
      <c r="M1796">
        <v>195</v>
      </c>
      <c r="N1796">
        <v>1</v>
      </c>
      <c r="O1796">
        <v>5208.9799999999996</v>
      </c>
      <c r="P1796" s="1">
        <v>45600.341041666667</v>
      </c>
      <c r="Q1796">
        <v>16</v>
      </c>
      <c r="R1796" t="s">
        <v>47</v>
      </c>
      <c r="S1796">
        <v>-0.88983428886238203</v>
      </c>
      <c r="T1796" t="b">
        <v>0</v>
      </c>
      <c r="U1796" t="b">
        <v>0</v>
      </c>
      <c r="V1796" t="b">
        <f t="shared" si="56"/>
        <v>1</v>
      </c>
      <c r="W1796">
        <v>0</v>
      </c>
      <c r="Y1796">
        <f t="shared" si="57"/>
        <v>0</v>
      </c>
    </row>
    <row r="1797" spans="1:25" x14ac:dyDescent="0.3">
      <c r="A1797" t="s">
        <v>3664</v>
      </c>
      <c r="B1797" t="s">
        <v>1695</v>
      </c>
      <c r="C1797">
        <v>449.18</v>
      </c>
      <c r="D1797" s="1">
        <v>45285.709537037037</v>
      </c>
      <c r="E1797" t="s">
        <v>25</v>
      </c>
      <c r="F1797" t="s">
        <v>126</v>
      </c>
      <c r="G1797" t="s">
        <v>3665</v>
      </c>
      <c r="H1797" t="s">
        <v>1201</v>
      </c>
      <c r="I1797" t="s">
        <v>611</v>
      </c>
      <c r="J1797" t="s">
        <v>45</v>
      </c>
      <c r="K1797">
        <v>67</v>
      </c>
      <c r="L1797" t="s">
        <v>82</v>
      </c>
      <c r="M1797">
        <v>50</v>
      </c>
      <c r="N1797">
        <v>1</v>
      </c>
      <c r="O1797">
        <v>1025.99</v>
      </c>
      <c r="P1797" s="1">
        <v>45600.339849537035</v>
      </c>
      <c r="Q1797">
        <v>17</v>
      </c>
      <c r="R1797" t="s">
        <v>47</v>
      </c>
      <c r="S1797">
        <v>0.51922648627882495</v>
      </c>
      <c r="T1797" t="b">
        <v>0</v>
      </c>
      <c r="U1797" t="b">
        <v>0</v>
      </c>
      <c r="V1797" t="b">
        <f t="shared" si="56"/>
        <v>1</v>
      </c>
      <c r="W1797">
        <v>0</v>
      </c>
      <c r="Y1797">
        <f t="shared" si="57"/>
        <v>0</v>
      </c>
    </row>
    <row r="1798" spans="1:25" x14ac:dyDescent="0.3">
      <c r="A1798" t="s">
        <v>3666</v>
      </c>
      <c r="B1798" t="s">
        <v>3667</v>
      </c>
      <c r="C1798">
        <v>1135.8</v>
      </c>
      <c r="D1798" s="1">
        <v>45175.668923611112</v>
      </c>
      <c r="E1798" t="s">
        <v>25</v>
      </c>
      <c r="F1798" t="s">
        <v>26</v>
      </c>
      <c r="G1798" t="s">
        <v>979</v>
      </c>
      <c r="H1798" t="s">
        <v>462</v>
      </c>
      <c r="I1798" t="s">
        <v>445</v>
      </c>
      <c r="J1798" t="s">
        <v>30</v>
      </c>
      <c r="K1798">
        <v>30</v>
      </c>
      <c r="L1798" t="s">
        <v>31</v>
      </c>
      <c r="M1798">
        <v>250</v>
      </c>
      <c r="N1798">
        <v>1</v>
      </c>
      <c r="O1798">
        <v>13534.3</v>
      </c>
      <c r="P1798" s="1">
        <v>45600.338356481479</v>
      </c>
      <c r="Q1798">
        <v>16</v>
      </c>
      <c r="R1798" t="s">
        <v>74</v>
      </c>
      <c r="S1798">
        <v>2.8710978172642001</v>
      </c>
      <c r="T1798" t="b">
        <v>1</v>
      </c>
      <c r="U1798" t="b">
        <v>0</v>
      </c>
      <c r="V1798" t="b">
        <f t="shared" si="56"/>
        <v>1</v>
      </c>
      <c r="W1798">
        <v>1</v>
      </c>
      <c r="Y1798">
        <f t="shared" si="57"/>
        <v>1</v>
      </c>
    </row>
    <row r="1799" spans="1:25" x14ac:dyDescent="0.3">
      <c r="A1799" t="s">
        <v>3668</v>
      </c>
      <c r="B1799" t="s">
        <v>136</v>
      </c>
      <c r="C1799">
        <v>297.60000000000002</v>
      </c>
      <c r="D1799" s="1">
        <v>45202.700567129628</v>
      </c>
      <c r="E1799" t="s">
        <v>25</v>
      </c>
      <c r="F1799" t="s">
        <v>191</v>
      </c>
      <c r="G1799" t="s">
        <v>2929</v>
      </c>
      <c r="H1799" t="s">
        <v>887</v>
      </c>
      <c r="I1799" t="s">
        <v>527</v>
      </c>
      <c r="J1799" t="s">
        <v>45</v>
      </c>
      <c r="K1799">
        <v>39</v>
      </c>
      <c r="L1799" t="s">
        <v>31</v>
      </c>
      <c r="M1799">
        <v>162</v>
      </c>
      <c r="N1799">
        <v>1</v>
      </c>
      <c r="O1799">
        <v>1461.17</v>
      </c>
      <c r="P1799" s="1">
        <v>45600.340150462966</v>
      </c>
      <c r="Q1799">
        <v>16</v>
      </c>
      <c r="R1799" t="s">
        <v>32</v>
      </c>
      <c r="S1799" s="2">
        <v>2.1312600860542699E-5</v>
      </c>
      <c r="T1799" t="b">
        <v>0</v>
      </c>
      <c r="U1799" t="b">
        <v>0</v>
      </c>
      <c r="V1799" t="b">
        <f t="shared" si="56"/>
        <v>1</v>
      </c>
      <c r="W1799">
        <v>0</v>
      </c>
      <c r="Y1799">
        <f t="shared" si="57"/>
        <v>0</v>
      </c>
    </row>
    <row r="1800" spans="1:25" x14ac:dyDescent="0.3">
      <c r="A1800" t="s">
        <v>3669</v>
      </c>
      <c r="B1800" t="s">
        <v>1230</v>
      </c>
      <c r="C1800">
        <v>683.75</v>
      </c>
      <c r="D1800" s="1">
        <v>44977.789247685185</v>
      </c>
      <c r="E1800" t="s">
        <v>25</v>
      </c>
      <c r="F1800" t="s">
        <v>159</v>
      </c>
      <c r="G1800" t="s">
        <v>1310</v>
      </c>
      <c r="H1800" t="s">
        <v>2311</v>
      </c>
      <c r="I1800" t="s">
        <v>101</v>
      </c>
      <c r="J1800" t="s">
        <v>81</v>
      </c>
      <c r="K1800">
        <v>32</v>
      </c>
      <c r="L1800" t="s">
        <v>31</v>
      </c>
      <c r="M1800">
        <v>106</v>
      </c>
      <c r="N1800">
        <v>1</v>
      </c>
      <c r="O1800">
        <v>6333.72</v>
      </c>
      <c r="P1800" s="1">
        <v>45600.338750000003</v>
      </c>
      <c r="Q1800">
        <v>18</v>
      </c>
      <c r="R1800" t="s">
        <v>47</v>
      </c>
      <c r="S1800">
        <v>1.3226963212810601</v>
      </c>
      <c r="T1800" t="b">
        <v>0</v>
      </c>
      <c r="U1800" t="b">
        <v>0</v>
      </c>
      <c r="V1800" t="b">
        <f t="shared" si="56"/>
        <v>1</v>
      </c>
      <c r="W1800">
        <v>0</v>
      </c>
      <c r="Y1800">
        <f t="shared" si="57"/>
        <v>0</v>
      </c>
    </row>
    <row r="1801" spans="1:25" x14ac:dyDescent="0.3">
      <c r="A1801" t="s">
        <v>3670</v>
      </c>
      <c r="B1801" t="s">
        <v>2991</v>
      </c>
      <c r="C1801">
        <v>21.4</v>
      </c>
      <c r="D1801" s="1">
        <v>44970.676388888889</v>
      </c>
      <c r="E1801" t="s">
        <v>57</v>
      </c>
      <c r="F1801" t="s">
        <v>304</v>
      </c>
      <c r="G1801" t="s">
        <v>2584</v>
      </c>
      <c r="H1801" t="s">
        <v>2523</v>
      </c>
      <c r="I1801" t="s">
        <v>44</v>
      </c>
      <c r="J1801" t="s">
        <v>45</v>
      </c>
      <c r="K1801">
        <v>48</v>
      </c>
      <c r="L1801" t="s">
        <v>89</v>
      </c>
      <c r="M1801">
        <v>129</v>
      </c>
      <c r="N1801">
        <v>1</v>
      </c>
      <c r="O1801">
        <v>8551.6</v>
      </c>
      <c r="P1801" s="1">
        <v>45600.341909722221</v>
      </c>
      <c r="Q1801">
        <v>16</v>
      </c>
      <c r="R1801" t="s">
        <v>47</v>
      </c>
      <c r="S1801">
        <v>-0.94604326696012198</v>
      </c>
      <c r="T1801" t="b">
        <v>0</v>
      </c>
      <c r="U1801" t="b">
        <v>0</v>
      </c>
      <c r="V1801" t="b">
        <f t="shared" si="56"/>
        <v>1</v>
      </c>
      <c r="W1801">
        <v>0</v>
      </c>
      <c r="Y1801">
        <f t="shared" si="57"/>
        <v>0</v>
      </c>
    </row>
    <row r="1802" spans="1:25" x14ac:dyDescent="0.3">
      <c r="A1802" t="s">
        <v>3671</v>
      </c>
      <c r="B1802" t="s">
        <v>2650</v>
      </c>
      <c r="C1802">
        <v>315.94</v>
      </c>
      <c r="D1802" s="1">
        <v>45198.766168981485</v>
      </c>
      <c r="E1802" t="s">
        <v>25</v>
      </c>
      <c r="F1802" t="s">
        <v>309</v>
      </c>
      <c r="G1802" t="s">
        <v>1984</v>
      </c>
      <c r="H1802" t="s">
        <v>1689</v>
      </c>
      <c r="I1802" t="s">
        <v>199</v>
      </c>
      <c r="J1802" t="s">
        <v>30</v>
      </c>
      <c r="K1802">
        <v>78</v>
      </c>
      <c r="L1802" t="s">
        <v>82</v>
      </c>
      <c r="M1802">
        <v>93</v>
      </c>
      <c r="N1802">
        <v>1</v>
      </c>
      <c r="O1802">
        <v>4273.99</v>
      </c>
      <c r="P1802" s="1">
        <v>45600.337824074071</v>
      </c>
      <c r="Q1802">
        <v>18</v>
      </c>
      <c r="R1802" t="s">
        <v>54</v>
      </c>
      <c r="S1802">
        <v>6.2841096775909003E-2</v>
      </c>
      <c r="T1802" t="b">
        <v>0</v>
      </c>
      <c r="U1802" t="b">
        <v>0</v>
      </c>
      <c r="V1802" t="b">
        <f t="shared" si="56"/>
        <v>1</v>
      </c>
      <c r="W1802">
        <v>0</v>
      </c>
      <c r="Y1802">
        <f t="shared" si="57"/>
        <v>0</v>
      </c>
    </row>
    <row r="1803" spans="1:25" x14ac:dyDescent="0.3">
      <c r="A1803" t="s">
        <v>3672</v>
      </c>
      <c r="B1803" t="s">
        <v>518</v>
      </c>
      <c r="C1803">
        <v>331.32</v>
      </c>
      <c r="D1803" s="1">
        <v>45082.725335648145</v>
      </c>
      <c r="E1803" t="s">
        <v>25</v>
      </c>
      <c r="F1803" t="s">
        <v>298</v>
      </c>
      <c r="G1803" t="s">
        <v>2400</v>
      </c>
      <c r="H1803" t="s">
        <v>1228</v>
      </c>
      <c r="I1803" t="s">
        <v>316</v>
      </c>
      <c r="J1803" t="s">
        <v>81</v>
      </c>
      <c r="K1803">
        <v>61</v>
      </c>
      <c r="L1803" t="s">
        <v>31</v>
      </c>
      <c r="M1803">
        <v>137</v>
      </c>
      <c r="N1803">
        <v>5</v>
      </c>
      <c r="O1803">
        <v>13054.54</v>
      </c>
      <c r="P1803" s="1">
        <v>45600.338599537034</v>
      </c>
      <c r="Q1803">
        <v>17</v>
      </c>
      <c r="R1803" t="s">
        <v>47</v>
      </c>
      <c r="S1803">
        <v>0.115522028107002</v>
      </c>
      <c r="T1803" t="b">
        <v>0</v>
      </c>
      <c r="U1803" t="b">
        <v>1</v>
      </c>
      <c r="V1803" t="b">
        <f t="shared" si="56"/>
        <v>1</v>
      </c>
      <c r="W1803">
        <v>1</v>
      </c>
      <c r="Y1803">
        <f t="shared" si="57"/>
        <v>0</v>
      </c>
    </row>
    <row r="1804" spans="1:25" x14ac:dyDescent="0.3">
      <c r="A1804" t="s">
        <v>3673</v>
      </c>
      <c r="B1804" t="s">
        <v>277</v>
      </c>
      <c r="C1804">
        <v>223.76</v>
      </c>
      <c r="D1804" s="1">
        <v>45149.668437499997</v>
      </c>
      <c r="E1804" t="s">
        <v>57</v>
      </c>
      <c r="F1804" t="s">
        <v>401</v>
      </c>
      <c r="G1804" t="s">
        <v>1828</v>
      </c>
      <c r="H1804" t="s">
        <v>2877</v>
      </c>
      <c r="I1804" t="s">
        <v>772</v>
      </c>
      <c r="J1804" t="s">
        <v>81</v>
      </c>
      <c r="K1804">
        <v>74</v>
      </c>
      <c r="L1804" t="s">
        <v>82</v>
      </c>
      <c r="M1804">
        <v>110</v>
      </c>
      <c r="N1804">
        <v>1</v>
      </c>
      <c r="O1804">
        <v>4102.2299999999996</v>
      </c>
      <c r="P1804" s="1">
        <v>45600.340937499997</v>
      </c>
      <c r="Q1804">
        <v>16</v>
      </c>
      <c r="R1804" t="s">
        <v>54</v>
      </c>
      <c r="S1804">
        <v>-0.252901962398353</v>
      </c>
      <c r="T1804" t="b">
        <v>0</v>
      </c>
      <c r="U1804" t="b">
        <v>0</v>
      </c>
      <c r="V1804" t="b">
        <f t="shared" si="56"/>
        <v>1</v>
      </c>
      <c r="W1804">
        <v>0</v>
      </c>
      <c r="Y1804">
        <f t="shared" si="57"/>
        <v>0</v>
      </c>
    </row>
    <row r="1805" spans="1:25" x14ac:dyDescent="0.3">
      <c r="A1805" t="s">
        <v>3674</v>
      </c>
      <c r="B1805" t="s">
        <v>2480</v>
      </c>
      <c r="C1805">
        <v>216.03</v>
      </c>
      <c r="D1805" s="1">
        <v>45226.769502314812</v>
      </c>
      <c r="E1805" t="s">
        <v>25</v>
      </c>
      <c r="F1805" t="s">
        <v>401</v>
      </c>
      <c r="G1805" t="s">
        <v>1556</v>
      </c>
      <c r="H1805" t="s">
        <v>1553</v>
      </c>
      <c r="I1805" t="s">
        <v>577</v>
      </c>
      <c r="J1805" t="s">
        <v>30</v>
      </c>
      <c r="K1805">
        <v>42</v>
      </c>
      <c r="L1805" t="s">
        <v>31</v>
      </c>
      <c r="M1805">
        <v>300</v>
      </c>
      <c r="N1805">
        <v>1</v>
      </c>
      <c r="O1805">
        <v>10462.77</v>
      </c>
      <c r="P1805" s="1">
        <v>45600.340092592596</v>
      </c>
      <c r="Q1805">
        <v>18</v>
      </c>
      <c r="R1805" t="s">
        <v>54</v>
      </c>
      <c r="S1805">
        <v>-0.279379439588818</v>
      </c>
      <c r="T1805" t="b">
        <v>0</v>
      </c>
      <c r="U1805" t="b">
        <v>0</v>
      </c>
      <c r="V1805" t="b">
        <f t="shared" si="56"/>
        <v>1</v>
      </c>
      <c r="W1805">
        <v>0</v>
      </c>
      <c r="Y1805">
        <f t="shared" si="57"/>
        <v>0</v>
      </c>
    </row>
    <row r="1806" spans="1:25" x14ac:dyDescent="0.3">
      <c r="A1806" t="s">
        <v>3675</v>
      </c>
      <c r="B1806" t="s">
        <v>1501</v>
      </c>
      <c r="C1806">
        <v>17.420000000000002</v>
      </c>
      <c r="D1806" s="1">
        <v>45238.725624999999</v>
      </c>
      <c r="E1806" t="s">
        <v>25</v>
      </c>
      <c r="F1806" t="s">
        <v>336</v>
      </c>
      <c r="G1806" t="s">
        <v>359</v>
      </c>
      <c r="H1806" t="s">
        <v>996</v>
      </c>
      <c r="I1806" t="s">
        <v>611</v>
      </c>
      <c r="J1806" t="s">
        <v>30</v>
      </c>
      <c r="K1806">
        <v>74</v>
      </c>
      <c r="L1806" t="s">
        <v>82</v>
      </c>
      <c r="M1806">
        <v>150</v>
      </c>
      <c r="N1806">
        <v>1</v>
      </c>
      <c r="O1806">
        <v>6851.31</v>
      </c>
      <c r="P1806" s="1">
        <v>45600.341828703706</v>
      </c>
      <c r="Q1806">
        <v>17</v>
      </c>
      <c r="R1806" t="s">
        <v>74</v>
      </c>
      <c r="S1806">
        <v>-0.95967591368949401</v>
      </c>
      <c r="T1806" t="b">
        <v>0</v>
      </c>
      <c r="U1806" t="b">
        <v>0</v>
      </c>
      <c r="V1806" t="b">
        <f t="shared" si="56"/>
        <v>1</v>
      </c>
      <c r="W1806">
        <v>0</v>
      </c>
      <c r="Y1806">
        <f t="shared" si="57"/>
        <v>0</v>
      </c>
    </row>
    <row r="1807" spans="1:25" x14ac:dyDescent="0.3">
      <c r="A1807" t="s">
        <v>3676</v>
      </c>
      <c r="B1807" t="s">
        <v>1968</v>
      </c>
      <c r="C1807">
        <v>491.91</v>
      </c>
      <c r="D1807" s="1">
        <v>44935.718958333331</v>
      </c>
      <c r="E1807" t="s">
        <v>25</v>
      </c>
      <c r="F1807" t="s">
        <v>191</v>
      </c>
      <c r="G1807" t="s">
        <v>603</v>
      </c>
      <c r="H1807" t="s">
        <v>883</v>
      </c>
      <c r="I1807" t="s">
        <v>321</v>
      </c>
      <c r="J1807" t="s">
        <v>45</v>
      </c>
      <c r="K1807">
        <v>78</v>
      </c>
      <c r="L1807" t="s">
        <v>82</v>
      </c>
      <c r="M1807">
        <v>155</v>
      </c>
      <c r="N1807">
        <v>1</v>
      </c>
      <c r="O1807">
        <v>2421.94</v>
      </c>
      <c r="P1807" s="1">
        <v>45600.339687500003</v>
      </c>
      <c r="Q1807">
        <v>17</v>
      </c>
      <c r="R1807" t="s">
        <v>47</v>
      </c>
      <c r="S1807">
        <v>0.66558904777281702</v>
      </c>
      <c r="T1807" t="b">
        <v>0</v>
      </c>
      <c r="U1807" t="b">
        <v>0</v>
      </c>
      <c r="V1807" t="b">
        <f t="shared" si="56"/>
        <v>1</v>
      </c>
      <c r="W1807">
        <v>0</v>
      </c>
      <c r="Y1807">
        <f t="shared" si="57"/>
        <v>0</v>
      </c>
    </row>
    <row r="1808" spans="1:25" x14ac:dyDescent="0.3">
      <c r="A1808" t="s">
        <v>3677</v>
      </c>
      <c r="B1808" t="s">
        <v>2723</v>
      </c>
      <c r="C1808">
        <v>350.11</v>
      </c>
      <c r="D1808" s="1">
        <v>44998.715671296297</v>
      </c>
      <c r="E1808" t="s">
        <v>57</v>
      </c>
      <c r="F1808" t="s">
        <v>50</v>
      </c>
      <c r="G1808" t="s">
        <v>3678</v>
      </c>
      <c r="H1808" t="s">
        <v>1183</v>
      </c>
      <c r="I1808" t="s">
        <v>1358</v>
      </c>
      <c r="J1808" t="s">
        <v>45</v>
      </c>
      <c r="K1808">
        <v>74</v>
      </c>
      <c r="L1808" t="s">
        <v>82</v>
      </c>
      <c r="M1808">
        <v>178</v>
      </c>
      <c r="N1808">
        <v>1</v>
      </c>
      <c r="O1808">
        <v>4639.04</v>
      </c>
      <c r="P1808" s="1">
        <v>45600.33902777778</v>
      </c>
      <c r="Q1808">
        <v>17</v>
      </c>
      <c r="R1808" t="s">
        <v>47</v>
      </c>
      <c r="S1808">
        <v>0.179883191937381</v>
      </c>
      <c r="T1808" t="b">
        <v>0</v>
      </c>
      <c r="U1808" t="b">
        <v>0</v>
      </c>
      <c r="V1808" t="b">
        <f t="shared" si="56"/>
        <v>1</v>
      </c>
      <c r="W1808">
        <v>0</v>
      </c>
      <c r="Y1808">
        <f t="shared" si="57"/>
        <v>0</v>
      </c>
    </row>
    <row r="1809" spans="1:25" x14ac:dyDescent="0.3">
      <c r="A1809" t="s">
        <v>3679</v>
      </c>
      <c r="B1809" t="s">
        <v>1302</v>
      </c>
      <c r="C1809">
        <v>218.07</v>
      </c>
      <c r="D1809" s="1">
        <v>45236.779780092591</v>
      </c>
      <c r="E1809" t="s">
        <v>25</v>
      </c>
      <c r="F1809" t="s">
        <v>131</v>
      </c>
      <c r="G1809" t="s">
        <v>1740</v>
      </c>
      <c r="H1809" t="s">
        <v>360</v>
      </c>
      <c r="I1809" t="s">
        <v>665</v>
      </c>
      <c r="J1809" t="s">
        <v>81</v>
      </c>
      <c r="K1809">
        <v>23</v>
      </c>
      <c r="L1809" t="s">
        <v>46</v>
      </c>
      <c r="M1809">
        <v>243</v>
      </c>
      <c r="N1809">
        <v>1</v>
      </c>
      <c r="O1809">
        <v>443.62</v>
      </c>
      <c r="P1809" s="1">
        <v>45600.337858796294</v>
      </c>
      <c r="Q1809">
        <v>18</v>
      </c>
      <c r="R1809" t="s">
        <v>47</v>
      </c>
      <c r="S1809">
        <v>-0.27239185181798398</v>
      </c>
      <c r="T1809" t="b">
        <v>0</v>
      </c>
      <c r="U1809" t="b">
        <v>0</v>
      </c>
      <c r="V1809" t="b">
        <f t="shared" si="56"/>
        <v>1</v>
      </c>
      <c r="W1809">
        <v>0</v>
      </c>
      <c r="Y1809">
        <f t="shared" si="57"/>
        <v>0</v>
      </c>
    </row>
    <row r="1810" spans="1:25" x14ac:dyDescent="0.3">
      <c r="A1810" t="s">
        <v>3680</v>
      </c>
      <c r="B1810" t="s">
        <v>902</v>
      </c>
      <c r="C1810">
        <v>291.08999999999997</v>
      </c>
      <c r="D1810" s="1">
        <v>45250.787349537037</v>
      </c>
      <c r="E1810" t="s">
        <v>25</v>
      </c>
      <c r="F1810" t="s">
        <v>519</v>
      </c>
      <c r="G1810" t="s">
        <v>1292</v>
      </c>
      <c r="H1810" t="s">
        <v>2219</v>
      </c>
      <c r="I1810" t="s">
        <v>73</v>
      </c>
      <c r="J1810" t="s">
        <v>81</v>
      </c>
      <c r="K1810">
        <v>48</v>
      </c>
      <c r="L1810" t="s">
        <v>89</v>
      </c>
      <c r="M1810">
        <v>73</v>
      </c>
      <c r="N1810">
        <v>1</v>
      </c>
      <c r="O1810">
        <v>6312.79</v>
      </c>
      <c r="P1810" s="1">
        <v>45600.339375000003</v>
      </c>
      <c r="Q1810">
        <v>18</v>
      </c>
      <c r="R1810" t="s">
        <v>47</v>
      </c>
      <c r="S1810">
        <v>-2.2277313079595799E-2</v>
      </c>
      <c r="T1810" t="b">
        <v>0</v>
      </c>
      <c r="U1810" t="b">
        <v>0</v>
      </c>
      <c r="V1810" t="b">
        <f t="shared" si="56"/>
        <v>1</v>
      </c>
      <c r="W1810">
        <v>0</v>
      </c>
      <c r="Y1810">
        <f t="shared" si="57"/>
        <v>0</v>
      </c>
    </row>
    <row r="1811" spans="1:25" x14ac:dyDescent="0.3">
      <c r="A1811" t="s">
        <v>3681</v>
      </c>
      <c r="B1811" t="s">
        <v>1109</v>
      </c>
      <c r="C1811">
        <v>422.14</v>
      </c>
      <c r="D1811" s="1">
        <v>45247.729930555557</v>
      </c>
      <c r="E1811" t="s">
        <v>57</v>
      </c>
      <c r="F1811" t="s">
        <v>98</v>
      </c>
      <c r="G1811" t="s">
        <v>65</v>
      </c>
      <c r="H1811" t="s">
        <v>1290</v>
      </c>
      <c r="I1811" t="s">
        <v>1575</v>
      </c>
      <c r="J1811" t="s">
        <v>81</v>
      </c>
      <c r="K1811">
        <v>26</v>
      </c>
      <c r="L1811" t="s">
        <v>46</v>
      </c>
      <c r="M1811">
        <v>109</v>
      </c>
      <c r="N1811">
        <v>1</v>
      </c>
      <c r="O1811">
        <v>1436.32</v>
      </c>
      <c r="P1811" s="1">
        <v>45600.338472222225</v>
      </c>
      <c r="Q1811">
        <v>17</v>
      </c>
      <c r="R1811" t="s">
        <v>54</v>
      </c>
      <c r="S1811">
        <v>0.426606695434042</v>
      </c>
      <c r="T1811" t="b">
        <v>0</v>
      </c>
      <c r="U1811" t="b">
        <v>0</v>
      </c>
      <c r="V1811" t="b">
        <f t="shared" si="56"/>
        <v>1</v>
      </c>
      <c r="W1811">
        <v>0</v>
      </c>
      <c r="Y1811">
        <f t="shared" si="57"/>
        <v>0</v>
      </c>
    </row>
    <row r="1812" spans="1:25" x14ac:dyDescent="0.3">
      <c r="A1812" t="s">
        <v>3682</v>
      </c>
      <c r="B1812" t="s">
        <v>1773</v>
      </c>
      <c r="C1812">
        <v>613.21</v>
      </c>
      <c r="D1812" s="1">
        <v>45000.739942129629</v>
      </c>
      <c r="E1812" t="s">
        <v>25</v>
      </c>
      <c r="F1812" t="s">
        <v>268</v>
      </c>
      <c r="G1812" t="s">
        <v>2630</v>
      </c>
      <c r="H1812" t="s">
        <v>2300</v>
      </c>
      <c r="I1812" t="s">
        <v>647</v>
      </c>
      <c r="J1812" t="s">
        <v>30</v>
      </c>
      <c r="K1812">
        <v>61</v>
      </c>
      <c r="L1812" t="s">
        <v>82</v>
      </c>
      <c r="M1812">
        <v>157</v>
      </c>
      <c r="N1812">
        <v>1</v>
      </c>
      <c r="O1812">
        <v>3279.12</v>
      </c>
      <c r="P1812" s="1">
        <v>45600.340532407405</v>
      </c>
      <c r="Q1812">
        <v>17</v>
      </c>
      <c r="R1812" t="s">
        <v>74</v>
      </c>
      <c r="S1812">
        <v>1.0810764970876101</v>
      </c>
      <c r="T1812" t="b">
        <v>0</v>
      </c>
      <c r="U1812" t="b">
        <v>0</v>
      </c>
      <c r="V1812" t="b">
        <f t="shared" si="56"/>
        <v>1</v>
      </c>
      <c r="W1812">
        <v>0</v>
      </c>
      <c r="Y1812">
        <f t="shared" si="57"/>
        <v>0</v>
      </c>
    </row>
    <row r="1813" spans="1:25" x14ac:dyDescent="0.3">
      <c r="A1813" t="s">
        <v>3683</v>
      </c>
      <c r="B1813" t="s">
        <v>959</v>
      </c>
      <c r="C1813">
        <v>73.83</v>
      </c>
      <c r="D1813" s="1">
        <v>44931.770243055558</v>
      </c>
      <c r="E1813" t="s">
        <v>25</v>
      </c>
      <c r="F1813" t="s">
        <v>159</v>
      </c>
      <c r="G1813" t="s">
        <v>1787</v>
      </c>
      <c r="H1813" t="s">
        <v>2199</v>
      </c>
      <c r="I1813" t="s">
        <v>361</v>
      </c>
      <c r="J1813" t="s">
        <v>45</v>
      </c>
      <c r="K1813">
        <v>69</v>
      </c>
      <c r="L1813" t="s">
        <v>31</v>
      </c>
      <c r="M1813">
        <v>69</v>
      </c>
      <c r="N1813">
        <v>1</v>
      </c>
      <c r="O1813">
        <v>6020.29</v>
      </c>
      <c r="P1813" s="1">
        <v>45600.338078703702</v>
      </c>
      <c r="Q1813">
        <v>18</v>
      </c>
      <c r="R1813" t="s">
        <v>141</v>
      </c>
      <c r="S1813">
        <v>-0.76645541067343703</v>
      </c>
      <c r="T1813" t="b">
        <v>0</v>
      </c>
      <c r="U1813" t="b">
        <v>0</v>
      </c>
      <c r="V1813" t="b">
        <f t="shared" si="56"/>
        <v>1</v>
      </c>
      <c r="W1813">
        <v>0</v>
      </c>
      <c r="Y1813">
        <f t="shared" si="57"/>
        <v>0</v>
      </c>
    </row>
    <row r="1814" spans="1:25" x14ac:dyDescent="0.3">
      <c r="A1814" t="s">
        <v>3684</v>
      </c>
      <c r="B1814" t="s">
        <v>1644</v>
      </c>
      <c r="C1814">
        <v>67.33</v>
      </c>
      <c r="D1814" s="1">
        <v>45029.761018518519</v>
      </c>
      <c r="E1814" t="s">
        <v>25</v>
      </c>
      <c r="F1814" t="s">
        <v>85</v>
      </c>
      <c r="G1814" t="s">
        <v>853</v>
      </c>
      <c r="H1814" t="s">
        <v>166</v>
      </c>
      <c r="I1814" t="s">
        <v>101</v>
      </c>
      <c r="J1814" t="s">
        <v>45</v>
      </c>
      <c r="K1814">
        <v>59</v>
      </c>
      <c r="L1814" t="s">
        <v>89</v>
      </c>
      <c r="M1814">
        <v>36</v>
      </c>
      <c r="N1814">
        <v>1</v>
      </c>
      <c r="O1814">
        <v>5925.98</v>
      </c>
      <c r="P1814" s="1">
        <v>45600.338321759256</v>
      </c>
      <c r="Q1814">
        <v>18</v>
      </c>
      <c r="R1814" t="s">
        <v>141</v>
      </c>
      <c r="S1814">
        <v>-0.78871978347266403</v>
      </c>
      <c r="T1814" t="b">
        <v>0</v>
      </c>
      <c r="U1814" t="b">
        <v>0</v>
      </c>
      <c r="V1814" t="b">
        <f t="shared" si="56"/>
        <v>1</v>
      </c>
      <c r="W1814">
        <v>0</v>
      </c>
      <c r="Y1814">
        <f t="shared" si="57"/>
        <v>0</v>
      </c>
    </row>
    <row r="1815" spans="1:25" x14ac:dyDescent="0.3">
      <c r="A1815" t="s">
        <v>3685</v>
      </c>
      <c r="B1815" t="s">
        <v>808</v>
      </c>
      <c r="C1815">
        <v>26.92</v>
      </c>
      <c r="D1815" s="1">
        <v>45064.760439814818</v>
      </c>
      <c r="E1815" t="s">
        <v>25</v>
      </c>
      <c r="F1815" t="s">
        <v>77</v>
      </c>
      <c r="G1815" t="s">
        <v>627</v>
      </c>
      <c r="H1815" t="s">
        <v>247</v>
      </c>
      <c r="I1815" t="s">
        <v>213</v>
      </c>
      <c r="J1815" t="s">
        <v>30</v>
      </c>
      <c r="K1815">
        <v>62</v>
      </c>
      <c r="L1815" t="s">
        <v>82</v>
      </c>
      <c r="M1815">
        <v>43</v>
      </c>
      <c r="N1815">
        <v>1</v>
      </c>
      <c r="O1815">
        <v>1674.94</v>
      </c>
      <c r="P1815" s="1">
        <v>45600.338379629633</v>
      </c>
      <c r="Q1815">
        <v>18</v>
      </c>
      <c r="R1815" t="s">
        <v>141</v>
      </c>
      <c r="S1815">
        <v>-0.92713567652139395</v>
      </c>
      <c r="T1815" t="b">
        <v>0</v>
      </c>
      <c r="U1815" t="b">
        <v>0</v>
      </c>
      <c r="V1815" t="b">
        <f t="shared" si="56"/>
        <v>1</v>
      </c>
      <c r="W1815">
        <v>0</v>
      </c>
      <c r="Y1815">
        <f t="shared" si="57"/>
        <v>0</v>
      </c>
    </row>
    <row r="1816" spans="1:25" x14ac:dyDescent="0.3">
      <c r="A1816" t="s">
        <v>3686</v>
      </c>
      <c r="B1816" t="s">
        <v>542</v>
      </c>
      <c r="C1816">
        <v>18.3</v>
      </c>
      <c r="D1816" s="1">
        <v>44970.68178240741</v>
      </c>
      <c r="E1816" t="s">
        <v>25</v>
      </c>
      <c r="F1816" t="s">
        <v>41</v>
      </c>
      <c r="G1816" t="s">
        <v>956</v>
      </c>
      <c r="H1816" t="s">
        <v>1055</v>
      </c>
      <c r="I1816" t="s">
        <v>1362</v>
      </c>
      <c r="J1816" t="s">
        <v>45</v>
      </c>
      <c r="K1816">
        <v>48</v>
      </c>
      <c r="L1816" t="s">
        <v>89</v>
      </c>
      <c r="M1816">
        <v>155</v>
      </c>
      <c r="N1816">
        <v>1</v>
      </c>
      <c r="O1816">
        <v>3733.52</v>
      </c>
      <c r="P1816" s="1">
        <v>45600.338923611111</v>
      </c>
      <c r="Q1816">
        <v>16</v>
      </c>
      <c r="R1816" t="s">
        <v>47</v>
      </c>
      <c r="S1816">
        <v>-0.95666166014129195</v>
      </c>
      <c r="T1816" t="b">
        <v>0</v>
      </c>
      <c r="U1816" t="b">
        <v>0</v>
      </c>
      <c r="V1816" t="b">
        <f t="shared" si="56"/>
        <v>1</v>
      </c>
      <c r="W1816">
        <v>0</v>
      </c>
      <c r="Y1816">
        <f t="shared" si="57"/>
        <v>0</v>
      </c>
    </row>
    <row r="1817" spans="1:25" x14ac:dyDescent="0.3">
      <c r="A1817" t="s">
        <v>3687</v>
      </c>
      <c r="B1817" t="s">
        <v>2552</v>
      </c>
      <c r="C1817">
        <v>317.94</v>
      </c>
      <c r="D1817" s="1">
        <v>44951.740740740737</v>
      </c>
      <c r="E1817" t="s">
        <v>25</v>
      </c>
      <c r="F1817" t="s">
        <v>153</v>
      </c>
      <c r="G1817" t="s">
        <v>2819</v>
      </c>
      <c r="H1817" t="s">
        <v>1639</v>
      </c>
      <c r="I1817" t="s">
        <v>61</v>
      </c>
      <c r="J1817" t="s">
        <v>30</v>
      </c>
      <c r="K1817">
        <v>54</v>
      </c>
      <c r="L1817" t="s">
        <v>89</v>
      </c>
      <c r="M1817">
        <v>124</v>
      </c>
      <c r="N1817">
        <v>1</v>
      </c>
      <c r="O1817">
        <v>2996.51</v>
      </c>
      <c r="P1817" s="1">
        <v>45600.341446759259</v>
      </c>
      <c r="Q1817">
        <v>17</v>
      </c>
      <c r="R1817" t="s">
        <v>74</v>
      </c>
      <c r="S1817">
        <v>6.9691673021824899E-2</v>
      </c>
      <c r="T1817" t="b">
        <v>0</v>
      </c>
      <c r="U1817" t="b">
        <v>0</v>
      </c>
      <c r="V1817" t="b">
        <f t="shared" si="56"/>
        <v>1</v>
      </c>
      <c r="W1817">
        <v>0</v>
      </c>
      <c r="Y1817">
        <f t="shared" si="57"/>
        <v>0</v>
      </c>
    </row>
    <row r="1818" spans="1:25" x14ac:dyDescent="0.3">
      <c r="A1818" t="s">
        <v>3688</v>
      </c>
      <c r="B1818" t="s">
        <v>1411</v>
      </c>
      <c r="C1818">
        <v>179.38</v>
      </c>
      <c r="D1818" s="1">
        <v>44998.720104166663</v>
      </c>
      <c r="E1818" t="s">
        <v>25</v>
      </c>
      <c r="F1818" t="s">
        <v>41</v>
      </c>
      <c r="G1818" t="s">
        <v>1744</v>
      </c>
      <c r="H1818" t="s">
        <v>2833</v>
      </c>
      <c r="I1818" t="s">
        <v>178</v>
      </c>
      <c r="J1818" t="s">
        <v>45</v>
      </c>
      <c r="K1818">
        <v>40</v>
      </c>
      <c r="L1818" t="s">
        <v>31</v>
      </c>
      <c r="M1818">
        <v>173</v>
      </c>
      <c r="N1818">
        <v>1</v>
      </c>
      <c r="O1818">
        <v>11666.18</v>
      </c>
      <c r="P1818" s="1">
        <v>45600.340624999997</v>
      </c>
      <c r="Q1818">
        <v>17</v>
      </c>
      <c r="R1818" t="s">
        <v>47</v>
      </c>
      <c r="S1818">
        <v>-0.40491624929522702</v>
      </c>
      <c r="T1818" t="b">
        <v>0</v>
      </c>
      <c r="U1818" t="b">
        <v>0</v>
      </c>
      <c r="V1818" t="b">
        <f t="shared" si="56"/>
        <v>1</v>
      </c>
      <c r="W1818">
        <v>0</v>
      </c>
      <c r="Y1818">
        <f t="shared" si="57"/>
        <v>0</v>
      </c>
    </row>
    <row r="1819" spans="1:25" x14ac:dyDescent="0.3">
      <c r="A1819" t="s">
        <v>3689</v>
      </c>
      <c r="B1819" t="s">
        <v>2477</v>
      </c>
      <c r="C1819">
        <v>918.95</v>
      </c>
      <c r="D1819" s="1">
        <v>45047.69699074074</v>
      </c>
      <c r="E1819" t="s">
        <v>25</v>
      </c>
      <c r="F1819" t="s">
        <v>70</v>
      </c>
      <c r="G1819" t="s">
        <v>1054</v>
      </c>
      <c r="H1819" t="s">
        <v>2267</v>
      </c>
      <c r="I1819" t="s">
        <v>620</v>
      </c>
      <c r="J1819" t="s">
        <v>45</v>
      </c>
      <c r="K1819">
        <v>68</v>
      </c>
      <c r="L1819" t="s">
        <v>31</v>
      </c>
      <c r="M1819">
        <v>139</v>
      </c>
      <c r="N1819">
        <v>1</v>
      </c>
      <c r="O1819">
        <v>7006.46</v>
      </c>
      <c r="P1819" s="1">
        <v>45600.338703703703</v>
      </c>
      <c r="Q1819">
        <v>16</v>
      </c>
      <c r="R1819" t="s">
        <v>47</v>
      </c>
      <c r="S1819">
        <v>2.1283240878007699</v>
      </c>
      <c r="T1819" t="b">
        <v>1</v>
      </c>
      <c r="U1819" t="b">
        <v>0</v>
      </c>
      <c r="V1819" t="b">
        <f t="shared" si="56"/>
        <v>1</v>
      </c>
      <c r="W1819">
        <v>1</v>
      </c>
      <c r="Y1819">
        <f t="shared" si="57"/>
        <v>1</v>
      </c>
    </row>
    <row r="1820" spans="1:25" x14ac:dyDescent="0.3">
      <c r="A1820" t="s">
        <v>3690</v>
      </c>
      <c r="B1820" t="s">
        <v>2433</v>
      </c>
      <c r="C1820">
        <v>13.92</v>
      </c>
      <c r="D1820" s="1">
        <v>45075.729328703703</v>
      </c>
      <c r="E1820" t="s">
        <v>25</v>
      </c>
      <c r="F1820" t="s">
        <v>153</v>
      </c>
      <c r="G1820" t="s">
        <v>667</v>
      </c>
      <c r="H1820" t="s">
        <v>79</v>
      </c>
      <c r="I1820" t="s">
        <v>1222</v>
      </c>
      <c r="J1820" t="s">
        <v>30</v>
      </c>
      <c r="K1820">
        <v>37</v>
      </c>
      <c r="L1820" t="s">
        <v>89</v>
      </c>
      <c r="M1820">
        <v>209</v>
      </c>
      <c r="N1820">
        <v>1</v>
      </c>
      <c r="O1820">
        <v>2735.84</v>
      </c>
      <c r="P1820" s="1">
        <v>45600.340254629627</v>
      </c>
      <c r="Q1820">
        <v>17</v>
      </c>
      <c r="R1820" t="s">
        <v>47</v>
      </c>
      <c r="S1820">
        <v>-0.97166442211984705</v>
      </c>
      <c r="T1820" t="b">
        <v>0</v>
      </c>
      <c r="U1820" t="b">
        <v>0</v>
      </c>
      <c r="V1820" t="b">
        <f t="shared" si="56"/>
        <v>1</v>
      </c>
      <c r="W1820">
        <v>0</v>
      </c>
      <c r="Y1820">
        <f t="shared" si="57"/>
        <v>0</v>
      </c>
    </row>
    <row r="1821" spans="1:25" x14ac:dyDescent="0.3">
      <c r="A1821" t="s">
        <v>3691</v>
      </c>
      <c r="B1821" t="s">
        <v>948</v>
      </c>
      <c r="C1821">
        <v>365.43</v>
      </c>
      <c r="D1821" s="1">
        <v>45253.702152777776</v>
      </c>
      <c r="E1821" t="s">
        <v>25</v>
      </c>
      <c r="F1821" t="s">
        <v>608</v>
      </c>
      <c r="G1821" t="s">
        <v>1211</v>
      </c>
      <c r="H1821" t="s">
        <v>2429</v>
      </c>
      <c r="I1821" t="s">
        <v>253</v>
      </c>
      <c r="J1821" t="s">
        <v>30</v>
      </c>
      <c r="K1821">
        <v>25</v>
      </c>
      <c r="L1821" t="s">
        <v>46</v>
      </c>
      <c r="M1821">
        <v>176</v>
      </c>
      <c r="N1821">
        <v>1</v>
      </c>
      <c r="O1821">
        <v>1073.51</v>
      </c>
      <c r="P1821" s="1">
        <v>45600.339861111112</v>
      </c>
      <c r="Q1821">
        <v>16</v>
      </c>
      <c r="R1821" t="s">
        <v>141</v>
      </c>
      <c r="S1821">
        <v>0.23235860598109701</v>
      </c>
      <c r="T1821" t="b">
        <v>0</v>
      </c>
      <c r="U1821" t="b">
        <v>0</v>
      </c>
      <c r="V1821" t="b">
        <f t="shared" si="56"/>
        <v>1</v>
      </c>
      <c r="W1821">
        <v>0</v>
      </c>
      <c r="Y1821">
        <f t="shared" si="57"/>
        <v>0</v>
      </c>
    </row>
    <row r="1822" spans="1:25" x14ac:dyDescent="0.3">
      <c r="A1822" t="s">
        <v>3692</v>
      </c>
      <c r="B1822" t="s">
        <v>1407</v>
      </c>
      <c r="C1822">
        <v>263.58999999999997</v>
      </c>
      <c r="D1822" s="1">
        <v>44949.668796296297</v>
      </c>
      <c r="E1822" t="s">
        <v>25</v>
      </c>
      <c r="F1822" t="s">
        <v>336</v>
      </c>
      <c r="G1822" t="s">
        <v>3331</v>
      </c>
      <c r="H1822" t="s">
        <v>3111</v>
      </c>
      <c r="I1822" t="s">
        <v>38</v>
      </c>
      <c r="J1822" t="s">
        <v>81</v>
      </c>
      <c r="K1822">
        <v>71</v>
      </c>
      <c r="L1822" t="s">
        <v>82</v>
      </c>
      <c r="M1822">
        <v>16</v>
      </c>
      <c r="N1822">
        <v>1</v>
      </c>
      <c r="O1822">
        <v>6996.35</v>
      </c>
      <c r="P1822" s="1">
        <v>45600.341666666667</v>
      </c>
      <c r="Q1822">
        <v>16</v>
      </c>
      <c r="R1822" t="s">
        <v>47</v>
      </c>
      <c r="S1822">
        <v>-0.116472736460939</v>
      </c>
      <c r="T1822" t="b">
        <v>0</v>
      </c>
      <c r="U1822" t="b">
        <v>0</v>
      </c>
      <c r="V1822" t="b">
        <f t="shared" si="56"/>
        <v>1</v>
      </c>
      <c r="W1822">
        <v>0</v>
      </c>
      <c r="Y1822">
        <f t="shared" si="57"/>
        <v>0</v>
      </c>
    </row>
    <row r="1823" spans="1:25" x14ac:dyDescent="0.3">
      <c r="A1823" t="s">
        <v>3693</v>
      </c>
      <c r="B1823" t="s">
        <v>2162</v>
      </c>
      <c r="C1823">
        <v>54.8</v>
      </c>
      <c r="D1823" s="1">
        <v>45078.67765046296</v>
      </c>
      <c r="E1823" t="s">
        <v>25</v>
      </c>
      <c r="F1823" t="s">
        <v>98</v>
      </c>
      <c r="G1823" t="s">
        <v>2584</v>
      </c>
      <c r="H1823" t="s">
        <v>1764</v>
      </c>
      <c r="I1823" t="s">
        <v>495</v>
      </c>
      <c r="J1823" t="s">
        <v>81</v>
      </c>
      <c r="K1823">
        <v>34</v>
      </c>
      <c r="L1823" t="s">
        <v>89</v>
      </c>
      <c r="M1823">
        <v>140</v>
      </c>
      <c r="N1823">
        <v>1</v>
      </c>
      <c r="O1823">
        <v>4943.49</v>
      </c>
      <c r="P1823" s="1">
        <v>45600.339548611111</v>
      </c>
      <c r="Q1823">
        <v>16</v>
      </c>
      <c r="R1823" t="s">
        <v>141</v>
      </c>
      <c r="S1823">
        <v>-0.83163864365332696</v>
      </c>
      <c r="T1823" t="b">
        <v>0</v>
      </c>
      <c r="U1823" t="b">
        <v>0</v>
      </c>
      <c r="V1823" t="b">
        <f t="shared" si="56"/>
        <v>1</v>
      </c>
      <c r="W1823">
        <v>0</v>
      </c>
      <c r="Y1823">
        <f t="shared" si="57"/>
        <v>0</v>
      </c>
    </row>
    <row r="1824" spans="1:25" x14ac:dyDescent="0.3">
      <c r="A1824" t="s">
        <v>3694</v>
      </c>
      <c r="B1824" t="s">
        <v>205</v>
      </c>
      <c r="C1824">
        <v>141.49</v>
      </c>
      <c r="D1824" s="1">
        <v>45189.706296296295</v>
      </c>
      <c r="E1824" t="s">
        <v>25</v>
      </c>
      <c r="F1824" t="s">
        <v>210</v>
      </c>
      <c r="G1824" t="s">
        <v>894</v>
      </c>
      <c r="H1824" t="s">
        <v>3111</v>
      </c>
      <c r="I1824" t="s">
        <v>95</v>
      </c>
      <c r="J1824" t="s">
        <v>45</v>
      </c>
      <c r="K1824">
        <v>24</v>
      </c>
      <c r="L1824" t="s">
        <v>46</v>
      </c>
      <c r="M1824">
        <v>75</v>
      </c>
      <c r="N1824">
        <v>1</v>
      </c>
      <c r="O1824">
        <v>1665.58</v>
      </c>
      <c r="P1824" s="1">
        <v>45600.341296296298</v>
      </c>
      <c r="Q1824">
        <v>16</v>
      </c>
      <c r="R1824" t="s">
        <v>74</v>
      </c>
      <c r="S1824">
        <v>-0.53470041627410303</v>
      </c>
      <c r="T1824" t="b">
        <v>0</v>
      </c>
      <c r="U1824" t="b">
        <v>0</v>
      </c>
      <c r="V1824" t="b">
        <f t="shared" si="56"/>
        <v>1</v>
      </c>
      <c r="W1824">
        <v>0</v>
      </c>
      <c r="Y1824">
        <f t="shared" si="57"/>
        <v>0</v>
      </c>
    </row>
    <row r="1825" spans="1:25" x14ac:dyDescent="0.3">
      <c r="A1825" t="s">
        <v>3695</v>
      </c>
      <c r="B1825" t="s">
        <v>2131</v>
      </c>
      <c r="C1825">
        <v>31.39</v>
      </c>
      <c r="D1825" s="1">
        <v>44935.714942129627</v>
      </c>
      <c r="E1825" t="s">
        <v>25</v>
      </c>
      <c r="F1825" t="s">
        <v>268</v>
      </c>
      <c r="G1825" t="s">
        <v>952</v>
      </c>
      <c r="H1825" t="s">
        <v>2774</v>
      </c>
      <c r="I1825" t="s">
        <v>1537</v>
      </c>
      <c r="J1825" t="s">
        <v>30</v>
      </c>
      <c r="K1825">
        <v>20</v>
      </c>
      <c r="L1825" t="s">
        <v>46</v>
      </c>
      <c r="M1825">
        <v>15</v>
      </c>
      <c r="N1825">
        <v>1</v>
      </c>
      <c r="O1825">
        <v>998.49</v>
      </c>
      <c r="P1825" s="1">
        <v>45600.337812500002</v>
      </c>
      <c r="Q1825">
        <v>17</v>
      </c>
      <c r="R1825" t="s">
        <v>47</v>
      </c>
      <c r="S1825">
        <v>-0.91182463861177199</v>
      </c>
      <c r="T1825" t="b">
        <v>0</v>
      </c>
      <c r="U1825" t="b">
        <v>0</v>
      </c>
      <c r="V1825" t="b">
        <f t="shared" si="56"/>
        <v>1</v>
      </c>
      <c r="W1825">
        <v>0</v>
      </c>
      <c r="Y1825">
        <f t="shared" si="57"/>
        <v>0</v>
      </c>
    </row>
    <row r="1826" spans="1:25" x14ac:dyDescent="0.3">
      <c r="A1826" t="s">
        <v>3696</v>
      </c>
      <c r="B1826" t="s">
        <v>3506</v>
      </c>
      <c r="C1826">
        <v>93.82</v>
      </c>
      <c r="D1826" s="1">
        <v>45103.734259259261</v>
      </c>
      <c r="E1826" t="s">
        <v>25</v>
      </c>
      <c r="F1826" t="s">
        <v>26</v>
      </c>
      <c r="G1826" t="s">
        <v>467</v>
      </c>
      <c r="H1826" t="s">
        <v>3601</v>
      </c>
      <c r="I1826" t="s">
        <v>611</v>
      </c>
      <c r="J1826" t="s">
        <v>45</v>
      </c>
      <c r="K1826">
        <v>39</v>
      </c>
      <c r="L1826" t="s">
        <v>89</v>
      </c>
      <c r="M1826">
        <v>176</v>
      </c>
      <c r="N1826">
        <v>1</v>
      </c>
      <c r="O1826">
        <v>8422.06</v>
      </c>
      <c r="P1826" s="1">
        <v>45600.341145833336</v>
      </c>
      <c r="Q1826">
        <v>17</v>
      </c>
      <c r="R1826" t="s">
        <v>47</v>
      </c>
      <c r="S1826">
        <v>-0.69798390109550801</v>
      </c>
      <c r="T1826" t="b">
        <v>0</v>
      </c>
      <c r="U1826" t="b">
        <v>0</v>
      </c>
      <c r="V1826" t="b">
        <f t="shared" si="56"/>
        <v>1</v>
      </c>
      <c r="W1826">
        <v>0</v>
      </c>
      <c r="Y1826">
        <f t="shared" si="57"/>
        <v>0</v>
      </c>
    </row>
    <row r="1827" spans="1:25" x14ac:dyDescent="0.3">
      <c r="A1827" t="s">
        <v>3697</v>
      </c>
      <c r="B1827" t="s">
        <v>2032</v>
      </c>
      <c r="C1827">
        <v>5.71</v>
      </c>
      <c r="D1827" s="1">
        <v>45261.73300925926</v>
      </c>
      <c r="E1827" t="s">
        <v>25</v>
      </c>
      <c r="F1827" t="s">
        <v>268</v>
      </c>
      <c r="G1827" t="s">
        <v>410</v>
      </c>
      <c r="H1827" t="s">
        <v>1232</v>
      </c>
      <c r="I1827" t="s">
        <v>371</v>
      </c>
      <c r="J1827" t="s">
        <v>81</v>
      </c>
      <c r="K1827">
        <v>21</v>
      </c>
      <c r="L1827" t="s">
        <v>46</v>
      </c>
      <c r="M1827">
        <v>106</v>
      </c>
      <c r="N1827">
        <v>1</v>
      </c>
      <c r="O1827">
        <v>1285.42</v>
      </c>
      <c r="P1827" s="1">
        <v>45600.340624999997</v>
      </c>
      <c r="Q1827">
        <v>17</v>
      </c>
      <c r="R1827" t="s">
        <v>54</v>
      </c>
      <c r="S1827">
        <v>-0.99978603760933205</v>
      </c>
      <c r="T1827" t="b">
        <v>0</v>
      </c>
      <c r="U1827" t="b">
        <v>0</v>
      </c>
      <c r="V1827" t="b">
        <f t="shared" si="56"/>
        <v>1</v>
      </c>
      <c r="W1827">
        <v>0</v>
      </c>
      <c r="Y1827">
        <f t="shared" si="57"/>
        <v>0</v>
      </c>
    </row>
    <row r="1828" spans="1:25" x14ac:dyDescent="0.3">
      <c r="A1828" t="s">
        <v>3698</v>
      </c>
      <c r="B1828" t="s">
        <v>1302</v>
      </c>
      <c r="C1828">
        <v>178.39</v>
      </c>
      <c r="D1828" s="1">
        <v>45153.7653125</v>
      </c>
      <c r="E1828" t="s">
        <v>25</v>
      </c>
      <c r="F1828" t="s">
        <v>268</v>
      </c>
      <c r="G1828" t="s">
        <v>1080</v>
      </c>
      <c r="H1828" t="s">
        <v>644</v>
      </c>
      <c r="I1828" t="s">
        <v>1027</v>
      </c>
      <c r="J1828" t="s">
        <v>45</v>
      </c>
      <c r="K1828">
        <v>34</v>
      </c>
      <c r="L1828" t="s">
        <v>89</v>
      </c>
      <c r="M1828">
        <v>98</v>
      </c>
      <c r="N1828">
        <v>1</v>
      </c>
      <c r="O1828">
        <v>8469.43</v>
      </c>
      <c r="P1828" s="1">
        <v>45600.339953703704</v>
      </c>
      <c r="Q1828">
        <v>18</v>
      </c>
      <c r="R1828" t="s">
        <v>32</v>
      </c>
      <c r="S1828">
        <v>-0.40830728453695497</v>
      </c>
      <c r="T1828" t="b">
        <v>0</v>
      </c>
      <c r="U1828" t="b">
        <v>0</v>
      </c>
      <c r="V1828" t="b">
        <f t="shared" si="56"/>
        <v>1</v>
      </c>
      <c r="W1828">
        <v>0</v>
      </c>
      <c r="Y1828">
        <f t="shared" si="57"/>
        <v>0</v>
      </c>
    </row>
    <row r="1829" spans="1:25" x14ac:dyDescent="0.3">
      <c r="A1829" t="s">
        <v>3699</v>
      </c>
      <c r="B1829" t="s">
        <v>3220</v>
      </c>
      <c r="C1829">
        <v>126.91</v>
      </c>
      <c r="D1829" s="1">
        <v>45161.669942129629</v>
      </c>
      <c r="E1829" t="s">
        <v>25</v>
      </c>
      <c r="F1829" t="s">
        <v>304</v>
      </c>
      <c r="G1829" t="s">
        <v>160</v>
      </c>
      <c r="H1829" t="s">
        <v>435</v>
      </c>
      <c r="I1829" t="s">
        <v>1358</v>
      </c>
      <c r="J1829" t="s">
        <v>30</v>
      </c>
      <c r="K1829">
        <v>22</v>
      </c>
      <c r="L1829" t="s">
        <v>46</v>
      </c>
      <c r="M1829">
        <v>42</v>
      </c>
      <c r="N1829">
        <v>1</v>
      </c>
      <c r="O1829">
        <v>692.69</v>
      </c>
      <c r="P1829" s="1">
        <v>45600.339016203703</v>
      </c>
      <c r="Q1829">
        <v>16</v>
      </c>
      <c r="R1829" t="s">
        <v>74</v>
      </c>
      <c r="S1829">
        <v>-0.58464111710682998</v>
      </c>
      <c r="T1829" t="b">
        <v>0</v>
      </c>
      <c r="U1829" t="b">
        <v>0</v>
      </c>
      <c r="V1829" t="b">
        <f t="shared" si="56"/>
        <v>1</v>
      </c>
      <c r="W1829">
        <v>0</v>
      </c>
      <c r="Y1829">
        <f t="shared" si="57"/>
        <v>0</v>
      </c>
    </row>
    <row r="1830" spans="1:25" x14ac:dyDescent="0.3">
      <c r="A1830" t="s">
        <v>3700</v>
      </c>
      <c r="B1830" t="s">
        <v>2594</v>
      </c>
      <c r="C1830">
        <v>36.090000000000003</v>
      </c>
      <c r="D1830" s="1">
        <v>45093.679884259262</v>
      </c>
      <c r="E1830" t="s">
        <v>25</v>
      </c>
      <c r="F1830" t="s">
        <v>137</v>
      </c>
      <c r="G1830" t="s">
        <v>2400</v>
      </c>
      <c r="H1830" t="s">
        <v>3701</v>
      </c>
      <c r="I1830" t="s">
        <v>325</v>
      </c>
      <c r="J1830" t="s">
        <v>81</v>
      </c>
      <c r="K1830">
        <v>53</v>
      </c>
      <c r="L1830" t="s">
        <v>31</v>
      </c>
      <c r="M1830">
        <v>167</v>
      </c>
      <c r="N1830">
        <v>1</v>
      </c>
      <c r="O1830">
        <v>12319.26</v>
      </c>
      <c r="P1830" s="1">
        <v>45600.338877314818</v>
      </c>
      <c r="Q1830">
        <v>16</v>
      </c>
      <c r="R1830" t="s">
        <v>54</v>
      </c>
      <c r="S1830">
        <v>-0.89572578443386996</v>
      </c>
      <c r="T1830" t="b">
        <v>0</v>
      </c>
      <c r="U1830" t="b">
        <v>0</v>
      </c>
      <c r="V1830" t="b">
        <f t="shared" si="56"/>
        <v>1</v>
      </c>
      <c r="W1830">
        <v>0</v>
      </c>
      <c r="Y1830">
        <f t="shared" si="57"/>
        <v>0</v>
      </c>
    </row>
    <row r="1831" spans="1:25" x14ac:dyDescent="0.3">
      <c r="A1831" t="s">
        <v>3702</v>
      </c>
      <c r="B1831" t="s">
        <v>889</v>
      </c>
      <c r="C1831">
        <v>91.77</v>
      </c>
      <c r="D1831" s="1">
        <v>45000.735543981478</v>
      </c>
      <c r="E1831" t="s">
        <v>25</v>
      </c>
      <c r="F1831" t="s">
        <v>309</v>
      </c>
      <c r="G1831" t="s">
        <v>1327</v>
      </c>
      <c r="H1831" t="s">
        <v>2851</v>
      </c>
      <c r="I1831" t="s">
        <v>577</v>
      </c>
      <c r="J1831" t="s">
        <v>81</v>
      </c>
      <c r="K1831">
        <v>51</v>
      </c>
      <c r="L1831" t="s">
        <v>31</v>
      </c>
      <c r="M1831">
        <v>174</v>
      </c>
      <c r="N1831">
        <v>1</v>
      </c>
      <c r="O1831">
        <v>9240.73</v>
      </c>
      <c r="P1831" s="1">
        <v>45600.338333333333</v>
      </c>
      <c r="Q1831">
        <v>17</v>
      </c>
      <c r="R1831" t="s">
        <v>74</v>
      </c>
      <c r="S1831">
        <v>-0.70500574174757202</v>
      </c>
      <c r="T1831" t="b">
        <v>0</v>
      </c>
      <c r="U1831" t="b">
        <v>0</v>
      </c>
      <c r="V1831" t="b">
        <f t="shared" si="56"/>
        <v>1</v>
      </c>
      <c r="W1831">
        <v>0</v>
      </c>
      <c r="Y1831">
        <f t="shared" si="57"/>
        <v>0</v>
      </c>
    </row>
    <row r="1832" spans="1:25" x14ac:dyDescent="0.3">
      <c r="A1832" t="s">
        <v>3703</v>
      </c>
      <c r="B1832" t="s">
        <v>563</v>
      </c>
      <c r="C1832">
        <v>198.92</v>
      </c>
      <c r="D1832" s="1">
        <v>45222.699953703705</v>
      </c>
      <c r="E1832" t="s">
        <v>25</v>
      </c>
      <c r="F1832" t="s">
        <v>191</v>
      </c>
      <c r="G1832" t="s">
        <v>823</v>
      </c>
      <c r="H1832" t="s">
        <v>1934</v>
      </c>
      <c r="I1832" t="s">
        <v>80</v>
      </c>
      <c r="J1832" t="s">
        <v>45</v>
      </c>
      <c r="K1832">
        <v>36</v>
      </c>
      <c r="L1832" t="s">
        <v>89</v>
      </c>
      <c r="M1832">
        <v>100</v>
      </c>
      <c r="N1832">
        <v>1</v>
      </c>
      <c r="O1832">
        <v>2854.66</v>
      </c>
      <c r="P1832" s="1">
        <v>45600.340497685182</v>
      </c>
      <c r="Q1832">
        <v>16</v>
      </c>
      <c r="R1832" t="s">
        <v>47</v>
      </c>
      <c r="S1832">
        <v>-0.33798611937262901</v>
      </c>
      <c r="T1832" t="b">
        <v>0</v>
      </c>
      <c r="U1832" t="b">
        <v>0</v>
      </c>
      <c r="V1832" t="b">
        <f t="shared" si="56"/>
        <v>1</v>
      </c>
      <c r="W1832">
        <v>0</v>
      </c>
      <c r="Y1832">
        <f t="shared" si="57"/>
        <v>0</v>
      </c>
    </row>
    <row r="1833" spans="1:25" x14ac:dyDescent="0.3">
      <c r="A1833" t="s">
        <v>3704</v>
      </c>
      <c r="B1833" t="s">
        <v>1821</v>
      </c>
      <c r="C1833">
        <v>137.81</v>
      </c>
      <c r="D1833" s="1">
        <v>45225.702939814815</v>
      </c>
      <c r="E1833" t="s">
        <v>25</v>
      </c>
      <c r="F1833" t="s">
        <v>85</v>
      </c>
      <c r="G1833" t="s">
        <v>3705</v>
      </c>
      <c r="H1833" t="s">
        <v>2067</v>
      </c>
      <c r="I1833" t="s">
        <v>665</v>
      </c>
      <c r="J1833" t="s">
        <v>81</v>
      </c>
      <c r="K1833">
        <v>58</v>
      </c>
      <c r="L1833" t="s">
        <v>89</v>
      </c>
      <c r="M1833">
        <v>44</v>
      </c>
      <c r="N1833">
        <v>1</v>
      </c>
      <c r="O1833">
        <v>2631.47</v>
      </c>
      <c r="P1833" s="1">
        <v>45600.33865740741</v>
      </c>
      <c r="Q1833">
        <v>16</v>
      </c>
      <c r="R1833" t="s">
        <v>141</v>
      </c>
      <c r="S1833">
        <v>-0.54730547656658801</v>
      </c>
      <c r="T1833" t="b">
        <v>0</v>
      </c>
      <c r="U1833" t="b">
        <v>0</v>
      </c>
      <c r="V1833" t="b">
        <f t="shared" si="56"/>
        <v>1</v>
      </c>
      <c r="W1833">
        <v>0</v>
      </c>
      <c r="Y1833">
        <f t="shared" si="57"/>
        <v>0</v>
      </c>
    </row>
    <row r="1834" spans="1:25" x14ac:dyDescent="0.3">
      <c r="A1834" t="s">
        <v>3706</v>
      </c>
      <c r="B1834" t="s">
        <v>91</v>
      </c>
      <c r="C1834">
        <v>136.88</v>
      </c>
      <c r="D1834" s="1">
        <v>45125.737407407411</v>
      </c>
      <c r="E1834" t="s">
        <v>57</v>
      </c>
      <c r="F1834" t="s">
        <v>104</v>
      </c>
      <c r="G1834" t="s">
        <v>2957</v>
      </c>
      <c r="H1834" t="s">
        <v>2523</v>
      </c>
      <c r="I1834" t="s">
        <v>188</v>
      </c>
      <c r="J1834" t="s">
        <v>81</v>
      </c>
      <c r="K1834">
        <v>24</v>
      </c>
      <c r="L1834" t="s">
        <v>46</v>
      </c>
      <c r="M1834">
        <v>71</v>
      </c>
      <c r="N1834">
        <v>1</v>
      </c>
      <c r="O1834">
        <v>7465.95</v>
      </c>
      <c r="P1834" s="1">
        <v>45600.340902777774</v>
      </c>
      <c r="Q1834">
        <v>17</v>
      </c>
      <c r="R1834" t="s">
        <v>32</v>
      </c>
      <c r="S1834">
        <v>-0.55049099452093897</v>
      </c>
      <c r="T1834" t="b">
        <v>0</v>
      </c>
      <c r="U1834" t="b">
        <v>0</v>
      </c>
      <c r="V1834" t="b">
        <f t="shared" si="56"/>
        <v>1</v>
      </c>
      <c r="W1834">
        <v>0</v>
      </c>
      <c r="Y1834">
        <f t="shared" si="57"/>
        <v>0</v>
      </c>
    </row>
    <row r="1835" spans="1:25" x14ac:dyDescent="0.3">
      <c r="A1835" t="s">
        <v>3707</v>
      </c>
      <c r="B1835" t="s">
        <v>1716</v>
      </c>
      <c r="C1835">
        <v>133.07</v>
      </c>
      <c r="D1835" s="1">
        <v>45182.682500000003</v>
      </c>
      <c r="E1835" t="s">
        <v>25</v>
      </c>
      <c r="F1835" t="s">
        <v>298</v>
      </c>
      <c r="G1835" t="s">
        <v>1310</v>
      </c>
      <c r="H1835" t="s">
        <v>1113</v>
      </c>
      <c r="I1835" t="s">
        <v>366</v>
      </c>
      <c r="J1835" t="s">
        <v>81</v>
      </c>
      <c r="K1835">
        <v>21</v>
      </c>
      <c r="L1835" t="s">
        <v>46</v>
      </c>
      <c r="M1835">
        <v>155</v>
      </c>
      <c r="N1835">
        <v>1</v>
      </c>
      <c r="O1835">
        <v>1670.99</v>
      </c>
      <c r="P1835" s="1">
        <v>45600.339363425926</v>
      </c>
      <c r="Q1835">
        <v>16</v>
      </c>
      <c r="R1835" t="s">
        <v>74</v>
      </c>
      <c r="S1835">
        <v>-0.563541342269409</v>
      </c>
      <c r="T1835" t="b">
        <v>0</v>
      </c>
      <c r="U1835" t="b">
        <v>0</v>
      </c>
      <c r="V1835" t="b">
        <f t="shared" si="56"/>
        <v>1</v>
      </c>
      <c r="W1835">
        <v>0</v>
      </c>
      <c r="Y1835">
        <f t="shared" si="57"/>
        <v>0</v>
      </c>
    </row>
    <row r="1836" spans="1:25" x14ac:dyDescent="0.3">
      <c r="A1836" t="s">
        <v>3708</v>
      </c>
      <c r="B1836" t="s">
        <v>649</v>
      </c>
      <c r="C1836">
        <v>1.1399999999999999</v>
      </c>
      <c r="D1836" s="1">
        <v>45222.677175925928</v>
      </c>
      <c r="E1836" t="s">
        <v>25</v>
      </c>
      <c r="F1836" t="s">
        <v>77</v>
      </c>
      <c r="G1836" t="s">
        <v>2173</v>
      </c>
      <c r="H1836" t="s">
        <v>145</v>
      </c>
      <c r="I1836" t="s">
        <v>371</v>
      </c>
      <c r="J1836" t="s">
        <v>81</v>
      </c>
      <c r="K1836">
        <v>43</v>
      </c>
      <c r="L1836" t="s">
        <v>31</v>
      </c>
      <c r="M1836">
        <v>137</v>
      </c>
      <c r="N1836">
        <v>1</v>
      </c>
      <c r="O1836">
        <v>13913.92</v>
      </c>
      <c r="P1836" s="1">
        <v>45600.341400462959</v>
      </c>
      <c r="Q1836">
        <v>16</v>
      </c>
      <c r="R1836" t="s">
        <v>47</v>
      </c>
      <c r="S1836">
        <v>-1.0154396043312499</v>
      </c>
      <c r="T1836" t="b">
        <v>0</v>
      </c>
      <c r="U1836" t="b">
        <v>0</v>
      </c>
      <c r="V1836" t="b">
        <f t="shared" si="56"/>
        <v>1</v>
      </c>
      <c r="W1836">
        <v>0</v>
      </c>
      <c r="Y1836">
        <f t="shared" si="57"/>
        <v>0</v>
      </c>
    </row>
    <row r="1837" spans="1:25" x14ac:dyDescent="0.3">
      <c r="A1837" t="s">
        <v>3709</v>
      </c>
      <c r="B1837" t="s">
        <v>1720</v>
      </c>
      <c r="C1837">
        <v>256.33999999999997</v>
      </c>
      <c r="D1837" s="1">
        <v>45159.695856481485</v>
      </c>
      <c r="E1837" t="s">
        <v>25</v>
      </c>
      <c r="F1837" t="s">
        <v>304</v>
      </c>
      <c r="G1837" t="s">
        <v>1165</v>
      </c>
      <c r="H1837" t="s">
        <v>3499</v>
      </c>
      <c r="I1837" t="s">
        <v>112</v>
      </c>
      <c r="J1837" t="s">
        <v>81</v>
      </c>
      <c r="K1837">
        <v>69</v>
      </c>
      <c r="L1837" t="s">
        <v>82</v>
      </c>
      <c r="M1837">
        <v>99</v>
      </c>
      <c r="N1837">
        <v>1</v>
      </c>
      <c r="O1837">
        <v>7471.63</v>
      </c>
      <c r="P1837" s="1">
        <v>45600.338229166664</v>
      </c>
      <c r="Q1837">
        <v>16</v>
      </c>
      <c r="R1837" t="s">
        <v>47</v>
      </c>
      <c r="S1837">
        <v>-0.14130607535238399</v>
      </c>
      <c r="T1837" t="b">
        <v>0</v>
      </c>
      <c r="U1837" t="b">
        <v>0</v>
      </c>
      <c r="V1837" t="b">
        <f t="shared" si="56"/>
        <v>1</v>
      </c>
      <c r="W1837">
        <v>0</v>
      </c>
      <c r="Y1837">
        <f t="shared" si="57"/>
        <v>0</v>
      </c>
    </row>
    <row r="1838" spans="1:25" x14ac:dyDescent="0.3">
      <c r="A1838" t="s">
        <v>3710</v>
      </c>
      <c r="B1838" t="s">
        <v>3569</v>
      </c>
      <c r="C1838">
        <v>56.11</v>
      </c>
      <c r="D1838" s="1">
        <v>45012.726018518515</v>
      </c>
      <c r="E1838" t="s">
        <v>25</v>
      </c>
      <c r="F1838" t="s">
        <v>401</v>
      </c>
      <c r="G1838" t="s">
        <v>1214</v>
      </c>
      <c r="H1838" t="s">
        <v>166</v>
      </c>
      <c r="I1838" t="s">
        <v>117</v>
      </c>
      <c r="J1838" t="s">
        <v>81</v>
      </c>
      <c r="K1838">
        <v>36</v>
      </c>
      <c r="L1838" t="s">
        <v>31</v>
      </c>
      <c r="M1838">
        <v>109</v>
      </c>
      <c r="N1838">
        <v>1</v>
      </c>
      <c r="O1838">
        <v>11123.65</v>
      </c>
      <c r="P1838" s="1">
        <v>45600.338171296295</v>
      </c>
      <c r="Q1838">
        <v>17</v>
      </c>
      <c r="R1838" t="s">
        <v>47</v>
      </c>
      <c r="S1838">
        <v>-0.82715151621225202</v>
      </c>
      <c r="T1838" t="b">
        <v>0</v>
      </c>
      <c r="U1838" t="b">
        <v>0</v>
      </c>
      <c r="V1838" t="b">
        <f t="shared" si="56"/>
        <v>1</v>
      </c>
      <c r="W1838">
        <v>0</v>
      </c>
      <c r="Y1838">
        <f t="shared" si="57"/>
        <v>0</v>
      </c>
    </row>
    <row r="1839" spans="1:25" x14ac:dyDescent="0.3">
      <c r="A1839" t="s">
        <v>3711</v>
      </c>
      <c r="B1839" t="s">
        <v>1219</v>
      </c>
      <c r="C1839">
        <v>118.1</v>
      </c>
      <c r="D1839" s="1">
        <v>45194.671875</v>
      </c>
      <c r="E1839" t="s">
        <v>25</v>
      </c>
      <c r="F1839" t="s">
        <v>170</v>
      </c>
      <c r="G1839" t="s">
        <v>1432</v>
      </c>
      <c r="H1839" t="s">
        <v>953</v>
      </c>
      <c r="I1839" t="s">
        <v>720</v>
      </c>
      <c r="J1839" t="s">
        <v>30</v>
      </c>
      <c r="K1839">
        <v>50</v>
      </c>
      <c r="L1839" t="s">
        <v>89</v>
      </c>
      <c r="M1839">
        <v>50</v>
      </c>
      <c r="N1839">
        <v>1</v>
      </c>
      <c r="O1839">
        <v>7976.6</v>
      </c>
      <c r="P1839" s="1">
        <v>45600.341747685183</v>
      </c>
      <c r="Q1839">
        <v>16</v>
      </c>
      <c r="R1839" t="s">
        <v>47</v>
      </c>
      <c r="S1839">
        <v>-0.61481790547008897</v>
      </c>
      <c r="T1839" t="b">
        <v>0</v>
      </c>
      <c r="U1839" t="b">
        <v>0</v>
      </c>
      <c r="V1839" t="b">
        <f t="shared" si="56"/>
        <v>1</v>
      </c>
      <c r="W1839">
        <v>0</v>
      </c>
      <c r="Y1839">
        <f t="shared" si="57"/>
        <v>0</v>
      </c>
    </row>
    <row r="1840" spans="1:25" x14ac:dyDescent="0.3">
      <c r="A1840" t="s">
        <v>3712</v>
      </c>
      <c r="B1840" t="s">
        <v>2629</v>
      </c>
      <c r="C1840">
        <v>137.86000000000001</v>
      </c>
      <c r="D1840" s="1">
        <v>45166.678437499999</v>
      </c>
      <c r="E1840" t="s">
        <v>57</v>
      </c>
      <c r="F1840" t="s">
        <v>298</v>
      </c>
      <c r="G1840" t="s">
        <v>1937</v>
      </c>
      <c r="H1840" t="s">
        <v>3551</v>
      </c>
      <c r="I1840" t="s">
        <v>1300</v>
      </c>
      <c r="J1840" t="s">
        <v>45</v>
      </c>
      <c r="K1840">
        <v>66</v>
      </c>
      <c r="L1840" t="s">
        <v>31</v>
      </c>
      <c r="M1840">
        <v>120</v>
      </c>
      <c r="N1840">
        <v>1</v>
      </c>
      <c r="O1840">
        <v>8046.94</v>
      </c>
      <c r="P1840" s="1">
        <v>45600.341145833336</v>
      </c>
      <c r="Q1840">
        <v>16</v>
      </c>
      <c r="R1840" t="s">
        <v>47</v>
      </c>
      <c r="S1840">
        <v>-0.54713421216044</v>
      </c>
      <c r="T1840" t="b">
        <v>0</v>
      </c>
      <c r="U1840" t="b">
        <v>0</v>
      </c>
      <c r="V1840" t="b">
        <f t="shared" si="56"/>
        <v>1</v>
      </c>
      <c r="W1840">
        <v>0</v>
      </c>
      <c r="Y1840">
        <f t="shared" si="57"/>
        <v>0</v>
      </c>
    </row>
    <row r="1841" spans="1:25" x14ac:dyDescent="0.3">
      <c r="A1841" t="s">
        <v>3713</v>
      </c>
      <c r="B1841" t="s">
        <v>790</v>
      </c>
      <c r="C1841">
        <v>813.78</v>
      </c>
      <c r="D1841" s="1">
        <v>45145.737534722219</v>
      </c>
      <c r="E1841" t="s">
        <v>57</v>
      </c>
      <c r="F1841" t="s">
        <v>58</v>
      </c>
      <c r="G1841" t="s">
        <v>257</v>
      </c>
      <c r="H1841" t="s">
        <v>584</v>
      </c>
      <c r="I1841" t="s">
        <v>458</v>
      </c>
      <c r="J1841" t="s">
        <v>30</v>
      </c>
      <c r="K1841">
        <v>54</v>
      </c>
      <c r="L1841" t="s">
        <v>31</v>
      </c>
      <c r="M1841">
        <v>55</v>
      </c>
      <c r="N1841">
        <v>1</v>
      </c>
      <c r="O1841">
        <v>14935.5</v>
      </c>
      <c r="P1841" s="1">
        <v>45600.339247685188</v>
      </c>
      <c r="Q1841">
        <v>17</v>
      </c>
      <c r="R1841" t="s">
        <v>47</v>
      </c>
      <c r="S1841">
        <v>1.7680865359092801</v>
      </c>
      <c r="T1841" t="b">
        <v>0</v>
      </c>
      <c r="U1841" t="b">
        <v>0</v>
      </c>
      <c r="V1841" t="b">
        <f t="shared" si="56"/>
        <v>1</v>
      </c>
      <c r="W1841">
        <v>0</v>
      </c>
      <c r="Y1841">
        <f t="shared" si="57"/>
        <v>0</v>
      </c>
    </row>
    <row r="1842" spans="1:25" x14ac:dyDescent="0.3">
      <c r="A1842" t="s">
        <v>3714</v>
      </c>
      <c r="B1842" t="s">
        <v>3715</v>
      </c>
      <c r="C1842">
        <v>237.97</v>
      </c>
      <c r="D1842" s="1">
        <v>44935.726921296293</v>
      </c>
      <c r="E1842" t="s">
        <v>25</v>
      </c>
      <c r="F1842" t="s">
        <v>137</v>
      </c>
      <c r="G1842" t="s">
        <v>2042</v>
      </c>
      <c r="H1842" t="s">
        <v>3287</v>
      </c>
      <c r="I1842" t="s">
        <v>561</v>
      </c>
      <c r="J1842" t="s">
        <v>30</v>
      </c>
      <c r="K1842">
        <v>69</v>
      </c>
      <c r="L1842" t="s">
        <v>31</v>
      </c>
      <c r="M1842">
        <v>69</v>
      </c>
      <c r="N1842">
        <v>1</v>
      </c>
      <c r="O1842">
        <v>13486.15</v>
      </c>
      <c r="P1842" s="1">
        <v>45600.33792824074</v>
      </c>
      <c r="Q1842">
        <v>17</v>
      </c>
      <c r="R1842" t="s">
        <v>47</v>
      </c>
      <c r="S1842">
        <v>-0.20422861817112101</v>
      </c>
      <c r="T1842" t="b">
        <v>0</v>
      </c>
      <c r="U1842" t="b">
        <v>0</v>
      </c>
      <c r="V1842" t="b">
        <f t="shared" si="56"/>
        <v>1</v>
      </c>
      <c r="W1842">
        <v>0</v>
      </c>
      <c r="Y1842">
        <f t="shared" si="57"/>
        <v>0</v>
      </c>
    </row>
    <row r="1843" spans="1:25" x14ac:dyDescent="0.3">
      <c r="A1843" t="s">
        <v>3716</v>
      </c>
      <c r="B1843" t="s">
        <v>1485</v>
      </c>
      <c r="C1843">
        <v>684.96</v>
      </c>
      <c r="D1843" s="1">
        <v>44935.680405092593</v>
      </c>
      <c r="E1843" t="s">
        <v>25</v>
      </c>
      <c r="F1843" t="s">
        <v>41</v>
      </c>
      <c r="G1843" t="s">
        <v>1399</v>
      </c>
      <c r="H1843" t="s">
        <v>457</v>
      </c>
      <c r="I1843" t="s">
        <v>285</v>
      </c>
      <c r="J1843" t="s">
        <v>30</v>
      </c>
      <c r="K1843">
        <v>21</v>
      </c>
      <c r="L1843" t="s">
        <v>46</v>
      </c>
      <c r="M1843">
        <v>31</v>
      </c>
      <c r="N1843">
        <v>1</v>
      </c>
      <c r="O1843">
        <v>526.66999999999996</v>
      </c>
      <c r="P1843" s="1">
        <v>45600.338252314818</v>
      </c>
      <c r="Q1843">
        <v>16</v>
      </c>
      <c r="R1843" t="s">
        <v>47</v>
      </c>
      <c r="S1843">
        <v>1.3268409199098401</v>
      </c>
      <c r="T1843" t="b">
        <v>0</v>
      </c>
      <c r="U1843" t="b">
        <v>0</v>
      </c>
      <c r="V1843" t="b">
        <f t="shared" si="56"/>
        <v>1</v>
      </c>
      <c r="W1843">
        <v>0</v>
      </c>
      <c r="Y1843">
        <f t="shared" si="57"/>
        <v>0</v>
      </c>
    </row>
    <row r="1844" spans="1:25" x14ac:dyDescent="0.3">
      <c r="A1844" t="s">
        <v>3717</v>
      </c>
      <c r="B1844" t="s">
        <v>1029</v>
      </c>
      <c r="C1844">
        <v>878.63</v>
      </c>
      <c r="D1844" s="1">
        <v>45022.708020833335</v>
      </c>
      <c r="E1844" t="s">
        <v>25</v>
      </c>
      <c r="F1844" t="s">
        <v>137</v>
      </c>
      <c r="G1844" t="s">
        <v>3095</v>
      </c>
      <c r="H1844" t="s">
        <v>804</v>
      </c>
      <c r="I1844" t="s">
        <v>1027</v>
      </c>
      <c r="J1844" t="s">
        <v>30</v>
      </c>
      <c r="K1844">
        <v>60</v>
      </c>
      <c r="L1844" t="s">
        <v>89</v>
      </c>
      <c r="M1844">
        <v>139</v>
      </c>
      <c r="N1844">
        <v>1</v>
      </c>
      <c r="O1844">
        <v>4954.37</v>
      </c>
      <c r="P1844" s="1">
        <v>45600.338252314818</v>
      </c>
      <c r="Q1844">
        <v>16</v>
      </c>
      <c r="R1844" t="s">
        <v>141</v>
      </c>
      <c r="S1844">
        <v>1.99021647068311</v>
      </c>
      <c r="T1844" t="b">
        <v>0</v>
      </c>
      <c r="U1844" t="b">
        <v>0</v>
      </c>
      <c r="V1844" t="b">
        <f t="shared" si="56"/>
        <v>1</v>
      </c>
      <c r="W1844">
        <v>0</v>
      </c>
      <c r="Y1844">
        <f t="shared" si="57"/>
        <v>0</v>
      </c>
    </row>
    <row r="1845" spans="1:25" x14ac:dyDescent="0.3">
      <c r="A1845" t="s">
        <v>3718</v>
      </c>
      <c r="B1845" t="s">
        <v>409</v>
      </c>
      <c r="C1845">
        <v>276.56</v>
      </c>
      <c r="D1845" s="1">
        <v>45026.726550925923</v>
      </c>
      <c r="E1845" t="s">
        <v>25</v>
      </c>
      <c r="F1845" t="s">
        <v>131</v>
      </c>
      <c r="G1845" t="s">
        <v>572</v>
      </c>
      <c r="H1845" t="s">
        <v>3048</v>
      </c>
      <c r="I1845" t="s">
        <v>53</v>
      </c>
      <c r="J1845" t="s">
        <v>81</v>
      </c>
      <c r="K1845">
        <v>68</v>
      </c>
      <c r="L1845" t="s">
        <v>31</v>
      </c>
      <c r="M1845">
        <v>15</v>
      </c>
      <c r="N1845">
        <v>1</v>
      </c>
      <c r="O1845">
        <v>8942.58</v>
      </c>
      <c r="P1845" s="1">
        <v>45600.339548611111</v>
      </c>
      <c r="Q1845">
        <v>17</v>
      </c>
      <c r="R1845" t="s">
        <v>47</v>
      </c>
      <c r="S1845">
        <v>-7.2046749506174498E-2</v>
      </c>
      <c r="T1845" t="b">
        <v>0</v>
      </c>
      <c r="U1845" t="b">
        <v>0</v>
      </c>
      <c r="V1845" t="b">
        <f t="shared" si="56"/>
        <v>1</v>
      </c>
      <c r="W1845">
        <v>0</v>
      </c>
      <c r="Y1845">
        <f t="shared" si="57"/>
        <v>0</v>
      </c>
    </row>
    <row r="1846" spans="1:25" x14ac:dyDescent="0.3">
      <c r="A1846" t="s">
        <v>3719</v>
      </c>
      <c r="B1846" t="s">
        <v>1807</v>
      </c>
      <c r="C1846">
        <v>8.75</v>
      </c>
      <c r="D1846" s="1">
        <v>45092.674201388887</v>
      </c>
      <c r="E1846" t="s">
        <v>25</v>
      </c>
      <c r="F1846" t="s">
        <v>120</v>
      </c>
      <c r="G1846" t="s">
        <v>2822</v>
      </c>
      <c r="H1846" t="s">
        <v>1061</v>
      </c>
      <c r="I1846" t="s">
        <v>182</v>
      </c>
      <c r="J1846" t="s">
        <v>30</v>
      </c>
      <c r="K1846">
        <v>79</v>
      </c>
      <c r="L1846" t="s">
        <v>82</v>
      </c>
      <c r="M1846">
        <v>199</v>
      </c>
      <c r="N1846">
        <v>1</v>
      </c>
      <c r="O1846">
        <v>4044.62</v>
      </c>
      <c r="P1846" s="1">
        <v>45600.340474537035</v>
      </c>
      <c r="Q1846">
        <v>16</v>
      </c>
      <c r="R1846" t="s">
        <v>141</v>
      </c>
      <c r="S1846">
        <v>-0.98937316171554002</v>
      </c>
      <c r="T1846" t="b">
        <v>0</v>
      </c>
      <c r="U1846" t="b">
        <v>0</v>
      </c>
      <c r="V1846" t="b">
        <f t="shared" si="56"/>
        <v>1</v>
      </c>
      <c r="W1846">
        <v>0</v>
      </c>
      <c r="Y1846">
        <f t="shared" si="57"/>
        <v>0</v>
      </c>
    </row>
    <row r="1847" spans="1:25" x14ac:dyDescent="0.3">
      <c r="A1847" t="s">
        <v>3720</v>
      </c>
      <c r="B1847" t="s">
        <v>1657</v>
      </c>
      <c r="C1847">
        <v>637.48</v>
      </c>
      <c r="D1847" s="1">
        <v>45187.686018518521</v>
      </c>
      <c r="E1847" t="s">
        <v>25</v>
      </c>
      <c r="F1847" t="s">
        <v>534</v>
      </c>
      <c r="G1847" t="s">
        <v>2346</v>
      </c>
      <c r="H1847" t="s">
        <v>1379</v>
      </c>
      <c r="I1847" t="s">
        <v>1823</v>
      </c>
      <c r="J1847" t="s">
        <v>45</v>
      </c>
      <c r="K1847">
        <v>65</v>
      </c>
      <c r="L1847" t="s">
        <v>82</v>
      </c>
      <c r="M1847">
        <v>207</v>
      </c>
      <c r="N1847">
        <v>1</v>
      </c>
      <c r="O1847">
        <v>4148.8500000000004</v>
      </c>
      <c r="P1847" s="1">
        <v>45600.338993055557</v>
      </c>
      <c r="Q1847">
        <v>16</v>
      </c>
      <c r="R1847" t="s">
        <v>47</v>
      </c>
      <c r="S1847">
        <v>1.1642082398318001</v>
      </c>
      <c r="T1847" t="b">
        <v>0</v>
      </c>
      <c r="U1847" t="b">
        <v>0</v>
      </c>
      <c r="V1847" t="b">
        <f t="shared" si="56"/>
        <v>1</v>
      </c>
      <c r="W1847">
        <v>0</v>
      </c>
      <c r="Y1847">
        <f t="shared" si="57"/>
        <v>0</v>
      </c>
    </row>
    <row r="1848" spans="1:25" x14ac:dyDescent="0.3">
      <c r="A1848" t="s">
        <v>3721</v>
      </c>
      <c r="B1848" t="s">
        <v>1210</v>
      </c>
      <c r="C1848">
        <v>103.15</v>
      </c>
      <c r="D1848" s="1">
        <v>45168.747766203705</v>
      </c>
      <c r="E1848" t="s">
        <v>25</v>
      </c>
      <c r="F1848" t="s">
        <v>26</v>
      </c>
      <c r="G1848" t="s">
        <v>1145</v>
      </c>
      <c r="H1848" t="s">
        <v>656</v>
      </c>
      <c r="I1848" t="s">
        <v>765</v>
      </c>
      <c r="J1848" t="s">
        <v>81</v>
      </c>
      <c r="K1848">
        <v>51</v>
      </c>
      <c r="L1848" t="s">
        <v>31</v>
      </c>
      <c r="M1848">
        <v>179</v>
      </c>
      <c r="N1848">
        <v>1</v>
      </c>
      <c r="O1848">
        <v>11388.15</v>
      </c>
      <c r="P1848" s="1">
        <v>45600.338506944441</v>
      </c>
      <c r="Q1848">
        <v>17</v>
      </c>
      <c r="R1848" t="s">
        <v>74</v>
      </c>
      <c r="S1848">
        <v>-0.66602596290830995</v>
      </c>
      <c r="T1848" t="b">
        <v>0</v>
      </c>
      <c r="U1848" t="b">
        <v>0</v>
      </c>
      <c r="V1848" t="b">
        <f t="shared" si="56"/>
        <v>1</v>
      </c>
      <c r="W1848">
        <v>0</v>
      </c>
      <c r="Y1848">
        <f t="shared" si="57"/>
        <v>0</v>
      </c>
    </row>
    <row r="1849" spans="1:25" x14ac:dyDescent="0.3">
      <c r="A1849" t="s">
        <v>3722</v>
      </c>
      <c r="B1849" t="s">
        <v>912</v>
      </c>
      <c r="C1849">
        <v>505.6</v>
      </c>
      <c r="D1849" s="1">
        <v>44971.747754629629</v>
      </c>
      <c r="E1849" t="s">
        <v>25</v>
      </c>
      <c r="F1849" t="s">
        <v>126</v>
      </c>
      <c r="G1849" t="s">
        <v>3723</v>
      </c>
      <c r="H1849" t="s">
        <v>1290</v>
      </c>
      <c r="I1849" t="s">
        <v>1050</v>
      </c>
      <c r="J1849" t="s">
        <v>81</v>
      </c>
      <c r="K1849">
        <v>52</v>
      </c>
      <c r="L1849" t="s">
        <v>82</v>
      </c>
      <c r="M1849">
        <v>183</v>
      </c>
      <c r="N1849">
        <v>1</v>
      </c>
      <c r="O1849">
        <v>5347.57</v>
      </c>
      <c r="P1849" s="1">
        <v>45600.340381944443</v>
      </c>
      <c r="Q1849">
        <v>17</v>
      </c>
      <c r="R1849" t="s">
        <v>32</v>
      </c>
      <c r="S1849">
        <v>0.71248124217611097</v>
      </c>
      <c r="T1849" t="b">
        <v>0</v>
      </c>
      <c r="U1849" t="b">
        <v>0</v>
      </c>
      <c r="V1849" t="b">
        <f t="shared" si="56"/>
        <v>1</v>
      </c>
      <c r="W1849">
        <v>0</v>
      </c>
      <c r="Y1849">
        <f t="shared" si="57"/>
        <v>0</v>
      </c>
    </row>
    <row r="1850" spans="1:25" x14ac:dyDescent="0.3">
      <c r="A1850" t="s">
        <v>3724</v>
      </c>
      <c r="B1850" t="s">
        <v>550</v>
      </c>
      <c r="C1850">
        <v>371.86</v>
      </c>
      <c r="D1850" s="1">
        <v>44977.728437500002</v>
      </c>
      <c r="E1850" t="s">
        <v>25</v>
      </c>
      <c r="F1850" t="s">
        <v>185</v>
      </c>
      <c r="G1850" t="s">
        <v>2734</v>
      </c>
      <c r="H1850" t="s">
        <v>2117</v>
      </c>
      <c r="I1850" t="s">
        <v>101</v>
      </c>
      <c r="J1850" t="s">
        <v>30</v>
      </c>
      <c r="K1850">
        <v>46</v>
      </c>
      <c r="L1850" t="s">
        <v>31</v>
      </c>
      <c r="M1850">
        <v>91</v>
      </c>
      <c r="N1850">
        <v>1</v>
      </c>
      <c r="O1850">
        <v>1329.45</v>
      </c>
      <c r="P1850" s="1">
        <v>45600.339108796295</v>
      </c>
      <c r="Q1850">
        <v>17</v>
      </c>
      <c r="R1850" t="s">
        <v>47</v>
      </c>
      <c r="S1850">
        <v>0.25438320861171698</v>
      </c>
      <c r="T1850" t="b">
        <v>0</v>
      </c>
      <c r="U1850" t="b">
        <v>0</v>
      </c>
      <c r="V1850" t="b">
        <f t="shared" si="56"/>
        <v>1</v>
      </c>
      <c r="W1850">
        <v>0</v>
      </c>
      <c r="Y1850">
        <f t="shared" si="57"/>
        <v>0</v>
      </c>
    </row>
    <row r="1851" spans="1:25" x14ac:dyDescent="0.3">
      <c r="A1851" t="s">
        <v>3725</v>
      </c>
      <c r="B1851" t="s">
        <v>2138</v>
      </c>
      <c r="C1851">
        <v>14.26</v>
      </c>
      <c r="D1851" s="1">
        <v>45257.711435185185</v>
      </c>
      <c r="E1851" t="s">
        <v>25</v>
      </c>
      <c r="F1851" t="s">
        <v>314</v>
      </c>
      <c r="G1851" t="s">
        <v>2243</v>
      </c>
      <c r="H1851" t="s">
        <v>506</v>
      </c>
      <c r="I1851" t="s">
        <v>222</v>
      </c>
      <c r="J1851" t="s">
        <v>81</v>
      </c>
      <c r="K1851">
        <v>50</v>
      </c>
      <c r="L1851" t="s">
        <v>89</v>
      </c>
      <c r="M1851">
        <v>37</v>
      </c>
      <c r="N1851">
        <v>1</v>
      </c>
      <c r="O1851">
        <v>2475.65</v>
      </c>
      <c r="P1851" s="1">
        <v>45600.339745370373</v>
      </c>
      <c r="Q1851">
        <v>17</v>
      </c>
      <c r="R1851" t="s">
        <v>47</v>
      </c>
      <c r="S1851">
        <v>-0.97049982415804203</v>
      </c>
      <c r="T1851" t="b">
        <v>0</v>
      </c>
      <c r="U1851" t="b">
        <v>0</v>
      </c>
      <c r="V1851" t="b">
        <f t="shared" si="56"/>
        <v>1</v>
      </c>
      <c r="W1851">
        <v>0</v>
      </c>
      <c r="Y1851">
        <f t="shared" si="57"/>
        <v>0</v>
      </c>
    </row>
    <row r="1852" spans="1:25" x14ac:dyDescent="0.3">
      <c r="A1852" t="s">
        <v>3726</v>
      </c>
      <c r="B1852" t="s">
        <v>948</v>
      </c>
      <c r="C1852">
        <v>13.16</v>
      </c>
      <c r="D1852" s="1">
        <v>45047.733449074076</v>
      </c>
      <c r="E1852" t="s">
        <v>25</v>
      </c>
      <c r="F1852" t="s">
        <v>41</v>
      </c>
      <c r="G1852" t="s">
        <v>373</v>
      </c>
      <c r="H1852" t="s">
        <v>656</v>
      </c>
      <c r="I1852" t="s">
        <v>833</v>
      </c>
      <c r="J1852" t="s">
        <v>81</v>
      </c>
      <c r="K1852">
        <v>43</v>
      </c>
      <c r="L1852" t="s">
        <v>89</v>
      </c>
      <c r="M1852">
        <v>98</v>
      </c>
      <c r="N1852">
        <v>1</v>
      </c>
      <c r="O1852">
        <v>1019.46</v>
      </c>
      <c r="P1852" s="1">
        <v>45600.340624999997</v>
      </c>
      <c r="Q1852">
        <v>17</v>
      </c>
      <c r="R1852" t="s">
        <v>47</v>
      </c>
      <c r="S1852">
        <v>-0.974267641093295</v>
      </c>
      <c r="T1852" t="b">
        <v>0</v>
      </c>
      <c r="U1852" t="b">
        <v>0</v>
      </c>
      <c r="V1852" t="b">
        <f t="shared" si="56"/>
        <v>1</v>
      </c>
      <c r="W1852">
        <v>0</v>
      </c>
      <c r="Y1852">
        <f t="shared" si="57"/>
        <v>0</v>
      </c>
    </row>
    <row r="1853" spans="1:25" x14ac:dyDescent="0.3">
      <c r="A1853" t="s">
        <v>3727</v>
      </c>
      <c r="B1853" t="s">
        <v>868</v>
      </c>
      <c r="C1853">
        <v>167.92</v>
      </c>
      <c r="D1853" s="1">
        <v>45103.745995370373</v>
      </c>
      <c r="E1853" t="s">
        <v>25</v>
      </c>
      <c r="F1853" t="s">
        <v>104</v>
      </c>
      <c r="G1853" t="s">
        <v>132</v>
      </c>
      <c r="H1853" t="s">
        <v>2327</v>
      </c>
      <c r="I1853" t="s">
        <v>1358</v>
      </c>
      <c r="J1853" t="s">
        <v>30</v>
      </c>
      <c r="K1853">
        <v>40</v>
      </c>
      <c r="L1853" t="s">
        <v>31</v>
      </c>
      <c r="M1853">
        <v>136</v>
      </c>
      <c r="N1853">
        <v>2</v>
      </c>
      <c r="O1853">
        <v>14321.73</v>
      </c>
      <c r="P1853" s="1">
        <v>45600.339050925926</v>
      </c>
      <c r="Q1853">
        <v>17</v>
      </c>
      <c r="R1853" t="s">
        <v>47</v>
      </c>
      <c r="S1853">
        <v>-0.44417005118432501</v>
      </c>
      <c r="T1853" t="b">
        <v>0</v>
      </c>
      <c r="U1853" t="b">
        <v>1</v>
      </c>
      <c r="V1853" t="b">
        <f t="shared" si="56"/>
        <v>1</v>
      </c>
      <c r="W1853">
        <v>1</v>
      </c>
      <c r="Y1853">
        <f t="shared" si="57"/>
        <v>0</v>
      </c>
    </row>
    <row r="1854" spans="1:25" x14ac:dyDescent="0.3">
      <c r="A1854" t="s">
        <v>3728</v>
      </c>
      <c r="B1854" t="s">
        <v>1040</v>
      </c>
      <c r="C1854">
        <v>73.010000000000005</v>
      </c>
      <c r="D1854" s="1">
        <v>45055.710046296299</v>
      </c>
      <c r="E1854" t="s">
        <v>25</v>
      </c>
      <c r="F1854" t="s">
        <v>35</v>
      </c>
      <c r="G1854" t="s">
        <v>1353</v>
      </c>
      <c r="H1854" t="s">
        <v>883</v>
      </c>
      <c r="I1854" t="s">
        <v>285</v>
      </c>
      <c r="J1854" t="s">
        <v>30</v>
      </c>
      <c r="K1854">
        <v>56</v>
      </c>
      <c r="L1854" t="s">
        <v>82</v>
      </c>
      <c r="M1854">
        <v>101</v>
      </c>
      <c r="N1854">
        <v>1</v>
      </c>
      <c r="O1854">
        <v>2833.12</v>
      </c>
      <c r="P1854" s="1">
        <v>45600.340138888889</v>
      </c>
      <c r="Q1854">
        <v>17</v>
      </c>
      <c r="R1854" t="s">
        <v>32</v>
      </c>
      <c r="S1854">
        <v>-0.76926414693426304</v>
      </c>
      <c r="T1854" t="b">
        <v>0</v>
      </c>
      <c r="U1854" t="b">
        <v>0</v>
      </c>
      <c r="V1854" t="b">
        <f t="shared" si="56"/>
        <v>1</v>
      </c>
      <c r="W1854">
        <v>0</v>
      </c>
      <c r="Y1854">
        <f t="shared" si="57"/>
        <v>0</v>
      </c>
    </row>
    <row r="1855" spans="1:25" x14ac:dyDescent="0.3">
      <c r="A1855" t="s">
        <v>3729</v>
      </c>
      <c r="B1855" t="s">
        <v>1815</v>
      </c>
      <c r="C1855">
        <v>201.5</v>
      </c>
      <c r="D1855" s="1">
        <v>45121.758113425924</v>
      </c>
      <c r="E1855" t="s">
        <v>57</v>
      </c>
      <c r="F1855" t="s">
        <v>336</v>
      </c>
      <c r="G1855" t="s">
        <v>791</v>
      </c>
      <c r="H1855" t="s">
        <v>116</v>
      </c>
      <c r="I1855" t="s">
        <v>399</v>
      </c>
      <c r="J1855" t="s">
        <v>45</v>
      </c>
      <c r="K1855">
        <v>61</v>
      </c>
      <c r="L1855" t="s">
        <v>31</v>
      </c>
      <c r="M1855">
        <v>196</v>
      </c>
      <c r="N1855">
        <v>1</v>
      </c>
      <c r="O1855">
        <v>12148.32</v>
      </c>
      <c r="P1855" s="1">
        <v>45600.339444444442</v>
      </c>
      <c r="Q1855">
        <v>18</v>
      </c>
      <c r="R1855" t="s">
        <v>54</v>
      </c>
      <c r="S1855">
        <v>-0.329148876015397</v>
      </c>
      <c r="T1855" t="b">
        <v>0</v>
      </c>
      <c r="U1855" t="b">
        <v>0</v>
      </c>
      <c r="V1855" t="b">
        <f t="shared" si="56"/>
        <v>1</v>
      </c>
      <c r="W1855">
        <v>0</v>
      </c>
      <c r="Y1855">
        <f t="shared" si="57"/>
        <v>0</v>
      </c>
    </row>
    <row r="1856" spans="1:25" x14ac:dyDescent="0.3">
      <c r="A1856" t="s">
        <v>3730</v>
      </c>
      <c r="B1856" t="s">
        <v>2890</v>
      </c>
      <c r="C1856">
        <v>150.30000000000001</v>
      </c>
      <c r="D1856" s="1">
        <v>45145.726307870369</v>
      </c>
      <c r="E1856" t="s">
        <v>25</v>
      </c>
      <c r="F1856" t="s">
        <v>159</v>
      </c>
      <c r="G1856" t="s">
        <v>1904</v>
      </c>
      <c r="H1856" t="s">
        <v>2592</v>
      </c>
      <c r="I1856" t="s">
        <v>556</v>
      </c>
      <c r="J1856" t="s">
        <v>45</v>
      </c>
      <c r="K1856">
        <v>41</v>
      </c>
      <c r="L1856" t="s">
        <v>31</v>
      </c>
      <c r="M1856">
        <v>204</v>
      </c>
      <c r="N1856">
        <v>1</v>
      </c>
      <c r="O1856">
        <v>14371.08</v>
      </c>
      <c r="P1856" s="1">
        <v>45600.339236111111</v>
      </c>
      <c r="Q1856">
        <v>17</v>
      </c>
      <c r="R1856" t="s">
        <v>47</v>
      </c>
      <c r="S1856">
        <v>-0.50452362791084304</v>
      </c>
      <c r="T1856" t="b">
        <v>0</v>
      </c>
      <c r="U1856" t="b">
        <v>0</v>
      </c>
      <c r="V1856" t="b">
        <f t="shared" si="56"/>
        <v>1</v>
      </c>
      <c r="W1856">
        <v>0</v>
      </c>
      <c r="Y1856">
        <f t="shared" si="57"/>
        <v>0</v>
      </c>
    </row>
    <row r="1857" spans="1:25" x14ac:dyDescent="0.3">
      <c r="A1857" t="s">
        <v>3731</v>
      </c>
      <c r="B1857" t="s">
        <v>2192</v>
      </c>
      <c r="C1857">
        <v>23.7</v>
      </c>
      <c r="D1857" s="1">
        <v>45225.744120370371</v>
      </c>
      <c r="E1857" t="s">
        <v>25</v>
      </c>
      <c r="F1857" t="s">
        <v>225</v>
      </c>
      <c r="G1857" t="s">
        <v>165</v>
      </c>
      <c r="H1857" t="s">
        <v>52</v>
      </c>
      <c r="I1857" t="s">
        <v>371</v>
      </c>
      <c r="J1857" t="s">
        <v>30</v>
      </c>
      <c r="K1857">
        <v>46</v>
      </c>
      <c r="L1857" t="s">
        <v>31</v>
      </c>
      <c r="M1857">
        <v>32</v>
      </c>
      <c r="N1857">
        <v>1</v>
      </c>
      <c r="O1857">
        <v>7947.44</v>
      </c>
      <c r="P1857" s="1">
        <v>45600.341481481482</v>
      </c>
      <c r="Q1857">
        <v>17</v>
      </c>
      <c r="R1857" t="s">
        <v>141</v>
      </c>
      <c r="S1857">
        <v>-0.93816510427731903</v>
      </c>
      <c r="T1857" t="b">
        <v>0</v>
      </c>
      <c r="U1857" t="b">
        <v>0</v>
      </c>
      <c r="V1857" t="b">
        <f t="shared" si="56"/>
        <v>1</v>
      </c>
      <c r="W1857">
        <v>0</v>
      </c>
      <c r="Y1857">
        <f t="shared" si="57"/>
        <v>0</v>
      </c>
    </row>
    <row r="1858" spans="1:25" x14ac:dyDescent="0.3">
      <c r="A1858" t="s">
        <v>3732</v>
      </c>
      <c r="B1858" t="s">
        <v>3733</v>
      </c>
      <c r="C1858">
        <v>49.59</v>
      </c>
      <c r="D1858" s="1">
        <v>45163.698148148149</v>
      </c>
      <c r="E1858" t="s">
        <v>25</v>
      </c>
      <c r="F1858" t="s">
        <v>401</v>
      </c>
      <c r="G1858" t="s">
        <v>2776</v>
      </c>
      <c r="H1858" t="s">
        <v>3734</v>
      </c>
      <c r="I1858" t="s">
        <v>561</v>
      </c>
      <c r="J1858" t="s">
        <v>81</v>
      </c>
      <c r="K1858">
        <v>48</v>
      </c>
      <c r="L1858" t="s">
        <v>89</v>
      </c>
      <c r="M1858">
        <v>147</v>
      </c>
      <c r="N1858">
        <v>1</v>
      </c>
      <c r="O1858">
        <v>6037.03</v>
      </c>
      <c r="P1858" s="1">
        <v>45600.340231481481</v>
      </c>
      <c r="Q1858">
        <v>16</v>
      </c>
      <c r="R1858" t="s">
        <v>54</v>
      </c>
      <c r="S1858">
        <v>-0.849484394773938</v>
      </c>
      <c r="T1858" t="b">
        <v>0</v>
      </c>
      <c r="U1858" t="b">
        <v>0</v>
      </c>
      <c r="V1858" t="b">
        <f t="shared" si="56"/>
        <v>1</v>
      </c>
      <c r="W1858">
        <v>0</v>
      </c>
      <c r="Y1858">
        <f t="shared" si="57"/>
        <v>0</v>
      </c>
    </row>
    <row r="1859" spans="1:25" x14ac:dyDescent="0.3">
      <c r="A1859" t="s">
        <v>3735</v>
      </c>
      <c r="B1859" t="s">
        <v>918</v>
      </c>
      <c r="C1859">
        <v>720.13</v>
      </c>
      <c r="D1859" s="1">
        <v>44971.748969907407</v>
      </c>
      <c r="E1859" t="s">
        <v>57</v>
      </c>
      <c r="F1859" t="s">
        <v>309</v>
      </c>
      <c r="G1859" t="s">
        <v>2353</v>
      </c>
      <c r="H1859" t="s">
        <v>1215</v>
      </c>
      <c r="I1859" t="s">
        <v>1222</v>
      </c>
      <c r="J1859" t="s">
        <v>30</v>
      </c>
      <c r="K1859">
        <v>22</v>
      </c>
      <c r="L1859" t="s">
        <v>46</v>
      </c>
      <c r="M1859">
        <v>96</v>
      </c>
      <c r="N1859">
        <v>1</v>
      </c>
      <c r="O1859">
        <v>387.02</v>
      </c>
      <c r="P1859" s="1">
        <v>45600.338553240741</v>
      </c>
      <c r="Q1859">
        <v>17</v>
      </c>
      <c r="R1859" t="s">
        <v>32</v>
      </c>
      <c r="S1859">
        <v>1.44730830319427</v>
      </c>
      <c r="T1859" t="b">
        <v>0</v>
      </c>
      <c r="U1859" t="b">
        <v>0</v>
      </c>
      <c r="V1859" t="b">
        <f t="shared" ref="V1859:V1922" si="58">ISLOGICAL(T1859)</f>
        <v>1</v>
      </c>
      <c r="W1859">
        <v>0</v>
      </c>
      <c r="Y1859">
        <f t="shared" ref="Y1859:Y1922" si="59">--T1859</f>
        <v>0</v>
      </c>
    </row>
    <row r="1860" spans="1:25" x14ac:dyDescent="0.3">
      <c r="A1860" t="s">
        <v>3736</v>
      </c>
      <c r="B1860" t="s">
        <v>63</v>
      </c>
      <c r="C1860">
        <v>134.91999999999999</v>
      </c>
      <c r="D1860" s="1">
        <v>45230.698819444442</v>
      </c>
      <c r="E1860" t="s">
        <v>25</v>
      </c>
      <c r="F1860" t="s">
        <v>153</v>
      </c>
      <c r="G1860" t="s">
        <v>3095</v>
      </c>
      <c r="H1860" t="s">
        <v>365</v>
      </c>
      <c r="I1860" t="s">
        <v>1050</v>
      </c>
      <c r="J1860" t="s">
        <v>45</v>
      </c>
      <c r="K1860">
        <v>19</v>
      </c>
      <c r="L1860" t="s">
        <v>46</v>
      </c>
      <c r="M1860">
        <v>101</v>
      </c>
      <c r="N1860">
        <v>1</v>
      </c>
      <c r="O1860">
        <v>1081.97</v>
      </c>
      <c r="P1860" s="1">
        <v>45600.340046296296</v>
      </c>
      <c r="Q1860">
        <v>16</v>
      </c>
      <c r="R1860" t="s">
        <v>32</v>
      </c>
      <c r="S1860">
        <v>-0.55720455924193701</v>
      </c>
      <c r="T1860" t="b">
        <v>0</v>
      </c>
      <c r="U1860" t="b">
        <v>0</v>
      </c>
      <c r="V1860" t="b">
        <f t="shared" si="58"/>
        <v>1</v>
      </c>
      <c r="W1860">
        <v>0</v>
      </c>
      <c r="Y1860">
        <f t="shared" si="59"/>
        <v>0</v>
      </c>
    </row>
    <row r="1861" spans="1:25" x14ac:dyDescent="0.3">
      <c r="A1861" t="s">
        <v>3737</v>
      </c>
      <c r="B1861" t="s">
        <v>1324</v>
      </c>
      <c r="C1861">
        <v>116.97</v>
      </c>
      <c r="D1861" s="1">
        <v>45119.703402777777</v>
      </c>
      <c r="E1861" t="s">
        <v>25</v>
      </c>
      <c r="F1861" t="s">
        <v>64</v>
      </c>
      <c r="G1861" t="s">
        <v>115</v>
      </c>
      <c r="H1861" t="s">
        <v>694</v>
      </c>
      <c r="I1861" t="s">
        <v>589</v>
      </c>
      <c r="J1861" t="s">
        <v>30</v>
      </c>
      <c r="K1861">
        <v>18</v>
      </c>
      <c r="L1861" t="s">
        <v>46</v>
      </c>
      <c r="M1861">
        <v>299</v>
      </c>
      <c r="N1861">
        <v>1</v>
      </c>
      <c r="O1861">
        <v>729.7</v>
      </c>
      <c r="P1861" s="1">
        <v>45600.339166666665</v>
      </c>
      <c r="Q1861">
        <v>16</v>
      </c>
      <c r="R1861" t="s">
        <v>74</v>
      </c>
      <c r="S1861">
        <v>-0.61868848104903196</v>
      </c>
      <c r="T1861" t="b">
        <v>0</v>
      </c>
      <c r="U1861" t="b">
        <v>0</v>
      </c>
      <c r="V1861" t="b">
        <f t="shared" si="58"/>
        <v>1</v>
      </c>
      <c r="W1861">
        <v>0</v>
      </c>
      <c r="Y1861">
        <f t="shared" si="59"/>
        <v>0</v>
      </c>
    </row>
    <row r="1862" spans="1:25" x14ac:dyDescent="0.3">
      <c r="A1862" t="s">
        <v>3738</v>
      </c>
      <c r="B1862" t="s">
        <v>2703</v>
      </c>
      <c r="C1862">
        <v>11.06</v>
      </c>
      <c r="D1862" s="1">
        <v>45231.749351851853</v>
      </c>
      <c r="E1862" t="s">
        <v>25</v>
      </c>
      <c r="F1862" t="s">
        <v>534</v>
      </c>
      <c r="G1862" t="s">
        <v>1969</v>
      </c>
      <c r="H1862" t="s">
        <v>824</v>
      </c>
      <c r="I1862" t="s">
        <v>993</v>
      </c>
      <c r="J1862" t="s">
        <v>30</v>
      </c>
      <c r="K1862">
        <v>34</v>
      </c>
      <c r="L1862" t="s">
        <v>89</v>
      </c>
      <c r="M1862">
        <v>13</v>
      </c>
      <c r="N1862">
        <v>3</v>
      </c>
      <c r="O1862">
        <v>2782.21</v>
      </c>
      <c r="P1862" s="1">
        <v>45600.338287037041</v>
      </c>
      <c r="Q1862">
        <v>17</v>
      </c>
      <c r="R1862" t="s">
        <v>74</v>
      </c>
      <c r="S1862">
        <v>-0.98146074615150702</v>
      </c>
      <c r="T1862" t="b">
        <v>0</v>
      </c>
      <c r="U1862" t="b">
        <v>1</v>
      </c>
      <c r="V1862" t="b">
        <f t="shared" si="58"/>
        <v>1</v>
      </c>
      <c r="W1862">
        <v>1</v>
      </c>
      <c r="Y1862">
        <f t="shared" si="59"/>
        <v>0</v>
      </c>
    </row>
    <row r="1863" spans="1:25" x14ac:dyDescent="0.3">
      <c r="A1863" t="s">
        <v>3739</v>
      </c>
      <c r="B1863" t="s">
        <v>1394</v>
      </c>
      <c r="C1863">
        <v>88.29</v>
      </c>
      <c r="D1863" s="1">
        <v>44946.698680555557</v>
      </c>
      <c r="E1863" t="s">
        <v>57</v>
      </c>
      <c r="F1863" t="s">
        <v>35</v>
      </c>
      <c r="G1863" t="s">
        <v>1271</v>
      </c>
      <c r="H1863" t="s">
        <v>3100</v>
      </c>
      <c r="I1863" t="s">
        <v>150</v>
      </c>
      <c r="J1863" t="s">
        <v>45</v>
      </c>
      <c r="K1863">
        <v>50</v>
      </c>
      <c r="L1863" t="s">
        <v>89</v>
      </c>
      <c r="M1863">
        <v>287</v>
      </c>
      <c r="N1863">
        <v>1</v>
      </c>
      <c r="O1863">
        <v>5245.93</v>
      </c>
      <c r="P1863" s="1">
        <v>45600.339780092596</v>
      </c>
      <c r="Q1863">
        <v>16</v>
      </c>
      <c r="R1863" t="s">
        <v>54</v>
      </c>
      <c r="S1863">
        <v>-0.71692574441546497</v>
      </c>
      <c r="T1863" t="b">
        <v>0</v>
      </c>
      <c r="U1863" t="b">
        <v>0</v>
      </c>
      <c r="V1863" t="b">
        <f t="shared" si="58"/>
        <v>1</v>
      </c>
      <c r="W1863">
        <v>0</v>
      </c>
      <c r="Y1863">
        <f t="shared" si="59"/>
        <v>0</v>
      </c>
    </row>
    <row r="1864" spans="1:25" x14ac:dyDescent="0.3">
      <c r="A1864" t="s">
        <v>3740</v>
      </c>
      <c r="B1864" t="s">
        <v>1199</v>
      </c>
      <c r="C1864">
        <v>5.81</v>
      </c>
      <c r="D1864" s="1">
        <v>45100.733657407407</v>
      </c>
      <c r="E1864" t="s">
        <v>25</v>
      </c>
      <c r="F1864" t="s">
        <v>35</v>
      </c>
      <c r="G1864" t="s">
        <v>913</v>
      </c>
      <c r="H1864" t="s">
        <v>760</v>
      </c>
      <c r="I1864" t="s">
        <v>344</v>
      </c>
      <c r="J1864" t="s">
        <v>30</v>
      </c>
      <c r="K1864">
        <v>25</v>
      </c>
      <c r="L1864" t="s">
        <v>46</v>
      </c>
      <c r="M1864">
        <v>222</v>
      </c>
      <c r="N1864">
        <v>1</v>
      </c>
      <c r="O1864">
        <v>1290.95</v>
      </c>
      <c r="P1864" s="1">
        <v>45600.338912037034</v>
      </c>
      <c r="Q1864">
        <v>17</v>
      </c>
      <c r="R1864" t="s">
        <v>54</v>
      </c>
      <c r="S1864">
        <v>-0.99944350879703603</v>
      </c>
      <c r="T1864" t="b">
        <v>0</v>
      </c>
      <c r="U1864" t="b">
        <v>0</v>
      </c>
      <c r="V1864" t="b">
        <f t="shared" si="58"/>
        <v>1</v>
      </c>
      <c r="W1864">
        <v>0</v>
      </c>
      <c r="Y1864">
        <f t="shared" si="59"/>
        <v>0</v>
      </c>
    </row>
    <row r="1865" spans="1:25" x14ac:dyDescent="0.3">
      <c r="A1865" t="s">
        <v>3741</v>
      </c>
      <c r="B1865" t="s">
        <v>2545</v>
      </c>
      <c r="C1865">
        <v>103.48</v>
      </c>
      <c r="D1865" s="1">
        <v>44956.669641203705</v>
      </c>
      <c r="E1865" t="s">
        <v>25</v>
      </c>
      <c r="F1865" t="s">
        <v>210</v>
      </c>
      <c r="G1865" t="s">
        <v>1161</v>
      </c>
      <c r="H1865" t="s">
        <v>2877</v>
      </c>
      <c r="I1865" t="s">
        <v>325</v>
      </c>
      <c r="J1865" t="s">
        <v>30</v>
      </c>
      <c r="K1865">
        <v>32</v>
      </c>
      <c r="L1865" t="s">
        <v>89</v>
      </c>
      <c r="M1865">
        <v>33</v>
      </c>
      <c r="N1865">
        <v>1</v>
      </c>
      <c r="O1865">
        <v>6494.25</v>
      </c>
      <c r="P1865" s="1">
        <v>45600.33997685185</v>
      </c>
      <c r="Q1865">
        <v>16</v>
      </c>
      <c r="R1865" t="s">
        <v>47</v>
      </c>
      <c r="S1865">
        <v>-0.66489561782773399</v>
      </c>
      <c r="T1865" t="b">
        <v>0</v>
      </c>
      <c r="U1865" t="b">
        <v>0</v>
      </c>
      <c r="V1865" t="b">
        <f t="shared" si="58"/>
        <v>1</v>
      </c>
      <c r="W1865">
        <v>0</v>
      </c>
      <c r="Y1865">
        <f t="shared" si="59"/>
        <v>0</v>
      </c>
    </row>
    <row r="1866" spans="1:25" x14ac:dyDescent="0.3">
      <c r="A1866" t="s">
        <v>3742</v>
      </c>
      <c r="B1866" t="s">
        <v>2037</v>
      </c>
      <c r="C1866">
        <v>156.74</v>
      </c>
      <c r="D1866" s="1">
        <v>44981.765636574077</v>
      </c>
      <c r="E1866" t="s">
        <v>25</v>
      </c>
      <c r="F1866" t="s">
        <v>64</v>
      </c>
      <c r="G1866" t="s">
        <v>820</v>
      </c>
      <c r="H1866" t="s">
        <v>636</v>
      </c>
      <c r="I1866" t="s">
        <v>765</v>
      </c>
      <c r="J1866" t="s">
        <v>30</v>
      </c>
      <c r="K1866">
        <v>70</v>
      </c>
      <c r="L1866" t="s">
        <v>82</v>
      </c>
      <c r="M1866">
        <v>136</v>
      </c>
      <c r="N1866">
        <v>1</v>
      </c>
      <c r="O1866">
        <v>4004.35</v>
      </c>
      <c r="P1866" s="1">
        <v>45600.339236111111</v>
      </c>
      <c r="Q1866">
        <v>18</v>
      </c>
      <c r="R1866" t="s">
        <v>54</v>
      </c>
      <c r="S1866">
        <v>-0.48246477239899399</v>
      </c>
      <c r="T1866" t="b">
        <v>0</v>
      </c>
      <c r="U1866" t="b">
        <v>0</v>
      </c>
      <c r="V1866" t="b">
        <f t="shared" si="58"/>
        <v>1</v>
      </c>
      <c r="W1866">
        <v>0</v>
      </c>
      <c r="Y1866">
        <f t="shared" si="59"/>
        <v>0</v>
      </c>
    </row>
    <row r="1867" spans="1:25" x14ac:dyDescent="0.3">
      <c r="A1867" t="s">
        <v>3743</v>
      </c>
      <c r="B1867" t="s">
        <v>24</v>
      </c>
      <c r="C1867">
        <v>505.14</v>
      </c>
      <c r="D1867" s="1">
        <v>44929.731874999998</v>
      </c>
      <c r="E1867" t="s">
        <v>25</v>
      </c>
      <c r="F1867" t="s">
        <v>608</v>
      </c>
      <c r="G1867" t="s">
        <v>1937</v>
      </c>
      <c r="H1867" t="s">
        <v>1810</v>
      </c>
      <c r="I1867" t="s">
        <v>720</v>
      </c>
      <c r="J1867" t="s">
        <v>30</v>
      </c>
      <c r="K1867">
        <v>68</v>
      </c>
      <c r="L1867" t="s">
        <v>82</v>
      </c>
      <c r="M1867">
        <v>179</v>
      </c>
      <c r="N1867">
        <v>1</v>
      </c>
      <c r="O1867">
        <v>2525.4699999999998</v>
      </c>
      <c r="P1867" s="1">
        <v>45600.341157407405</v>
      </c>
      <c r="Q1867">
        <v>17</v>
      </c>
      <c r="R1867" t="s">
        <v>32</v>
      </c>
      <c r="S1867">
        <v>0.71090560963955096</v>
      </c>
      <c r="T1867" t="b">
        <v>0</v>
      </c>
      <c r="U1867" t="b">
        <v>0</v>
      </c>
      <c r="V1867" t="b">
        <f t="shared" si="58"/>
        <v>1</v>
      </c>
      <c r="W1867">
        <v>0</v>
      </c>
      <c r="Y1867">
        <f t="shared" si="59"/>
        <v>0</v>
      </c>
    </row>
    <row r="1868" spans="1:25" x14ac:dyDescent="0.3">
      <c r="A1868" t="s">
        <v>3744</v>
      </c>
      <c r="B1868" t="s">
        <v>1057</v>
      </c>
      <c r="C1868">
        <v>31.06</v>
      </c>
      <c r="D1868" s="1">
        <v>45250.707789351851</v>
      </c>
      <c r="E1868" t="s">
        <v>25</v>
      </c>
      <c r="F1868" t="s">
        <v>304</v>
      </c>
      <c r="G1868" t="s">
        <v>59</v>
      </c>
      <c r="H1868" t="s">
        <v>1140</v>
      </c>
      <c r="I1868" t="s">
        <v>844</v>
      </c>
      <c r="J1868" t="s">
        <v>30</v>
      </c>
      <c r="K1868">
        <v>46</v>
      </c>
      <c r="L1868" t="s">
        <v>31</v>
      </c>
      <c r="M1868">
        <v>61</v>
      </c>
      <c r="N1868">
        <v>1</v>
      </c>
      <c r="O1868">
        <v>11014.25</v>
      </c>
      <c r="P1868" s="1">
        <v>45600.338472222225</v>
      </c>
      <c r="Q1868">
        <v>16</v>
      </c>
      <c r="R1868" t="s">
        <v>47</v>
      </c>
      <c r="S1868">
        <v>-0.91295498369234795</v>
      </c>
      <c r="T1868" t="b">
        <v>0</v>
      </c>
      <c r="U1868" t="b">
        <v>0</v>
      </c>
      <c r="V1868" t="b">
        <f t="shared" si="58"/>
        <v>1</v>
      </c>
      <c r="W1868">
        <v>0</v>
      </c>
      <c r="Y1868">
        <f t="shared" si="59"/>
        <v>0</v>
      </c>
    </row>
    <row r="1869" spans="1:25" x14ac:dyDescent="0.3">
      <c r="A1869" t="s">
        <v>3745</v>
      </c>
      <c r="B1869" t="s">
        <v>1709</v>
      </c>
      <c r="C1869">
        <v>7.61</v>
      </c>
      <c r="D1869" s="1">
        <v>45190.759467592594</v>
      </c>
      <c r="E1869" t="s">
        <v>25</v>
      </c>
      <c r="F1869" t="s">
        <v>58</v>
      </c>
      <c r="G1869" t="s">
        <v>915</v>
      </c>
      <c r="H1869" t="s">
        <v>910</v>
      </c>
      <c r="I1869" t="s">
        <v>167</v>
      </c>
      <c r="J1869" t="s">
        <v>30</v>
      </c>
      <c r="K1869">
        <v>50</v>
      </c>
      <c r="L1869" t="s">
        <v>31</v>
      </c>
      <c r="M1869">
        <v>163</v>
      </c>
      <c r="N1869">
        <v>1</v>
      </c>
      <c r="O1869">
        <v>6275</v>
      </c>
      <c r="P1869" s="1">
        <v>45600.339004629626</v>
      </c>
      <c r="Q1869">
        <v>18</v>
      </c>
      <c r="R1869" t="s">
        <v>141</v>
      </c>
      <c r="S1869">
        <v>-0.99327799017571206</v>
      </c>
      <c r="T1869" t="b">
        <v>0</v>
      </c>
      <c r="U1869" t="b">
        <v>0</v>
      </c>
      <c r="V1869" t="b">
        <f t="shared" si="58"/>
        <v>1</v>
      </c>
      <c r="W1869">
        <v>0</v>
      </c>
      <c r="Y1869">
        <f t="shared" si="59"/>
        <v>0</v>
      </c>
    </row>
    <row r="1870" spans="1:25" x14ac:dyDescent="0.3">
      <c r="A1870" t="s">
        <v>3746</v>
      </c>
      <c r="B1870" t="s">
        <v>2650</v>
      </c>
      <c r="C1870">
        <v>276.16000000000003</v>
      </c>
      <c r="D1870" s="1">
        <v>44970.676585648151</v>
      </c>
      <c r="E1870" t="s">
        <v>57</v>
      </c>
      <c r="F1870" t="s">
        <v>608</v>
      </c>
      <c r="G1870" t="s">
        <v>1710</v>
      </c>
      <c r="H1870" t="s">
        <v>1785</v>
      </c>
      <c r="I1870" t="s">
        <v>73</v>
      </c>
      <c r="J1870" t="s">
        <v>30</v>
      </c>
      <c r="K1870">
        <v>53</v>
      </c>
      <c r="L1870" t="s">
        <v>82</v>
      </c>
      <c r="M1870">
        <v>71</v>
      </c>
      <c r="N1870">
        <v>1</v>
      </c>
      <c r="O1870">
        <v>1733.34</v>
      </c>
      <c r="P1870" s="1">
        <v>45600.341631944444</v>
      </c>
      <c r="Q1870">
        <v>16</v>
      </c>
      <c r="R1870" t="s">
        <v>47</v>
      </c>
      <c r="S1870">
        <v>-7.3416864755357594E-2</v>
      </c>
      <c r="T1870" t="b">
        <v>0</v>
      </c>
      <c r="U1870" t="b">
        <v>0</v>
      </c>
      <c r="V1870" t="b">
        <f t="shared" si="58"/>
        <v>1</v>
      </c>
      <c r="W1870">
        <v>0</v>
      </c>
      <c r="Y1870">
        <f t="shared" si="59"/>
        <v>0</v>
      </c>
    </row>
    <row r="1871" spans="1:25" x14ac:dyDescent="0.3">
      <c r="A1871" t="s">
        <v>3747</v>
      </c>
      <c r="B1871" t="s">
        <v>563</v>
      </c>
      <c r="C1871">
        <v>145.77000000000001</v>
      </c>
      <c r="D1871" s="1">
        <v>45021.672372685185</v>
      </c>
      <c r="E1871" t="s">
        <v>25</v>
      </c>
      <c r="F1871" t="s">
        <v>104</v>
      </c>
      <c r="G1871" t="s">
        <v>1653</v>
      </c>
      <c r="H1871" t="s">
        <v>3087</v>
      </c>
      <c r="I1871" t="s">
        <v>156</v>
      </c>
      <c r="J1871" t="s">
        <v>30</v>
      </c>
      <c r="K1871">
        <v>68</v>
      </c>
      <c r="L1871" t="s">
        <v>82</v>
      </c>
      <c r="M1871">
        <v>237</v>
      </c>
      <c r="N1871">
        <v>1</v>
      </c>
      <c r="O1871">
        <v>5294.98</v>
      </c>
      <c r="P1871" s="1">
        <v>45600.341261574074</v>
      </c>
      <c r="Q1871">
        <v>16</v>
      </c>
      <c r="R1871" t="s">
        <v>74</v>
      </c>
      <c r="S1871">
        <v>-0.52004018310784295</v>
      </c>
      <c r="T1871" t="b">
        <v>0</v>
      </c>
      <c r="U1871" t="b">
        <v>0</v>
      </c>
      <c r="V1871" t="b">
        <f t="shared" si="58"/>
        <v>1</v>
      </c>
      <c r="W1871">
        <v>0</v>
      </c>
      <c r="Y1871">
        <f t="shared" si="59"/>
        <v>0</v>
      </c>
    </row>
    <row r="1872" spans="1:25" x14ac:dyDescent="0.3">
      <c r="A1872" t="s">
        <v>3748</v>
      </c>
      <c r="B1872" t="s">
        <v>287</v>
      </c>
      <c r="C1872">
        <v>369.44</v>
      </c>
      <c r="D1872" s="1">
        <v>45250.715995370374</v>
      </c>
      <c r="E1872" t="s">
        <v>25</v>
      </c>
      <c r="F1872" t="s">
        <v>85</v>
      </c>
      <c r="G1872" t="s">
        <v>3210</v>
      </c>
      <c r="H1872" t="s">
        <v>3618</v>
      </c>
      <c r="I1872" t="s">
        <v>222</v>
      </c>
      <c r="J1872" t="s">
        <v>45</v>
      </c>
      <c r="K1872">
        <v>34</v>
      </c>
      <c r="L1872" t="s">
        <v>89</v>
      </c>
      <c r="M1872">
        <v>19</v>
      </c>
      <c r="N1872">
        <v>1</v>
      </c>
      <c r="O1872">
        <v>5018.67</v>
      </c>
      <c r="P1872" s="1">
        <v>45600.339259259257</v>
      </c>
      <c r="Q1872">
        <v>17</v>
      </c>
      <c r="R1872" t="s">
        <v>47</v>
      </c>
      <c r="S1872">
        <v>0.24609401135415801</v>
      </c>
      <c r="T1872" t="b">
        <v>0</v>
      </c>
      <c r="U1872" t="b">
        <v>0</v>
      </c>
      <c r="V1872" t="b">
        <f t="shared" si="58"/>
        <v>1</v>
      </c>
      <c r="W1872">
        <v>0</v>
      </c>
      <c r="Y1872">
        <f t="shared" si="59"/>
        <v>0</v>
      </c>
    </row>
    <row r="1873" spans="1:25" x14ac:dyDescent="0.3">
      <c r="A1873" t="s">
        <v>3749</v>
      </c>
      <c r="B1873" t="s">
        <v>1356</v>
      </c>
      <c r="C1873">
        <v>558.86</v>
      </c>
      <c r="D1873" s="1">
        <v>45000.727511574078</v>
      </c>
      <c r="E1873" t="s">
        <v>25</v>
      </c>
      <c r="F1873" t="s">
        <v>131</v>
      </c>
      <c r="G1873" t="s">
        <v>1318</v>
      </c>
      <c r="H1873" t="s">
        <v>414</v>
      </c>
      <c r="I1873" t="s">
        <v>156</v>
      </c>
      <c r="J1873" t="s">
        <v>30</v>
      </c>
      <c r="K1873">
        <v>60</v>
      </c>
      <c r="L1873" t="s">
        <v>31</v>
      </c>
      <c r="M1873">
        <v>95</v>
      </c>
      <c r="N1873">
        <v>1</v>
      </c>
      <c r="O1873">
        <v>9844.32</v>
      </c>
      <c r="P1873" s="1">
        <v>45600.341192129628</v>
      </c>
      <c r="Q1873">
        <v>17</v>
      </c>
      <c r="R1873" t="s">
        <v>74</v>
      </c>
      <c r="S1873">
        <v>0.89491208760485097</v>
      </c>
      <c r="T1873" t="b">
        <v>0</v>
      </c>
      <c r="U1873" t="b">
        <v>0</v>
      </c>
      <c r="V1873" t="b">
        <f t="shared" si="58"/>
        <v>1</v>
      </c>
      <c r="W1873">
        <v>0</v>
      </c>
      <c r="Y1873">
        <f t="shared" si="59"/>
        <v>0</v>
      </c>
    </row>
    <row r="1874" spans="1:25" x14ac:dyDescent="0.3">
      <c r="A1874" t="s">
        <v>3750</v>
      </c>
      <c r="B1874" t="s">
        <v>642</v>
      </c>
      <c r="C1874">
        <v>429.15</v>
      </c>
      <c r="D1874" s="1">
        <v>44994.681354166663</v>
      </c>
      <c r="E1874" t="s">
        <v>25</v>
      </c>
      <c r="F1874" t="s">
        <v>159</v>
      </c>
      <c r="G1874" t="s">
        <v>2824</v>
      </c>
      <c r="H1874" t="s">
        <v>1140</v>
      </c>
      <c r="I1874" t="s">
        <v>67</v>
      </c>
      <c r="J1874" t="s">
        <v>81</v>
      </c>
      <c r="K1874">
        <v>26</v>
      </c>
      <c r="L1874" t="s">
        <v>46</v>
      </c>
      <c r="M1874">
        <v>218</v>
      </c>
      <c r="N1874">
        <v>1</v>
      </c>
      <c r="O1874">
        <v>712.13</v>
      </c>
      <c r="P1874" s="1">
        <v>45600.341319444444</v>
      </c>
      <c r="Q1874">
        <v>16</v>
      </c>
      <c r="R1874" t="s">
        <v>141</v>
      </c>
      <c r="S1874">
        <v>0.45061796517597702</v>
      </c>
      <c r="T1874" t="b">
        <v>0</v>
      </c>
      <c r="U1874" t="b">
        <v>0</v>
      </c>
      <c r="V1874" t="b">
        <f t="shared" si="58"/>
        <v>1</v>
      </c>
      <c r="W1874">
        <v>0</v>
      </c>
      <c r="Y1874">
        <f t="shared" si="59"/>
        <v>0</v>
      </c>
    </row>
    <row r="1875" spans="1:25" x14ac:dyDescent="0.3">
      <c r="A1875" t="s">
        <v>3751</v>
      </c>
      <c r="B1875" t="s">
        <v>999</v>
      </c>
      <c r="C1875">
        <v>36.74</v>
      </c>
      <c r="D1875" s="1">
        <v>44963.723344907405</v>
      </c>
      <c r="E1875" t="s">
        <v>25</v>
      </c>
      <c r="F1875" t="s">
        <v>268</v>
      </c>
      <c r="G1875" t="s">
        <v>3752</v>
      </c>
      <c r="H1875" t="s">
        <v>1670</v>
      </c>
      <c r="I1875" t="s">
        <v>222</v>
      </c>
      <c r="J1875" t="s">
        <v>81</v>
      </c>
      <c r="K1875">
        <v>33</v>
      </c>
      <c r="L1875" t="s">
        <v>31</v>
      </c>
      <c r="M1875">
        <v>133</v>
      </c>
      <c r="N1875">
        <v>1</v>
      </c>
      <c r="O1875">
        <v>6217.58</v>
      </c>
      <c r="P1875" s="1">
        <v>45600.338854166665</v>
      </c>
      <c r="Q1875">
        <v>17</v>
      </c>
      <c r="R1875" t="s">
        <v>47</v>
      </c>
      <c r="S1875">
        <v>-0.89349934715394697</v>
      </c>
      <c r="T1875" t="b">
        <v>0</v>
      </c>
      <c r="U1875" t="b">
        <v>0</v>
      </c>
      <c r="V1875" t="b">
        <f t="shared" si="58"/>
        <v>1</v>
      </c>
      <c r="W1875">
        <v>0</v>
      </c>
      <c r="Y1875">
        <f t="shared" si="59"/>
        <v>0</v>
      </c>
    </row>
    <row r="1876" spans="1:25" x14ac:dyDescent="0.3">
      <c r="A1876" t="s">
        <v>3753</v>
      </c>
      <c r="B1876" t="s">
        <v>830</v>
      </c>
      <c r="C1876">
        <v>79.14</v>
      </c>
      <c r="D1876" s="1">
        <v>45028.723275462966</v>
      </c>
      <c r="E1876" t="s">
        <v>57</v>
      </c>
      <c r="F1876" t="s">
        <v>608</v>
      </c>
      <c r="G1876" t="s">
        <v>646</v>
      </c>
      <c r="H1876" t="s">
        <v>2415</v>
      </c>
      <c r="I1876" t="s">
        <v>898</v>
      </c>
      <c r="J1876" t="s">
        <v>45</v>
      </c>
      <c r="K1876">
        <v>57</v>
      </c>
      <c r="L1876" t="s">
        <v>82</v>
      </c>
      <c r="M1876">
        <v>22</v>
      </c>
      <c r="N1876">
        <v>1</v>
      </c>
      <c r="O1876">
        <v>2229.56</v>
      </c>
      <c r="P1876" s="1">
        <v>45600.339490740742</v>
      </c>
      <c r="Q1876">
        <v>17</v>
      </c>
      <c r="R1876" t="s">
        <v>74</v>
      </c>
      <c r="S1876">
        <v>-0.74826713074053097</v>
      </c>
      <c r="T1876" t="b">
        <v>0</v>
      </c>
      <c r="U1876" t="b">
        <v>0</v>
      </c>
      <c r="V1876" t="b">
        <f t="shared" si="58"/>
        <v>1</v>
      </c>
      <c r="W1876">
        <v>0</v>
      </c>
      <c r="Y1876">
        <f t="shared" si="59"/>
        <v>0</v>
      </c>
    </row>
    <row r="1877" spans="1:25" x14ac:dyDescent="0.3">
      <c r="A1877" t="s">
        <v>3754</v>
      </c>
      <c r="B1877" t="s">
        <v>1887</v>
      </c>
      <c r="C1877">
        <v>132.47999999999999</v>
      </c>
      <c r="D1877" s="1">
        <v>45147.776956018519</v>
      </c>
      <c r="E1877" t="s">
        <v>25</v>
      </c>
      <c r="F1877" t="s">
        <v>262</v>
      </c>
      <c r="G1877" t="s">
        <v>439</v>
      </c>
      <c r="H1877" t="s">
        <v>560</v>
      </c>
      <c r="I1877" t="s">
        <v>632</v>
      </c>
      <c r="J1877" t="s">
        <v>81</v>
      </c>
      <c r="K1877">
        <v>36</v>
      </c>
      <c r="L1877" t="s">
        <v>89</v>
      </c>
      <c r="M1877">
        <v>101</v>
      </c>
      <c r="N1877">
        <v>1</v>
      </c>
      <c r="O1877">
        <v>9313.0499999999993</v>
      </c>
      <c r="P1877" s="1">
        <v>45600.338333333333</v>
      </c>
      <c r="Q1877">
        <v>18</v>
      </c>
      <c r="R1877" t="s">
        <v>74</v>
      </c>
      <c r="S1877">
        <v>-0.56556226226195405</v>
      </c>
      <c r="T1877" t="b">
        <v>0</v>
      </c>
      <c r="U1877" t="b">
        <v>0</v>
      </c>
      <c r="V1877" t="b">
        <f t="shared" si="58"/>
        <v>1</v>
      </c>
      <c r="W1877">
        <v>0</v>
      </c>
      <c r="Y1877">
        <f t="shared" si="59"/>
        <v>0</v>
      </c>
    </row>
    <row r="1878" spans="1:25" x14ac:dyDescent="0.3">
      <c r="A1878" t="s">
        <v>3755</v>
      </c>
      <c r="B1878" t="s">
        <v>2358</v>
      </c>
      <c r="C1878">
        <v>136.47999999999999</v>
      </c>
      <c r="D1878" s="1">
        <v>45152.698912037034</v>
      </c>
      <c r="E1878" t="s">
        <v>25</v>
      </c>
      <c r="F1878" t="s">
        <v>262</v>
      </c>
      <c r="G1878" t="s">
        <v>1822</v>
      </c>
      <c r="H1878" t="s">
        <v>1238</v>
      </c>
      <c r="I1878" t="s">
        <v>1294</v>
      </c>
      <c r="J1878" t="s">
        <v>45</v>
      </c>
      <c r="K1878">
        <v>52</v>
      </c>
      <c r="L1878" t="s">
        <v>89</v>
      </c>
      <c r="M1878">
        <v>138</v>
      </c>
      <c r="N1878">
        <v>4</v>
      </c>
      <c r="O1878">
        <v>4618.53</v>
      </c>
      <c r="P1878" s="1">
        <v>45600.34</v>
      </c>
      <c r="Q1878">
        <v>16</v>
      </c>
      <c r="R1878" t="s">
        <v>47</v>
      </c>
      <c r="S1878">
        <v>-0.55186110977012204</v>
      </c>
      <c r="T1878" t="b">
        <v>0</v>
      </c>
      <c r="U1878" t="b">
        <v>1</v>
      </c>
      <c r="V1878" t="b">
        <f t="shared" si="58"/>
        <v>1</v>
      </c>
      <c r="W1878">
        <v>1</v>
      </c>
      <c r="Y1878">
        <f t="shared" si="59"/>
        <v>0</v>
      </c>
    </row>
    <row r="1879" spans="1:25" x14ac:dyDescent="0.3">
      <c r="A1879" t="s">
        <v>3756</v>
      </c>
      <c r="B1879" t="s">
        <v>147</v>
      </c>
      <c r="C1879">
        <v>203.76</v>
      </c>
      <c r="D1879" s="1">
        <v>45201.689687500002</v>
      </c>
      <c r="E1879" t="s">
        <v>25</v>
      </c>
      <c r="F1879" t="s">
        <v>534</v>
      </c>
      <c r="G1879" t="s">
        <v>1954</v>
      </c>
      <c r="H1879" t="s">
        <v>2731</v>
      </c>
      <c r="I1879" t="s">
        <v>458</v>
      </c>
      <c r="J1879" t="s">
        <v>81</v>
      </c>
      <c r="K1879">
        <v>55</v>
      </c>
      <c r="L1879" t="s">
        <v>82</v>
      </c>
      <c r="M1879">
        <v>37</v>
      </c>
      <c r="N1879">
        <v>1</v>
      </c>
      <c r="O1879">
        <v>6747.16</v>
      </c>
      <c r="P1879" s="1">
        <v>45600.340104166666</v>
      </c>
      <c r="Q1879">
        <v>16</v>
      </c>
      <c r="R1879" t="s">
        <v>47</v>
      </c>
      <c r="S1879">
        <v>-0.32140772485751201</v>
      </c>
      <c r="T1879" t="b">
        <v>0</v>
      </c>
      <c r="U1879" t="b">
        <v>0</v>
      </c>
      <c r="V1879" t="b">
        <f t="shared" si="58"/>
        <v>1</v>
      </c>
      <c r="W1879">
        <v>0</v>
      </c>
      <c r="Y1879">
        <f t="shared" si="59"/>
        <v>0</v>
      </c>
    </row>
    <row r="1880" spans="1:25" x14ac:dyDescent="0.3">
      <c r="A1880" t="s">
        <v>3757</v>
      </c>
      <c r="B1880" t="s">
        <v>852</v>
      </c>
      <c r="C1880">
        <v>750.95</v>
      </c>
      <c r="D1880" s="1">
        <v>45177.761469907404</v>
      </c>
      <c r="E1880" t="s">
        <v>25</v>
      </c>
      <c r="F1880" t="s">
        <v>278</v>
      </c>
      <c r="G1880" t="s">
        <v>973</v>
      </c>
      <c r="H1880" t="s">
        <v>1714</v>
      </c>
      <c r="I1880" t="s">
        <v>753</v>
      </c>
      <c r="J1880" t="s">
        <v>81</v>
      </c>
      <c r="K1880">
        <v>78</v>
      </c>
      <c r="L1880" t="s">
        <v>82</v>
      </c>
      <c r="M1880">
        <v>27</v>
      </c>
      <c r="N1880">
        <v>1</v>
      </c>
      <c r="O1880">
        <v>5134.37</v>
      </c>
      <c r="P1880" s="1">
        <v>45600.34107638889</v>
      </c>
      <c r="Q1880">
        <v>18</v>
      </c>
      <c r="R1880" t="s">
        <v>54</v>
      </c>
      <c r="S1880">
        <v>1.5528756831438399</v>
      </c>
      <c r="T1880" t="b">
        <v>0</v>
      </c>
      <c r="U1880" t="b">
        <v>0</v>
      </c>
      <c r="V1880" t="b">
        <f t="shared" si="58"/>
        <v>1</v>
      </c>
      <c r="W1880">
        <v>0</v>
      </c>
      <c r="Y1880">
        <f t="shared" si="59"/>
        <v>0</v>
      </c>
    </row>
    <row r="1881" spans="1:25" x14ac:dyDescent="0.3">
      <c r="A1881" t="s">
        <v>3758</v>
      </c>
      <c r="B1881" t="s">
        <v>380</v>
      </c>
      <c r="C1881">
        <v>0.84</v>
      </c>
      <c r="D1881" s="1">
        <v>45292.698564814818</v>
      </c>
      <c r="E1881" t="s">
        <v>25</v>
      </c>
      <c r="F1881" t="s">
        <v>131</v>
      </c>
      <c r="G1881" t="s">
        <v>2450</v>
      </c>
      <c r="H1881" t="s">
        <v>2429</v>
      </c>
      <c r="I1881" t="s">
        <v>321</v>
      </c>
      <c r="J1881" t="s">
        <v>30</v>
      </c>
      <c r="K1881">
        <v>52</v>
      </c>
      <c r="L1881" t="s">
        <v>89</v>
      </c>
      <c r="M1881">
        <v>31</v>
      </c>
      <c r="N1881">
        <v>1</v>
      </c>
      <c r="O1881">
        <v>2207.54</v>
      </c>
      <c r="P1881" s="1">
        <v>45600.338356481479</v>
      </c>
      <c r="Q1881">
        <v>16</v>
      </c>
      <c r="R1881" t="s">
        <v>47</v>
      </c>
      <c r="S1881">
        <v>-1.01646719076813</v>
      </c>
      <c r="T1881" t="b">
        <v>0</v>
      </c>
      <c r="U1881" t="b">
        <v>0</v>
      </c>
      <c r="V1881" t="b">
        <f t="shared" si="58"/>
        <v>1</v>
      </c>
      <c r="W1881">
        <v>0</v>
      </c>
      <c r="Y1881">
        <f t="shared" si="59"/>
        <v>0</v>
      </c>
    </row>
    <row r="1882" spans="1:25" x14ac:dyDescent="0.3">
      <c r="A1882" t="s">
        <v>3759</v>
      </c>
      <c r="B1882" t="s">
        <v>1057</v>
      </c>
      <c r="C1882">
        <v>257.18</v>
      </c>
      <c r="D1882" s="1">
        <v>45117.708368055559</v>
      </c>
      <c r="E1882" t="s">
        <v>25</v>
      </c>
      <c r="F1882" t="s">
        <v>153</v>
      </c>
      <c r="G1882" t="s">
        <v>1784</v>
      </c>
      <c r="H1882" t="s">
        <v>2738</v>
      </c>
      <c r="I1882" t="s">
        <v>765</v>
      </c>
      <c r="J1882" t="s">
        <v>45</v>
      </c>
      <c r="K1882">
        <v>67</v>
      </c>
      <c r="L1882" t="s">
        <v>31</v>
      </c>
      <c r="M1882">
        <v>28</v>
      </c>
      <c r="N1882">
        <v>1</v>
      </c>
      <c r="O1882">
        <v>13336.15</v>
      </c>
      <c r="P1882" s="1">
        <v>45600.340451388889</v>
      </c>
      <c r="Q1882">
        <v>17</v>
      </c>
      <c r="R1882" t="s">
        <v>47</v>
      </c>
      <c r="S1882">
        <v>-0.138428833329099</v>
      </c>
      <c r="T1882" t="b">
        <v>0</v>
      </c>
      <c r="U1882" t="b">
        <v>0</v>
      </c>
      <c r="V1882" t="b">
        <f t="shared" si="58"/>
        <v>1</v>
      </c>
      <c r="W1882">
        <v>0</v>
      </c>
      <c r="Y1882">
        <f t="shared" si="59"/>
        <v>0</v>
      </c>
    </row>
    <row r="1883" spans="1:25" x14ac:dyDescent="0.3">
      <c r="A1883" t="s">
        <v>3760</v>
      </c>
      <c r="B1883" t="s">
        <v>1033</v>
      </c>
      <c r="C1883">
        <v>767.66</v>
      </c>
      <c r="D1883" s="1">
        <v>45054.739282407405</v>
      </c>
      <c r="E1883" t="s">
        <v>25</v>
      </c>
      <c r="F1883" t="s">
        <v>236</v>
      </c>
      <c r="G1883" t="s">
        <v>2441</v>
      </c>
      <c r="H1883" t="s">
        <v>3122</v>
      </c>
      <c r="I1883" t="s">
        <v>687</v>
      </c>
      <c r="J1883" t="s">
        <v>30</v>
      </c>
      <c r="K1883">
        <v>63</v>
      </c>
      <c r="L1883" t="s">
        <v>31</v>
      </c>
      <c r="M1883">
        <v>155</v>
      </c>
      <c r="N1883">
        <v>1</v>
      </c>
      <c r="O1883">
        <v>1801.69</v>
      </c>
      <c r="P1883" s="1">
        <v>45600.34171296296</v>
      </c>
      <c r="Q1883">
        <v>17</v>
      </c>
      <c r="R1883" t="s">
        <v>47</v>
      </c>
      <c r="S1883">
        <v>1.61011224767846</v>
      </c>
      <c r="T1883" t="b">
        <v>0</v>
      </c>
      <c r="U1883" t="b">
        <v>0</v>
      </c>
      <c r="V1883" t="b">
        <f t="shared" si="58"/>
        <v>1</v>
      </c>
      <c r="W1883">
        <v>0</v>
      </c>
      <c r="Y1883">
        <f t="shared" si="59"/>
        <v>0</v>
      </c>
    </row>
    <row r="1884" spans="1:25" x14ac:dyDescent="0.3">
      <c r="A1884" t="s">
        <v>3761</v>
      </c>
      <c r="B1884" t="s">
        <v>630</v>
      </c>
      <c r="C1884">
        <v>182.29</v>
      </c>
      <c r="D1884" s="1">
        <v>45056.705520833333</v>
      </c>
      <c r="E1884" t="s">
        <v>25</v>
      </c>
      <c r="F1884" t="s">
        <v>26</v>
      </c>
      <c r="G1884" t="s">
        <v>2824</v>
      </c>
      <c r="H1884" t="s">
        <v>1900</v>
      </c>
      <c r="I1884" t="s">
        <v>431</v>
      </c>
      <c r="J1884" t="s">
        <v>45</v>
      </c>
      <c r="K1884">
        <v>54</v>
      </c>
      <c r="L1884" t="s">
        <v>31</v>
      </c>
      <c r="M1884">
        <v>123</v>
      </c>
      <c r="N1884">
        <v>1</v>
      </c>
      <c r="O1884">
        <v>522.39</v>
      </c>
      <c r="P1884" s="1">
        <v>45600.339166666665</v>
      </c>
      <c r="Q1884">
        <v>16</v>
      </c>
      <c r="R1884" t="s">
        <v>74</v>
      </c>
      <c r="S1884">
        <v>-0.39494866085741898</v>
      </c>
      <c r="T1884" t="b">
        <v>0</v>
      </c>
      <c r="U1884" t="b">
        <v>0</v>
      </c>
      <c r="V1884" t="b">
        <f t="shared" si="58"/>
        <v>1</v>
      </c>
      <c r="W1884">
        <v>0</v>
      </c>
      <c r="Y1884">
        <f t="shared" si="59"/>
        <v>0</v>
      </c>
    </row>
    <row r="1885" spans="1:25" x14ac:dyDescent="0.3">
      <c r="A1885" t="s">
        <v>3762</v>
      </c>
      <c r="B1885" t="s">
        <v>2141</v>
      </c>
      <c r="C1885">
        <v>184.51</v>
      </c>
      <c r="D1885" s="1">
        <v>45173.690891203703</v>
      </c>
      <c r="E1885" t="s">
        <v>57</v>
      </c>
      <c r="F1885" t="s">
        <v>608</v>
      </c>
      <c r="G1885" t="s">
        <v>1399</v>
      </c>
      <c r="H1885" t="s">
        <v>1409</v>
      </c>
      <c r="I1885" t="s">
        <v>1050</v>
      </c>
      <c r="J1885" t="s">
        <v>45</v>
      </c>
      <c r="K1885">
        <v>54</v>
      </c>
      <c r="L1885" t="s">
        <v>31</v>
      </c>
      <c r="M1885">
        <v>118</v>
      </c>
      <c r="N1885">
        <v>1</v>
      </c>
      <c r="O1885">
        <v>9381.64</v>
      </c>
      <c r="P1885" s="1">
        <v>45600.339930555558</v>
      </c>
      <c r="Q1885">
        <v>16</v>
      </c>
      <c r="R1885" t="s">
        <v>47</v>
      </c>
      <c r="S1885">
        <v>-0.38734452122445201</v>
      </c>
      <c r="T1885" t="b">
        <v>0</v>
      </c>
      <c r="U1885" t="b">
        <v>0</v>
      </c>
      <c r="V1885" t="b">
        <f t="shared" si="58"/>
        <v>1</v>
      </c>
      <c r="W1885">
        <v>0</v>
      </c>
      <c r="Y1885">
        <f t="shared" si="59"/>
        <v>0</v>
      </c>
    </row>
    <row r="1886" spans="1:25" x14ac:dyDescent="0.3">
      <c r="A1886" t="s">
        <v>3763</v>
      </c>
      <c r="B1886" t="s">
        <v>2037</v>
      </c>
      <c r="C1886">
        <v>451.31</v>
      </c>
      <c r="D1886" s="1">
        <v>45264.706701388888</v>
      </c>
      <c r="E1886" t="s">
        <v>25</v>
      </c>
      <c r="F1886" t="s">
        <v>170</v>
      </c>
      <c r="G1886" t="s">
        <v>1421</v>
      </c>
      <c r="H1886" t="s">
        <v>1863</v>
      </c>
      <c r="I1886" t="s">
        <v>259</v>
      </c>
      <c r="J1886" t="s">
        <v>30</v>
      </c>
      <c r="K1886">
        <v>62</v>
      </c>
      <c r="L1886" t="s">
        <v>82</v>
      </c>
      <c r="M1886">
        <v>166</v>
      </c>
      <c r="N1886">
        <v>5</v>
      </c>
      <c r="O1886">
        <v>2963.29</v>
      </c>
      <c r="P1886" s="1">
        <v>45600.338634259257</v>
      </c>
      <c r="Q1886">
        <v>16</v>
      </c>
      <c r="R1886" t="s">
        <v>47</v>
      </c>
      <c r="S1886">
        <v>0.526522349980725</v>
      </c>
      <c r="T1886" t="b">
        <v>0</v>
      </c>
      <c r="U1886" t="b">
        <v>1</v>
      </c>
      <c r="V1886" t="b">
        <f t="shared" si="58"/>
        <v>1</v>
      </c>
      <c r="W1886">
        <v>1</v>
      </c>
      <c r="Y1886">
        <f t="shared" si="59"/>
        <v>0</v>
      </c>
    </row>
    <row r="1887" spans="1:25" x14ac:dyDescent="0.3">
      <c r="A1887" t="s">
        <v>3764</v>
      </c>
      <c r="B1887" t="s">
        <v>794</v>
      </c>
      <c r="C1887">
        <v>144.1</v>
      </c>
      <c r="D1887" s="1">
        <v>45114.725486111114</v>
      </c>
      <c r="E1887" t="s">
        <v>25</v>
      </c>
      <c r="F1887" t="s">
        <v>278</v>
      </c>
      <c r="G1887" t="s">
        <v>952</v>
      </c>
      <c r="H1887" t="s">
        <v>243</v>
      </c>
      <c r="I1887" t="s">
        <v>162</v>
      </c>
      <c r="J1887" t="s">
        <v>81</v>
      </c>
      <c r="K1887">
        <v>57</v>
      </c>
      <c r="L1887" t="s">
        <v>31</v>
      </c>
      <c r="M1887">
        <v>30</v>
      </c>
      <c r="N1887">
        <v>1</v>
      </c>
      <c r="O1887">
        <v>11523.64</v>
      </c>
      <c r="P1887" s="1">
        <v>45600.340312499997</v>
      </c>
      <c r="Q1887">
        <v>17</v>
      </c>
      <c r="R1887" t="s">
        <v>54</v>
      </c>
      <c r="S1887">
        <v>-0.52576041427318299</v>
      </c>
      <c r="T1887" t="b">
        <v>0</v>
      </c>
      <c r="U1887" t="b">
        <v>0</v>
      </c>
      <c r="V1887" t="b">
        <f t="shared" si="58"/>
        <v>1</v>
      </c>
      <c r="W1887">
        <v>0</v>
      </c>
      <c r="Y1887">
        <f t="shared" si="59"/>
        <v>0</v>
      </c>
    </row>
    <row r="1888" spans="1:25" x14ac:dyDescent="0.3">
      <c r="A1888" t="s">
        <v>3765</v>
      </c>
      <c r="B1888" t="s">
        <v>1070</v>
      </c>
      <c r="C1888">
        <v>72.5</v>
      </c>
      <c r="D1888" s="1">
        <v>45026.741875</v>
      </c>
      <c r="E1888" t="s">
        <v>25</v>
      </c>
      <c r="F1888" t="s">
        <v>170</v>
      </c>
      <c r="G1888" t="s">
        <v>1937</v>
      </c>
      <c r="H1888" t="s">
        <v>1259</v>
      </c>
      <c r="I1888" t="s">
        <v>213</v>
      </c>
      <c r="J1888" t="s">
        <v>30</v>
      </c>
      <c r="K1888">
        <v>40</v>
      </c>
      <c r="L1888" t="s">
        <v>31</v>
      </c>
      <c r="M1888">
        <v>30</v>
      </c>
      <c r="N1888">
        <v>1</v>
      </c>
      <c r="O1888">
        <v>12723.62</v>
      </c>
      <c r="P1888" s="1">
        <v>45600.341527777775</v>
      </c>
      <c r="Q1888">
        <v>17</v>
      </c>
      <c r="R1888" t="s">
        <v>47</v>
      </c>
      <c r="S1888">
        <v>-0.77101104387697095</v>
      </c>
      <c r="T1888" t="b">
        <v>0</v>
      </c>
      <c r="U1888" t="b">
        <v>0</v>
      </c>
      <c r="V1888" t="b">
        <f t="shared" si="58"/>
        <v>1</v>
      </c>
      <c r="W1888">
        <v>0</v>
      </c>
      <c r="Y1888">
        <f t="shared" si="59"/>
        <v>0</v>
      </c>
    </row>
    <row r="1889" spans="1:25" x14ac:dyDescent="0.3">
      <c r="A1889" t="s">
        <v>3766</v>
      </c>
      <c r="B1889" t="s">
        <v>3767</v>
      </c>
      <c r="C1889">
        <v>74.11</v>
      </c>
      <c r="D1889" s="1">
        <v>45177.673437500001</v>
      </c>
      <c r="E1889" t="s">
        <v>57</v>
      </c>
      <c r="F1889" t="s">
        <v>314</v>
      </c>
      <c r="G1889" t="s">
        <v>1173</v>
      </c>
      <c r="H1889" t="s">
        <v>841</v>
      </c>
      <c r="I1889" t="s">
        <v>162</v>
      </c>
      <c r="J1889" t="s">
        <v>45</v>
      </c>
      <c r="K1889">
        <v>69</v>
      </c>
      <c r="L1889" t="s">
        <v>82</v>
      </c>
      <c r="M1889">
        <v>71</v>
      </c>
      <c r="N1889">
        <v>4</v>
      </c>
      <c r="O1889">
        <v>3920.11</v>
      </c>
      <c r="P1889" s="1">
        <v>45600.339212962965</v>
      </c>
      <c r="Q1889">
        <v>16</v>
      </c>
      <c r="R1889" t="s">
        <v>54</v>
      </c>
      <c r="S1889">
        <v>-0.76549632999900896</v>
      </c>
      <c r="T1889" t="b">
        <v>0</v>
      </c>
      <c r="U1889" t="b">
        <v>1</v>
      </c>
      <c r="V1889" t="b">
        <f t="shared" si="58"/>
        <v>1</v>
      </c>
      <c r="W1889">
        <v>1</v>
      </c>
      <c r="Y1889">
        <f t="shared" si="59"/>
        <v>0</v>
      </c>
    </row>
    <row r="1890" spans="1:25" x14ac:dyDescent="0.3">
      <c r="A1890" t="s">
        <v>3768</v>
      </c>
      <c r="B1890" t="s">
        <v>893</v>
      </c>
      <c r="C1890">
        <v>22.15</v>
      </c>
      <c r="D1890" s="1">
        <v>45049.684814814813</v>
      </c>
      <c r="E1890" t="s">
        <v>25</v>
      </c>
      <c r="F1890" t="s">
        <v>126</v>
      </c>
      <c r="G1890" t="s">
        <v>1717</v>
      </c>
      <c r="H1890" t="s">
        <v>1753</v>
      </c>
      <c r="I1890" t="s">
        <v>162</v>
      </c>
      <c r="J1890" t="s">
        <v>81</v>
      </c>
      <c r="K1890">
        <v>44</v>
      </c>
      <c r="L1890" t="s">
        <v>31</v>
      </c>
      <c r="M1890">
        <v>73</v>
      </c>
      <c r="N1890">
        <v>1</v>
      </c>
      <c r="O1890">
        <v>7451.83</v>
      </c>
      <c r="P1890" s="1">
        <v>45600.341006944444</v>
      </c>
      <c r="Q1890">
        <v>16</v>
      </c>
      <c r="R1890" t="s">
        <v>74</v>
      </c>
      <c r="S1890">
        <v>-0.94347430086790396</v>
      </c>
      <c r="T1890" t="b">
        <v>0</v>
      </c>
      <c r="U1890" t="b">
        <v>0</v>
      </c>
      <c r="V1890" t="b">
        <f t="shared" si="58"/>
        <v>1</v>
      </c>
      <c r="W1890">
        <v>0</v>
      </c>
      <c r="Y1890">
        <f t="shared" si="59"/>
        <v>0</v>
      </c>
    </row>
    <row r="1891" spans="1:25" x14ac:dyDescent="0.3">
      <c r="A1891" t="s">
        <v>3769</v>
      </c>
      <c r="B1891" t="s">
        <v>1633</v>
      </c>
      <c r="C1891">
        <v>777.92</v>
      </c>
      <c r="D1891" s="1">
        <v>45089.789560185185</v>
      </c>
      <c r="E1891" t="s">
        <v>25</v>
      </c>
      <c r="F1891" t="s">
        <v>131</v>
      </c>
      <c r="G1891" t="s">
        <v>3770</v>
      </c>
      <c r="H1891" t="s">
        <v>862</v>
      </c>
      <c r="I1891" t="s">
        <v>427</v>
      </c>
      <c r="J1891" t="s">
        <v>81</v>
      </c>
      <c r="K1891">
        <v>62</v>
      </c>
      <c r="L1891" t="s">
        <v>31</v>
      </c>
      <c r="M1891">
        <v>97</v>
      </c>
      <c r="N1891">
        <v>1</v>
      </c>
      <c r="O1891">
        <v>7061.58</v>
      </c>
      <c r="P1891" s="1">
        <v>45600.339953703704</v>
      </c>
      <c r="Q1891">
        <v>18</v>
      </c>
      <c r="R1891" t="s">
        <v>47</v>
      </c>
      <c r="S1891">
        <v>1.64525570382001</v>
      </c>
      <c r="T1891" t="b">
        <v>0</v>
      </c>
      <c r="U1891" t="b">
        <v>0</v>
      </c>
      <c r="V1891" t="b">
        <f t="shared" si="58"/>
        <v>1</v>
      </c>
      <c r="W1891">
        <v>0</v>
      </c>
      <c r="Y1891">
        <f t="shared" si="59"/>
        <v>0</v>
      </c>
    </row>
    <row r="1892" spans="1:25" x14ac:dyDescent="0.3">
      <c r="A1892" t="s">
        <v>3771</v>
      </c>
      <c r="B1892" t="s">
        <v>1043</v>
      </c>
      <c r="C1892">
        <v>790.07</v>
      </c>
      <c r="D1892" s="1">
        <v>45072.730891203704</v>
      </c>
      <c r="E1892" t="s">
        <v>25</v>
      </c>
      <c r="F1892" t="s">
        <v>185</v>
      </c>
      <c r="G1892" t="s">
        <v>1628</v>
      </c>
      <c r="H1892" t="s">
        <v>1077</v>
      </c>
      <c r="I1892" t="s">
        <v>1300</v>
      </c>
      <c r="J1892" t="s">
        <v>45</v>
      </c>
      <c r="K1892">
        <v>28</v>
      </c>
      <c r="L1892" t="s">
        <v>46</v>
      </c>
      <c r="M1892">
        <v>197</v>
      </c>
      <c r="N1892">
        <v>1</v>
      </c>
      <c r="O1892">
        <v>985.77</v>
      </c>
      <c r="P1892" s="1">
        <v>45600.340810185182</v>
      </c>
      <c r="Q1892">
        <v>17</v>
      </c>
      <c r="R1892" t="s">
        <v>54</v>
      </c>
      <c r="S1892">
        <v>1.68687295451395</v>
      </c>
      <c r="T1892" t="b">
        <v>0</v>
      </c>
      <c r="U1892" t="b">
        <v>0</v>
      </c>
      <c r="V1892" t="b">
        <f t="shared" si="58"/>
        <v>1</v>
      </c>
      <c r="W1892">
        <v>0</v>
      </c>
      <c r="Y1892">
        <f t="shared" si="59"/>
        <v>0</v>
      </c>
    </row>
    <row r="1893" spans="1:25" x14ac:dyDescent="0.3">
      <c r="A1893" t="s">
        <v>3772</v>
      </c>
      <c r="B1893" t="s">
        <v>1136</v>
      </c>
      <c r="C1893">
        <v>406.33</v>
      </c>
      <c r="D1893" s="1">
        <v>45201.695729166669</v>
      </c>
      <c r="E1893" t="s">
        <v>57</v>
      </c>
      <c r="F1893" t="s">
        <v>185</v>
      </c>
      <c r="G1893" t="s">
        <v>354</v>
      </c>
      <c r="H1893" t="s">
        <v>1208</v>
      </c>
      <c r="I1893" t="s">
        <v>399</v>
      </c>
      <c r="J1893" t="s">
        <v>81</v>
      </c>
      <c r="K1893">
        <v>59</v>
      </c>
      <c r="L1893" t="s">
        <v>89</v>
      </c>
      <c r="M1893">
        <v>103</v>
      </c>
      <c r="N1893">
        <v>1</v>
      </c>
      <c r="O1893">
        <v>4298.34</v>
      </c>
      <c r="P1893" s="1">
        <v>45600.33866898148</v>
      </c>
      <c r="Q1893">
        <v>16</v>
      </c>
      <c r="R1893" t="s">
        <v>47</v>
      </c>
      <c r="S1893">
        <v>0.37245289021007699</v>
      </c>
      <c r="T1893" t="b">
        <v>0</v>
      </c>
      <c r="U1893" t="b">
        <v>0</v>
      </c>
      <c r="V1893" t="b">
        <f t="shared" si="58"/>
        <v>1</v>
      </c>
      <c r="W1893">
        <v>0</v>
      </c>
      <c r="Y1893">
        <f t="shared" si="59"/>
        <v>0</v>
      </c>
    </row>
    <row r="1894" spans="1:25" x14ac:dyDescent="0.3">
      <c r="A1894" t="s">
        <v>3773</v>
      </c>
      <c r="B1894" t="s">
        <v>1352</v>
      </c>
      <c r="C1894">
        <v>767.41</v>
      </c>
      <c r="D1894" s="1">
        <v>45176.686331018522</v>
      </c>
      <c r="E1894" t="s">
        <v>25</v>
      </c>
      <c r="F1894" t="s">
        <v>170</v>
      </c>
      <c r="G1894" t="s">
        <v>1980</v>
      </c>
      <c r="H1894" t="s">
        <v>106</v>
      </c>
      <c r="I1894" t="s">
        <v>1050</v>
      </c>
      <c r="J1894" t="s">
        <v>30</v>
      </c>
      <c r="K1894">
        <v>56</v>
      </c>
      <c r="L1894" t="s">
        <v>31</v>
      </c>
      <c r="M1894">
        <v>27</v>
      </c>
      <c r="N1894">
        <v>1</v>
      </c>
      <c r="O1894">
        <v>12799.34</v>
      </c>
      <c r="P1894" s="1">
        <v>45600.339525462965</v>
      </c>
      <c r="Q1894">
        <v>16</v>
      </c>
      <c r="R1894" t="s">
        <v>141</v>
      </c>
      <c r="S1894">
        <v>1.6092559256477199</v>
      </c>
      <c r="T1894" t="b">
        <v>0</v>
      </c>
      <c r="U1894" t="b">
        <v>0</v>
      </c>
      <c r="V1894" t="b">
        <f t="shared" si="58"/>
        <v>1</v>
      </c>
      <c r="W1894">
        <v>0</v>
      </c>
      <c r="Y1894">
        <f t="shared" si="59"/>
        <v>0</v>
      </c>
    </row>
    <row r="1895" spans="1:25" x14ac:dyDescent="0.3">
      <c r="A1895" t="s">
        <v>3774</v>
      </c>
      <c r="B1895" t="s">
        <v>1867</v>
      </c>
      <c r="C1895">
        <v>4.58</v>
      </c>
      <c r="D1895" s="1">
        <v>45218.676041666666</v>
      </c>
      <c r="E1895" t="s">
        <v>57</v>
      </c>
      <c r="F1895" t="s">
        <v>58</v>
      </c>
      <c r="G1895" t="s">
        <v>171</v>
      </c>
      <c r="H1895" t="s">
        <v>1176</v>
      </c>
      <c r="I1895" t="s">
        <v>527</v>
      </c>
      <c r="J1895" t="s">
        <v>45</v>
      </c>
      <c r="K1895">
        <v>21</v>
      </c>
      <c r="L1895" t="s">
        <v>46</v>
      </c>
      <c r="M1895">
        <v>135</v>
      </c>
      <c r="N1895">
        <v>1</v>
      </c>
      <c r="O1895">
        <v>811.24</v>
      </c>
      <c r="P1895" s="1">
        <v>45600.337800925925</v>
      </c>
      <c r="Q1895">
        <v>16</v>
      </c>
      <c r="R1895" t="s">
        <v>141</v>
      </c>
      <c r="S1895">
        <v>-1.00365661318827</v>
      </c>
      <c r="T1895" t="b">
        <v>0</v>
      </c>
      <c r="U1895" t="b">
        <v>0</v>
      </c>
      <c r="V1895" t="b">
        <f t="shared" si="58"/>
        <v>1</v>
      </c>
      <c r="W1895">
        <v>0</v>
      </c>
      <c r="Y1895">
        <f t="shared" si="59"/>
        <v>0</v>
      </c>
    </row>
    <row r="1896" spans="1:25" x14ac:dyDescent="0.3">
      <c r="A1896" t="s">
        <v>3775</v>
      </c>
      <c r="B1896" t="s">
        <v>341</v>
      </c>
      <c r="C1896">
        <v>447.83</v>
      </c>
      <c r="D1896" s="1">
        <v>45153.682013888887</v>
      </c>
      <c r="E1896" t="s">
        <v>57</v>
      </c>
      <c r="F1896" t="s">
        <v>58</v>
      </c>
      <c r="G1896" t="s">
        <v>2235</v>
      </c>
      <c r="H1896" t="s">
        <v>1788</v>
      </c>
      <c r="I1896" t="s">
        <v>107</v>
      </c>
      <c r="J1896" t="s">
        <v>81</v>
      </c>
      <c r="K1896">
        <v>53</v>
      </c>
      <c r="L1896" t="s">
        <v>31</v>
      </c>
      <c r="M1896">
        <v>88</v>
      </c>
      <c r="N1896">
        <v>1</v>
      </c>
      <c r="O1896">
        <v>13273.08</v>
      </c>
      <c r="P1896" s="1">
        <v>45600.338530092595</v>
      </c>
      <c r="Q1896">
        <v>16</v>
      </c>
      <c r="R1896" t="s">
        <v>32</v>
      </c>
      <c r="S1896">
        <v>0.51460234731283105</v>
      </c>
      <c r="T1896" t="b">
        <v>0</v>
      </c>
      <c r="U1896" t="b">
        <v>0</v>
      </c>
      <c r="V1896" t="b">
        <f t="shared" si="58"/>
        <v>1</v>
      </c>
      <c r="W1896">
        <v>0</v>
      </c>
      <c r="Y1896">
        <f t="shared" si="59"/>
        <v>0</v>
      </c>
    </row>
    <row r="1897" spans="1:25" x14ac:dyDescent="0.3">
      <c r="A1897" t="s">
        <v>3776</v>
      </c>
      <c r="B1897" t="s">
        <v>881</v>
      </c>
      <c r="C1897">
        <v>49.67</v>
      </c>
      <c r="D1897" s="1">
        <v>44977.783935185187</v>
      </c>
      <c r="E1897" t="s">
        <v>25</v>
      </c>
      <c r="F1897" t="s">
        <v>58</v>
      </c>
      <c r="G1897" t="s">
        <v>1872</v>
      </c>
      <c r="H1897" t="s">
        <v>2402</v>
      </c>
      <c r="I1897" t="s">
        <v>107</v>
      </c>
      <c r="J1897" t="s">
        <v>45</v>
      </c>
      <c r="K1897">
        <v>21</v>
      </c>
      <c r="L1897" t="s">
        <v>46</v>
      </c>
      <c r="M1897">
        <v>146</v>
      </c>
      <c r="N1897">
        <v>1</v>
      </c>
      <c r="O1897">
        <v>842.94</v>
      </c>
      <c r="P1897" s="1">
        <v>45600.339155092595</v>
      </c>
      <c r="Q1897">
        <v>18</v>
      </c>
      <c r="R1897" t="s">
        <v>47</v>
      </c>
      <c r="S1897">
        <v>-0.84921037172410097</v>
      </c>
      <c r="T1897" t="b">
        <v>0</v>
      </c>
      <c r="U1897" t="b">
        <v>0</v>
      </c>
      <c r="V1897" t="b">
        <f t="shared" si="58"/>
        <v>1</v>
      </c>
      <c r="W1897">
        <v>0</v>
      </c>
      <c r="Y1897">
        <f t="shared" si="59"/>
        <v>0</v>
      </c>
    </row>
    <row r="1898" spans="1:25" x14ac:dyDescent="0.3">
      <c r="A1898" t="s">
        <v>3777</v>
      </c>
      <c r="B1898" t="s">
        <v>3778</v>
      </c>
      <c r="C1898">
        <v>77.83</v>
      </c>
      <c r="D1898" s="1">
        <v>45287.694456018522</v>
      </c>
      <c r="E1898" t="s">
        <v>57</v>
      </c>
      <c r="F1898" t="s">
        <v>304</v>
      </c>
      <c r="G1898" t="s">
        <v>2458</v>
      </c>
      <c r="H1898" t="s">
        <v>1642</v>
      </c>
      <c r="I1898" t="s">
        <v>665</v>
      </c>
      <c r="J1898" t="s">
        <v>81</v>
      </c>
      <c r="K1898">
        <v>49</v>
      </c>
      <c r="L1898" t="s">
        <v>89</v>
      </c>
      <c r="M1898">
        <v>146</v>
      </c>
      <c r="N1898">
        <v>1</v>
      </c>
      <c r="O1898">
        <v>2471.5300000000002</v>
      </c>
      <c r="P1898" s="1">
        <v>45600.340636574074</v>
      </c>
      <c r="Q1898">
        <v>16</v>
      </c>
      <c r="R1898" t="s">
        <v>74</v>
      </c>
      <c r="S1898">
        <v>-0.75275425818160502</v>
      </c>
      <c r="T1898" t="b">
        <v>0</v>
      </c>
      <c r="U1898" t="b">
        <v>0</v>
      </c>
      <c r="V1898" t="b">
        <f t="shared" si="58"/>
        <v>1</v>
      </c>
      <c r="W1898">
        <v>0</v>
      </c>
      <c r="Y1898">
        <f t="shared" si="59"/>
        <v>0</v>
      </c>
    </row>
    <row r="1899" spans="1:25" x14ac:dyDescent="0.3">
      <c r="A1899" t="s">
        <v>3779</v>
      </c>
      <c r="B1899" t="s">
        <v>119</v>
      </c>
      <c r="C1899">
        <v>702.87</v>
      </c>
      <c r="D1899" s="1">
        <v>45084.712743055556</v>
      </c>
      <c r="E1899" t="s">
        <v>25</v>
      </c>
      <c r="F1899" t="s">
        <v>466</v>
      </c>
      <c r="G1899" t="s">
        <v>1847</v>
      </c>
      <c r="H1899" t="s">
        <v>3780</v>
      </c>
      <c r="I1899" t="s">
        <v>463</v>
      </c>
      <c r="J1899" t="s">
        <v>30</v>
      </c>
      <c r="K1899">
        <v>19</v>
      </c>
      <c r="L1899" t="s">
        <v>46</v>
      </c>
      <c r="M1899">
        <v>184</v>
      </c>
      <c r="N1899">
        <v>1</v>
      </c>
      <c r="O1899">
        <v>1237.5</v>
      </c>
      <c r="P1899" s="1">
        <v>45600.341134259259</v>
      </c>
      <c r="Q1899">
        <v>17</v>
      </c>
      <c r="R1899" t="s">
        <v>74</v>
      </c>
      <c r="S1899">
        <v>1.3881878301920201</v>
      </c>
      <c r="T1899" t="b">
        <v>0</v>
      </c>
      <c r="U1899" t="b">
        <v>0</v>
      </c>
      <c r="V1899" t="b">
        <f t="shared" si="58"/>
        <v>1</v>
      </c>
      <c r="W1899">
        <v>0</v>
      </c>
      <c r="Y1899">
        <f t="shared" si="59"/>
        <v>0</v>
      </c>
    </row>
    <row r="1900" spans="1:25" x14ac:dyDescent="0.3">
      <c r="A1900" t="s">
        <v>3781</v>
      </c>
      <c r="B1900" t="s">
        <v>1887</v>
      </c>
      <c r="C1900">
        <v>133.56</v>
      </c>
      <c r="D1900" s="1">
        <v>44950.779930555553</v>
      </c>
      <c r="E1900" t="s">
        <v>25</v>
      </c>
      <c r="F1900" t="s">
        <v>58</v>
      </c>
      <c r="G1900" t="s">
        <v>1000</v>
      </c>
      <c r="H1900" t="s">
        <v>1507</v>
      </c>
      <c r="I1900" t="s">
        <v>371</v>
      </c>
      <c r="J1900" t="s">
        <v>45</v>
      </c>
      <c r="K1900">
        <v>25</v>
      </c>
      <c r="L1900" t="s">
        <v>46</v>
      </c>
      <c r="M1900">
        <v>177</v>
      </c>
      <c r="N1900">
        <v>1</v>
      </c>
      <c r="O1900">
        <v>783.83</v>
      </c>
      <c r="P1900" s="1">
        <v>45600.338171296295</v>
      </c>
      <c r="Q1900">
        <v>18</v>
      </c>
      <c r="R1900" t="s">
        <v>32</v>
      </c>
      <c r="S1900">
        <v>-0.56186295108915896</v>
      </c>
      <c r="T1900" t="b">
        <v>0</v>
      </c>
      <c r="U1900" t="b">
        <v>0</v>
      </c>
      <c r="V1900" t="b">
        <f t="shared" si="58"/>
        <v>1</v>
      </c>
      <c r="W1900">
        <v>0</v>
      </c>
      <c r="Y1900">
        <f t="shared" si="59"/>
        <v>0</v>
      </c>
    </row>
    <row r="1901" spans="1:25" x14ac:dyDescent="0.3">
      <c r="A1901" t="s">
        <v>3782</v>
      </c>
      <c r="B1901" t="s">
        <v>2379</v>
      </c>
      <c r="C1901">
        <v>868.05</v>
      </c>
      <c r="D1901" s="1">
        <v>44938.691388888888</v>
      </c>
      <c r="E1901" t="s">
        <v>57</v>
      </c>
      <c r="F1901" t="s">
        <v>26</v>
      </c>
      <c r="G1901" t="s">
        <v>2929</v>
      </c>
      <c r="H1901" t="s">
        <v>2120</v>
      </c>
      <c r="I1901" t="s">
        <v>1222</v>
      </c>
      <c r="J1901" t="s">
        <v>45</v>
      </c>
      <c r="K1901">
        <v>49</v>
      </c>
      <c r="L1901" t="s">
        <v>89</v>
      </c>
      <c r="M1901">
        <v>119</v>
      </c>
      <c r="N1901">
        <v>1</v>
      </c>
      <c r="O1901">
        <v>3931.03</v>
      </c>
      <c r="P1901" s="1">
        <v>45600.340243055558</v>
      </c>
      <c r="Q1901">
        <v>16</v>
      </c>
      <c r="R1901" t="s">
        <v>141</v>
      </c>
      <c r="S1901">
        <v>1.9539769223422101</v>
      </c>
      <c r="T1901" t="b">
        <v>0</v>
      </c>
      <c r="U1901" t="b">
        <v>0</v>
      </c>
      <c r="V1901" t="b">
        <f t="shared" si="58"/>
        <v>1</v>
      </c>
      <c r="W1901">
        <v>0</v>
      </c>
      <c r="Y1901">
        <f t="shared" si="59"/>
        <v>0</v>
      </c>
    </row>
    <row r="1902" spans="1:25" x14ac:dyDescent="0.3">
      <c r="A1902" t="s">
        <v>3783</v>
      </c>
      <c r="B1902" t="s">
        <v>1082</v>
      </c>
      <c r="C1902">
        <v>52.87</v>
      </c>
      <c r="D1902" s="1">
        <v>45016.725949074076</v>
      </c>
      <c r="E1902" t="s">
        <v>25</v>
      </c>
      <c r="F1902" t="s">
        <v>77</v>
      </c>
      <c r="G1902" t="s">
        <v>1841</v>
      </c>
      <c r="H1902" t="s">
        <v>3045</v>
      </c>
      <c r="I1902" t="s">
        <v>301</v>
      </c>
      <c r="J1902" t="s">
        <v>81</v>
      </c>
      <c r="K1902">
        <v>24</v>
      </c>
      <c r="L1902" t="s">
        <v>46</v>
      </c>
      <c r="M1902">
        <v>70</v>
      </c>
      <c r="N1902">
        <v>1</v>
      </c>
      <c r="O1902">
        <v>960.96</v>
      </c>
      <c r="P1902" s="1">
        <v>45600.341539351852</v>
      </c>
      <c r="Q1902">
        <v>17</v>
      </c>
      <c r="R1902" t="s">
        <v>54</v>
      </c>
      <c r="S1902">
        <v>-0.83824944973063598</v>
      </c>
      <c r="T1902" t="b">
        <v>0</v>
      </c>
      <c r="U1902" t="b">
        <v>0</v>
      </c>
      <c r="V1902" t="b">
        <f t="shared" si="58"/>
        <v>1</v>
      </c>
      <c r="W1902">
        <v>0</v>
      </c>
      <c r="Y1902">
        <f t="shared" si="59"/>
        <v>0</v>
      </c>
    </row>
    <row r="1903" spans="1:25" x14ac:dyDescent="0.3">
      <c r="A1903" t="s">
        <v>3784</v>
      </c>
      <c r="B1903" t="s">
        <v>638</v>
      </c>
      <c r="C1903">
        <v>179</v>
      </c>
      <c r="D1903" s="1">
        <v>45175.667766203704</v>
      </c>
      <c r="E1903" t="s">
        <v>25</v>
      </c>
      <c r="F1903" t="s">
        <v>35</v>
      </c>
      <c r="G1903" t="s">
        <v>1088</v>
      </c>
      <c r="H1903" t="s">
        <v>3785</v>
      </c>
      <c r="I1903" t="s">
        <v>213</v>
      </c>
      <c r="J1903" t="s">
        <v>30</v>
      </c>
      <c r="K1903">
        <v>78</v>
      </c>
      <c r="L1903" t="s">
        <v>82</v>
      </c>
      <c r="M1903">
        <v>121</v>
      </c>
      <c r="N1903">
        <v>1</v>
      </c>
      <c r="O1903">
        <v>7310.88</v>
      </c>
      <c r="P1903" s="1">
        <v>45600.340486111112</v>
      </c>
      <c r="Q1903">
        <v>16</v>
      </c>
      <c r="R1903" t="s">
        <v>74</v>
      </c>
      <c r="S1903">
        <v>-0.40621785878195099</v>
      </c>
      <c r="T1903" t="b">
        <v>0</v>
      </c>
      <c r="U1903" t="b">
        <v>0</v>
      </c>
      <c r="V1903" t="b">
        <f t="shared" si="58"/>
        <v>1</v>
      </c>
      <c r="W1903">
        <v>0</v>
      </c>
      <c r="Y1903">
        <f t="shared" si="59"/>
        <v>0</v>
      </c>
    </row>
    <row r="1904" spans="1:25" x14ac:dyDescent="0.3">
      <c r="A1904" t="s">
        <v>3786</v>
      </c>
      <c r="B1904" t="s">
        <v>570</v>
      </c>
      <c r="C1904">
        <v>1168.26</v>
      </c>
      <c r="D1904" s="1">
        <v>45089.684270833335</v>
      </c>
      <c r="E1904" t="s">
        <v>57</v>
      </c>
      <c r="F1904" t="s">
        <v>256</v>
      </c>
      <c r="G1904" t="s">
        <v>1646</v>
      </c>
      <c r="H1904" t="s">
        <v>731</v>
      </c>
      <c r="I1904" t="s">
        <v>275</v>
      </c>
      <c r="J1904" t="s">
        <v>45</v>
      </c>
      <c r="K1904">
        <v>73</v>
      </c>
      <c r="L1904" t="s">
        <v>82</v>
      </c>
      <c r="M1904">
        <v>37</v>
      </c>
      <c r="N1904">
        <v>1</v>
      </c>
      <c r="O1904">
        <v>1385.74</v>
      </c>
      <c r="P1904" s="1">
        <v>45600.340196759258</v>
      </c>
      <c r="Q1904">
        <v>16</v>
      </c>
      <c r="R1904" t="s">
        <v>47</v>
      </c>
      <c r="S1904">
        <v>2.9822826697354099</v>
      </c>
      <c r="T1904" t="b">
        <v>1</v>
      </c>
      <c r="U1904" t="b">
        <v>0</v>
      </c>
      <c r="V1904" t="b">
        <f t="shared" si="58"/>
        <v>1</v>
      </c>
      <c r="W1904">
        <v>1</v>
      </c>
      <c r="Y1904">
        <f t="shared" si="59"/>
        <v>1</v>
      </c>
    </row>
    <row r="1905" spans="1:25" x14ac:dyDescent="0.3">
      <c r="A1905" t="s">
        <v>3787</v>
      </c>
      <c r="B1905" t="s">
        <v>3715</v>
      </c>
      <c r="C1905">
        <v>384.11</v>
      </c>
      <c r="D1905" s="1">
        <v>45061.691469907404</v>
      </c>
      <c r="E1905" t="s">
        <v>25</v>
      </c>
      <c r="F1905" t="s">
        <v>170</v>
      </c>
      <c r="G1905" t="s">
        <v>2783</v>
      </c>
      <c r="H1905" t="s">
        <v>862</v>
      </c>
      <c r="I1905" t="s">
        <v>431</v>
      </c>
      <c r="J1905" t="s">
        <v>30</v>
      </c>
      <c r="K1905">
        <v>58</v>
      </c>
      <c r="L1905" t="s">
        <v>82</v>
      </c>
      <c r="M1905">
        <v>12</v>
      </c>
      <c r="N1905">
        <v>1</v>
      </c>
      <c r="O1905">
        <v>7902.52</v>
      </c>
      <c r="P1905" s="1">
        <v>45600.337916666664</v>
      </c>
      <c r="Q1905">
        <v>16</v>
      </c>
      <c r="R1905" t="s">
        <v>47</v>
      </c>
      <c r="S1905">
        <v>0.29634298811795101</v>
      </c>
      <c r="T1905" t="b">
        <v>0</v>
      </c>
      <c r="U1905" t="b">
        <v>0</v>
      </c>
      <c r="V1905" t="b">
        <f t="shared" si="58"/>
        <v>1</v>
      </c>
      <c r="W1905">
        <v>0</v>
      </c>
      <c r="Y1905">
        <f t="shared" si="59"/>
        <v>0</v>
      </c>
    </row>
    <row r="1906" spans="1:25" x14ac:dyDescent="0.3">
      <c r="A1906" t="s">
        <v>3788</v>
      </c>
      <c r="B1906" t="s">
        <v>1867</v>
      </c>
      <c r="C1906">
        <v>227.61</v>
      </c>
      <c r="D1906" s="1">
        <v>45145.678078703706</v>
      </c>
      <c r="E1906" t="s">
        <v>25</v>
      </c>
      <c r="F1906" t="s">
        <v>35</v>
      </c>
      <c r="G1906" t="s">
        <v>171</v>
      </c>
      <c r="H1906" t="s">
        <v>1475</v>
      </c>
      <c r="I1906" t="s">
        <v>117</v>
      </c>
      <c r="J1906" t="s">
        <v>45</v>
      </c>
      <c r="K1906">
        <v>71</v>
      </c>
      <c r="L1906" t="s">
        <v>82</v>
      </c>
      <c r="M1906">
        <v>61</v>
      </c>
      <c r="N1906">
        <v>1</v>
      </c>
      <c r="O1906">
        <v>4405.28</v>
      </c>
      <c r="P1906" s="1">
        <v>45600.33866898148</v>
      </c>
      <c r="Q1906">
        <v>16</v>
      </c>
      <c r="R1906" t="s">
        <v>47</v>
      </c>
      <c r="S1906">
        <v>-0.23971460312496501</v>
      </c>
      <c r="T1906" t="b">
        <v>0</v>
      </c>
      <c r="U1906" t="b">
        <v>0</v>
      </c>
      <c r="V1906" t="b">
        <f t="shared" si="58"/>
        <v>1</v>
      </c>
      <c r="W1906">
        <v>0</v>
      </c>
      <c r="Y1906">
        <f t="shared" si="59"/>
        <v>0</v>
      </c>
    </row>
    <row r="1907" spans="1:25" x14ac:dyDescent="0.3">
      <c r="A1907" t="s">
        <v>3789</v>
      </c>
      <c r="B1907" t="s">
        <v>393</v>
      </c>
      <c r="C1907">
        <v>40.83</v>
      </c>
      <c r="D1907" s="1">
        <v>45154.695034722223</v>
      </c>
      <c r="E1907" t="s">
        <v>25</v>
      </c>
      <c r="F1907" t="s">
        <v>77</v>
      </c>
      <c r="G1907" t="s">
        <v>257</v>
      </c>
      <c r="H1907" t="s">
        <v>3070</v>
      </c>
      <c r="I1907" t="s">
        <v>156</v>
      </c>
      <c r="J1907" t="s">
        <v>30</v>
      </c>
      <c r="K1907">
        <v>48</v>
      </c>
      <c r="L1907" t="s">
        <v>89</v>
      </c>
      <c r="M1907">
        <v>24</v>
      </c>
      <c r="N1907">
        <v>1</v>
      </c>
      <c r="O1907">
        <v>3944.12</v>
      </c>
      <c r="P1907" s="1">
        <v>45600.34171296296</v>
      </c>
      <c r="Q1907">
        <v>16</v>
      </c>
      <c r="R1907" t="s">
        <v>74</v>
      </c>
      <c r="S1907">
        <v>-0.87948991873104898</v>
      </c>
      <c r="T1907" t="b">
        <v>0</v>
      </c>
      <c r="U1907" t="b">
        <v>0</v>
      </c>
      <c r="V1907" t="b">
        <f t="shared" si="58"/>
        <v>1</v>
      </c>
      <c r="W1907">
        <v>0</v>
      </c>
      <c r="Y1907">
        <f t="shared" si="59"/>
        <v>0</v>
      </c>
    </row>
    <row r="1908" spans="1:25" x14ac:dyDescent="0.3">
      <c r="A1908" t="s">
        <v>3790</v>
      </c>
      <c r="B1908" t="s">
        <v>1567</v>
      </c>
      <c r="C1908">
        <v>19.760000000000002</v>
      </c>
      <c r="D1908" s="1">
        <v>45016.743159722224</v>
      </c>
      <c r="E1908" t="s">
        <v>25</v>
      </c>
      <c r="F1908" t="s">
        <v>92</v>
      </c>
      <c r="G1908" t="s">
        <v>217</v>
      </c>
      <c r="H1908" t="s">
        <v>1584</v>
      </c>
      <c r="I1908" t="s">
        <v>993</v>
      </c>
      <c r="J1908" t="s">
        <v>30</v>
      </c>
      <c r="K1908">
        <v>20</v>
      </c>
      <c r="L1908" t="s">
        <v>46</v>
      </c>
      <c r="M1908">
        <v>240</v>
      </c>
      <c r="N1908">
        <v>1</v>
      </c>
      <c r="O1908">
        <v>1523.04</v>
      </c>
      <c r="P1908" s="1">
        <v>45600.340370370373</v>
      </c>
      <c r="Q1908">
        <v>17</v>
      </c>
      <c r="R1908" t="s">
        <v>54</v>
      </c>
      <c r="S1908">
        <v>-0.95166073948177299</v>
      </c>
      <c r="T1908" t="b">
        <v>0</v>
      </c>
      <c r="U1908" t="b">
        <v>0</v>
      </c>
      <c r="V1908" t="b">
        <f t="shared" si="58"/>
        <v>1</v>
      </c>
      <c r="W1908">
        <v>0</v>
      </c>
      <c r="Y1908">
        <f t="shared" si="59"/>
        <v>0</v>
      </c>
    </row>
    <row r="1909" spans="1:25" x14ac:dyDescent="0.3">
      <c r="A1909" t="s">
        <v>3791</v>
      </c>
      <c r="B1909" t="s">
        <v>1915</v>
      </c>
      <c r="C1909">
        <v>484.24</v>
      </c>
      <c r="D1909" s="1">
        <v>45075.694618055553</v>
      </c>
      <c r="E1909" t="s">
        <v>25</v>
      </c>
      <c r="F1909" t="s">
        <v>50</v>
      </c>
      <c r="G1909" t="s">
        <v>381</v>
      </c>
      <c r="H1909" t="s">
        <v>238</v>
      </c>
      <c r="I1909" t="s">
        <v>73</v>
      </c>
      <c r="J1909" t="s">
        <v>81</v>
      </c>
      <c r="K1909">
        <v>67</v>
      </c>
      <c r="L1909" t="s">
        <v>31</v>
      </c>
      <c r="M1909">
        <v>77</v>
      </c>
      <c r="N1909">
        <v>1</v>
      </c>
      <c r="O1909">
        <v>8042.3</v>
      </c>
      <c r="P1909" s="1">
        <v>45600.338009259256</v>
      </c>
      <c r="Q1909">
        <v>16</v>
      </c>
      <c r="R1909" t="s">
        <v>47</v>
      </c>
      <c r="S1909">
        <v>0.63931708786972996</v>
      </c>
      <c r="T1909" t="b">
        <v>0</v>
      </c>
      <c r="U1909" t="b">
        <v>0</v>
      </c>
      <c r="V1909" t="b">
        <f t="shared" si="58"/>
        <v>1</v>
      </c>
      <c r="W1909">
        <v>0</v>
      </c>
      <c r="Y1909">
        <f t="shared" si="59"/>
        <v>0</v>
      </c>
    </row>
    <row r="1910" spans="1:25" x14ac:dyDescent="0.3">
      <c r="A1910" t="s">
        <v>3792</v>
      </c>
      <c r="B1910" t="s">
        <v>335</v>
      </c>
      <c r="C1910">
        <v>494.66</v>
      </c>
      <c r="D1910" s="1">
        <v>45096.708043981482</v>
      </c>
      <c r="E1910" t="s">
        <v>25</v>
      </c>
      <c r="F1910" t="s">
        <v>35</v>
      </c>
      <c r="G1910" t="s">
        <v>78</v>
      </c>
      <c r="H1910" t="s">
        <v>166</v>
      </c>
      <c r="I1910" t="s">
        <v>44</v>
      </c>
      <c r="J1910" t="s">
        <v>45</v>
      </c>
      <c r="K1910">
        <v>33</v>
      </c>
      <c r="L1910" t="s">
        <v>31</v>
      </c>
      <c r="M1910">
        <v>110</v>
      </c>
      <c r="N1910">
        <v>1</v>
      </c>
      <c r="O1910">
        <v>5531.93</v>
      </c>
      <c r="P1910" s="1">
        <v>45600.337789351855</v>
      </c>
      <c r="Q1910">
        <v>16</v>
      </c>
      <c r="R1910" t="s">
        <v>47</v>
      </c>
      <c r="S1910">
        <v>0.67500859011095204</v>
      </c>
      <c r="T1910" t="b">
        <v>0</v>
      </c>
      <c r="U1910" t="b">
        <v>0</v>
      </c>
      <c r="V1910" t="b">
        <f t="shared" si="58"/>
        <v>1</v>
      </c>
      <c r="W1910">
        <v>0</v>
      </c>
      <c r="Y1910">
        <f t="shared" si="59"/>
        <v>0</v>
      </c>
    </row>
    <row r="1911" spans="1:25" x14ac:dyDescent="0.3">
      <c r="A1911" t="s">
        <v>3793</v>
      </c>
      <c r="B1911" t="s">
        <v>2708</v>
      </c>
      <c r="C1911">
        <v>301.47000000000003</v>
      </c>
      <c r="D1911" s="1">
        <v>44952.675868055558</v>
      </c>
      <c r="E1911" t="s">
        <v>25</v>
      </c>
      <c r="F1911" t="s">
        <v>534</v>
      </c>
      <c r="G1911" t="s">
        <v>809</v>
      </c>
      <c r="H1911" t="s">
        <v>449</v>
      </c>
      <c r="I1911" t="s">
        <v>156</v>
      </c>
      <c r="J1911" t="s">
        <v>81</v>
      </c>
      <c r="K1911">
        <v>21</v>
      </c>
      <c r="L1911" t="s">
        <v>46</v>
      </c>
      <c r="M1911">
        <v>291</v>
      </c>
      <c r="N1911">
        <v>1</v>
      </c>
      <c r="O1911">
        <v>560.73</v>
      </c>
      <c r="P1911" s="1">
        <v>45600.339872685188</v>
      </c>
      <c r="Q1911">
        <v>16</v>
      </c>
      <c r="R1911" t="s">
        <v>141</v>
      </c>
      <c r="S1911">
        <v>1.32771776367077E-2</v>
      </c>
      <c r="T1911" t="b">
        <v>0</v>
      </c>
      <c r="U1911" t="b">
        <v>0</v>
      </c>
      <c r="V1911" t="b">
        <f t="shared" si="58"/>
        <v>1</v>
      </c>
      <c r="W1911">
        <v>0</v>
      </c>
      <c r="Y1911">
        <f t="shared" si="59"/>
        <v>0</v>
      </c>
    </row>
    <row r="1912" spans="1:25" x14ac:dyDescent="0.3">
      <c r="A1912" t="s">
        <v>3794</v>
      </c>
      <c r="B1912" t="s">
        <v>1079</v>
      </c>
      <c r="C1912">
        <v>199.09</v>
      </c>
      <c r="D1912" s="1">
        <v>45065.704351851855</v>
      </c>
      <c r="E1912" t="s">
        <v>25</v>
      </c>
      <c r="F1912" t="s">
        <v>85</v>
      </c>
      <c r="G1912" t="s">
        <v>592</v>
      </c>
      <c r="H1912" t="s">
        <v>1881</v>
      </c>
      <c r="I1912" t="s">
        <v>316</v>
      </c>
      <c r="J1912" t="s">
        <v>45</v>
      </c>
      <c r="K1912">
        <v>70</v>
      </c>
      <c r="L1912" t="s">
        <v>31</v>
      </c>
      <c r="M1912">
        <v>89</v>
      </c>
      <c r="N1912">
        <v>1</v>
      </c>
      <c r="O1912">
        <v>1658.52</v>
      </c>
      <c r="P1912" s="1">
        <v>45600.339421296296</v>
      </c>
      <c r="Q1912">
        <v>16</v>
      </c>
      <c r="R1912" t="s">
        <v>54</v>
      </c>
      <c r="S1912">
        <v>-0.33740382039172601</v>
      </c>
      <c r="T1912" t="b">
        <v>0</v>
      </c>
      <c r="U1912" t="b">
        <v>0</v>
      </c>
      <c r="V1912" t="b">
        <f t="shared" si="58"/>
        <v>1</v>
      </c>
      <c r="W1912">
        <v>0</v>
      </c>
      <c r="Y1912">
        <f t="shared" si="59"/>
        <v>0</v>
      </c>
    </row>
    <row r="1913" spans="1:25" x14ac:dyDescent="0.3">
      <c r="A1913" t="s">
        <v>3795</v>
      </c>
      <c r="B1913" t="s">
        <v>750</v>
      </c>
      <c r="C1913">
        <v>38.950000000000003</v>
      </c>
      <c r="D1913" s="1">
        <v>45217.697418981479</v>
      </c>
      <c r="E1913" t="s">
        <v>25</v>
      </c>
      <c r="F1913" t="s">
        <v>153</v>
      </c>
      <c r="G1913" t="s">
        <v>1965</v>
      </c>
      <c r="H1913" t="s">
        <v>1096</v>
      </c>
      <c r="I1913" t="s">
        <v>753</v>
      </c>
      <c r="J1913" t="s">
        <v>45</v>
      </c>
      <c r="K1913">
        <v>27</v>
      </c>
      <c r="L1913" t="s">
        <v>89</v>
      </c>
      <c r="M1913">
        <v>50</v>
      </c>
      <c r="N1913">
        <v>1</v>
      </c>
      <c r="O1913">
        <v>731.52</v>
      </c>
      <c r="P1913" s="1">
        <v>45600.339456018519</v>
      </c>
      <c r="Q1913">
        <v>16</v>
      </c>
      <c r="R1913" t="s">
        <v>74</v>
      </c>
      <c r="S1913">
        <v>-0.88592946040220999</v>
      </c>
      <c r="T1913" t="b">
        <v>0</v>
      </c>
      <c r="U1913" t="b">
        <v>0</v>
      </c>
      <c r="V1913" t="b">
        <f t="shared" si="58"/>
        <v>1</v>
      </c>
      <c r="W1913">
        <v>0</v>
      </c>
      <c r="Y1913">
        <f t="shared" si="59"/>
        <v>0</v>
      </c>
    </row>
    <row r="1914" spans="1:25" x14ac:dyDescent="0.3">
      <c r="A1914" t="s">
        <v>3796</v>
      </c>
      <c r="B1914" t="s">
        <v>1006</v>
      </c>
      <c r="C1914">
        <v>515.94000000000005</v>
      </c>
      <c r="D1914" s="1">
        <v>45282.696215277778</v>
      </c>
      <c r="E1914" t="s">
        <v>25</v>
      </c>
      <c r="F1914" t="s">
        <v>225</v>
      </c>
      <c r="G1914" t="s">
        <v>763</v>
      </c>
      <c r="H1914" t="s">
        <v>942</v>
      </c>
      <c r="I1914" t="s">
        <v>487</v>
      </c>
      <c r="J1914" t="s">
        <v>30</v>
      </c>
      <c r="K1914">
        <v>29</v>
      </c>
      <c r="L1914" t="s">
        <v>89</v>
      </c>
      <c r="M1914">
        <v>37</v>
      </c>
      <c r="N1914">
        <v>1</v>
      </c>
      <c r="O1914">
        <v>1389.89</v>
      </c>
      <c r="P1914" s="1">
        <v>45600.341087962966</v>
      </c>
      <c r="Q1914">
        <v>16</v>
      </c>
      <c r="R1914" t="s">
        <v>54</v>
      </c>
      <c r="S1914">
        <v>0.74789872136749702</v>
      </c>
      <c r="T1914" t="b">
        <v>0</v>
      </c>
      <c r="U1914" t="b">
        <v>0</v>
      </c>
      <c r="V1914" t="b">
        <f t="shared" si="58"/>
        <v>1</v>
      </c>
      <c r="W1914">
        <v>0</v>
      </c>
      <c r="Y1914">
        <f t="shared" si="59"/>
        <v>0</v>
      </c>
    </row>
    <row r="1915" spans="1:25" x14ac:dyDescent="0.3">
      <c r="A1915" t="s">
        <v>3797</v>
      </c>
      <c r="B1915" t="s">
        <v>1600</v>
      </c>
      <c r="C1915">
        <v>41.93</v>
      </c>
      <c r="D1915" s="1">
        <v>44970.697430555556</v>
      </c>
      <c r="E1915" t="s">
        <v>25</v>
      </c>
      <c r="F1915" t="s">
        <v>571</v>
      </c>
      <c r="G1915" t="s">
        <v>681</v>
      </c>
      <c r="H1915" t="s">
        <v>2144</v>
      </c>
      <c r="I1915" t="s">
        <v>301</v>
      </c>
      <c r="J1915" t="s">
        <v>30</v>
      </c>
      <c r="K1915">
        <v>48</v>
      </c>
      <c r="L1915" t="s">
        <v>89</v>
      </c>
      <c r="M1915">
        <v>136</v>
      </c>
      <c r="N1915">
        <v>1</v>
      </c>
      <c r="O1915">
        <v>5081.26</v>
      </c>
      <c r="P1915" s="1">
        <v>45600.337777777779</v>
      </c>
      <c r="Q1915">
        <v>16</v>
      </c>
      <c r="R1915" t="s">
        <v>47</v>
      </c>
      <c r="S1915">
        <v>-0.87572210179579502</v>
      </c>
      <c r="T1915" t="b">
        <v>0</v>
      </c>
      <c r="U1915" t="b">
        <v>0</v>
      </c>
      <c r="V1915" t="b">
        <f t="shared" si="58"/>
        <v>1</v>
      </c>
      <c r="W1915">
        <v>0</v>
      </c>
      <c r="Y1915">
        <f t="shared" si="59"/>
        <v>0</v>
      </c>
    </row>
    <row r="1916" spans="1:25" x14ac:dyDescent="0.3">
      <c r="A1916" t="s">
        <v>3798</v>
      </c>
      <c r="B1916" t="s">
        <v>2902</v>
      </c>
      <c r="C1916">
        <v>137.84</v>
      </c>
      <c r="D1916" s="1">
        <v>45243.668761574074</v>
      </c>
      <c r="E1916" t="s">
        <v>25</v>
      </c>
      <c r="F1916" t="s">
        <v>309</v>
      </c>
      <c r="G1916" t="s">
        <v>667</v>
      </c>
      <c r="H1916" t="s">
        <v>619</v>
      </c>
      <c r="I1916" t="s">
        <v>866</v>
      </c>
      <c r="J1916" t="s">
        <v>30</v>
      </c>
      <c r="K1916">
        <v>27</v>
      </c>
      <c r="L1916" t="s">
        <v>46</v>
      </c>
      <c r="M1916">
        <v>83</v>
      </c>
      <c r="N1916">
        <v>1</v>
      </c>
      <c r="O1916">
        <v>1000.35</v>
      </c>
      <c r="P1916" s="1">
        <v>45600.339884259258</v>
      </c>
      <c r="Q1916">
        <v>16</v>
      </c>
      <c r="R1916" t="s">
        <v>47</v>
      </c>
      <c r="S1916">
        <v>-0.54720271792289898</v>
      </c>
      <c r="T1916" t="b">
        <v>0</v>
      </c>
      <c r="U1916" t="b">
        <v>0</v>
      </c>
      <c r="V1916" t="b">
        <f t="shared" si="58"/>
        <v>1</v>
      </c>
      <c r="W1916">
        <v>0</v>
      </c>
      <c r="Y1916">
        <f t="shared" si="59"/>
        <v>0</v>
      </c>
    </row>
    <row r="1917" spans="1:25" x14ac:dyDescent="0.3">
      <c r="A1917" t="s">
        <v>3799</v>
      </c>
      <c r="B1917" t="s">
        <v>1317</v>
      </c>
      <c r="C1917">
        <v>95.35</v>
      </c>
      <c r="D1917" s="1">
        <v>45133.685636574075</v>
      </c>
      <c r="E1917" t="s">
        <v>25</v>
      </c>
      <c r="F1917" t="s">
        <v>278</v>
      </c>
      <c r="G1917" t="s">
        <v>1167</v>
      </c>
      <c r="H1917" t="s">
        <v>1589</v>
      </c>
      <c r="I1917" t="s">
        <v>431</v>
      </c>
      <c r="J1917" t="s">
        <v>45</v>
      </c>
      <c r="K1917">
        <v>21</v>
      </c>
      <c r="L1917" t="s">
        <v>46</v>
      </c>
      <c r="M1917">
        <v>131</v>
      </c>
      <c r="N1917">
        <v>1</v>
      </c>
      <c r="O1917">
        <v>1639.9</v>
      </c>
      <c r="P1917" s="1">
        <v>45600.338449074072</v>
      </c>
      <c r="Q1917">
        <v>16</v>
      </c>
      <c r="R1917" t="s">
        <v>74</v>
      </c>
      <c r="S1917">
        <v>-0.69274321026738195</v>
      </c>
      <c r="T1917" t="b">
        <v>0</v>
      </c>
      <c r="U1917" t="b">
        <v>0</v>
      </c>
      <c r="V1917" t="b">
        <f t="shared" si="58"/>
        <v>1</v>
      </c>
      <c r="W1917">
        <v>0</v>
      </c>
      <c r="Y1917">
        <f t="shared" si="59"/>
        <v>0</v>
      </c>
    </row>
    <row r="1918" spans="1:25" x14ac:dyDescent="0.3">
      <c r="A1918" t="s">
        <v>3800</v>
      </c>
      <c r="B1918" t="s">
        <v>465</v>
      </c>
      <c r="C1918">
        <v>93.14</v>
      </c>
      <c r="D1918" s="1">
        <v>44928.699432870373</v>
      </c>
      <c r="E1918" t="s">
        <v>25</v>
      </c>
      <c r="F1918" t="s">
        <v>104</v>
      </c>
      <c r="G1918" t="s">
        <v>2670</v>
      </c>
      <c r="H1918" t="s">
        <v>1217</v>
      </c>
      <c r="I1918" t="s">
        <v>199</v>
      </c>
      <c r="J1918" t="s">
        <v>45</v>
      </c>
      <c r="K1918">
        <v>67</v>
      </c>
      <c r="L1918" t="s">
        <v>82</v>
      </c>
      <c r="M1918">
        <v>151</v>
      </c>
      <c r="N1918">
        <v>1</v>
      </c>
      <c r="O1918">
        <v>5473.82</v>
      </c>
      <c r="P1918" s="1">
        <v>45600.338807870372</v>
      </c>
      <c r="Q1918">
        <v>16</v>
      </c>
      <c r="R1918" t="s">
        <v>47</v>
      </c>
      <c r="S1918">
        <v>-0.70031309701911904</v>
      </c>
      <c r="T1918" t="b">
        <v>0</v>
      </c>
      <c r="U1918" t="b">
        <v>0</v>
      </c>
      <c r="V1918" t="b">
        <f t="shared" si="58"/>
        <v>1</v>
      </c>
      <c r="W1918">
        <v>0</v>
      </c>
      <c r="Y1918">
        <f t="shared" si="59"/>
        <v>0</v>
      </c>
    </row>
    <row r="1919" spans="1:25" x14ac:dyDescent="0.3">
      <c r="A1919" t="s">
        <v>3801</v>
      </c>
      <c r="B1919" t="s">
        <v>634</v>
      </c>
      <c r="C1919">
        <v>1427.71</v>
      </c>
      <c r="D1919" s="1">
        <v>44950.726782407408</v>
      </c>
      <c r="E1919" t="s">
        <v>25</v>
      </c>
      <c r="F1919" t="s">
        <v>216</v>
      </c>
      <c r="G1919" t="s">
        <v>631</v>
      </c>
      <c r="H1919" t="s">
        <v>1319</v>
      </c>
      <c r="I1919" t="s">
        <v>585</v>
      </c>
      <c r="J1919" t="s">
        <v>81</v>
      </c>
      <c r="K1919">
        <v>64</v>
      </c>
      <c r="L1919" t="s">
        <v>31</v>
      </c>
      <c r="M1919">
        <v>159</v>
      </c>
      <c r="N1919">
        <v>1</v>
      </c>
      <c r="O1919">
        <v>1729.26</v>
      </c>
      <c r="P1919" s="1">
        <v>45600.339930555558</v>
      </c>
      <c r="Q1919">
        <v>17</v>
      </c>
      <c r="R1919" t="s">
        <v>32</v>
      </c>
      <c r="S1919">
        <v>3.87097367323685</v>
      </c>
      <c r="T1919" t="b">
        <v>1</v>
      </c>
      <c r="U1919" t="b">
        <v>0</v>
      </c>
      <c r="V1919" t="b">
        <f t="shared" si="58"/>
        <v>1</v>
      </c>
      <c r="W1919">
        <v>1</v>
      </c>
      <c r="Y1919">
        <f t="shared" si="59"/>
        <v>1</v>
      </c>
    </row>
    <row r="1920" spans="1:25" x14ac:dyDescent="0.3">
      <c r="A1920" t="s">
        <v>3802</v>
      </c>
      <c r="B1920" t="s">
        <v>1666</v>
      </c>
      <c r="C1920">
        <v>79.33</v>
      </c>
      <c r="D1920" s="1">
        <v>45266.673611111109</v>
      </c>
      <c r="E1920" t="s">
        <v>57</v>
      </c>
      <c r="F1920" t="s">
        <v>159</v>
      </c>
      <c r="G1920" t="s">
        <v>1237</v>
      </c>
      <c r="H1920" t="s">
        <v>1785</v>
      </c>
      <c r="I1920" t="s">
        <v>620</v>
      </c>
      <c r="J1920" t="s">
        <v>45</v>
      </c>
      <c r="K1920">
        <v>51</v>
      </c>
      <c r="L1920" t="s">
        <v>31</v>
      </c>
      <c r="M1920">
        <v>109</v>
      </c>
      <c r="N1920">
        <v>1</v>
      </c>
      <c r="O1920">
        <v>14798.1</v>
      </c>
      <c r="P1920" s="1">
        <v>45600.338263888887</v>
      </c>
      <c r="Q1920">
        <v>16</v>
      </c>
      <c r="R1920" t="s">
        <v>74</v>
      </c>
      <c r="S1920">
        <v>-0.74761632599716898</v>
      </c>
      <c r="T1920" t="b">
        <v>0</v>
      </c>
      <c r="U1920" t="b">
        <v>0</v>
      </c>
      <c r="V1920" t="b">
        <f t="shared" si="58"/>
        <v>1</v>
      </c>
      <c r="W1920">
        <v>0</v>
      </c>
      <c r="Y1920">
        <f t="shared" si="59"/>
        <v>0</v>
      </c>
    </row>
    <row r="1921" spans="1:25" x14ac:dyDescent="0.3">
      <c r="A1921" t="s">
        <v>3803</v>
      </c>
      <c r="B1921" t="s">
        <v>1827</v>
      </c>
      <c r="C1921">
        <v>76.89</v>
      </c>
      <c r="D1921" s="1">
        <v>45056.743020833332</v>
      </c>
      <c r="E1921" t="s">
        <v>25</v>
      </c>
      <c r="F1921" t="s">
        <v>278</v>
      </c>
      <c r="G1921" t="s">
        <v>132</v>
      </c>
      <c r="H1921" t="s">
        <v>1480</v>
      </c>
      <c r="I1921" t="s">
        <v>1362</v>
      </c>
      <c r="J1921" t="s">
        <v>30</v>
      </c>
      <c r="K1921">
        <v>55</v>
      </c>
      <c r="L1921" t="s">
        <v>31</v>
      </c>
      <c r="M1921">
        <v>132</v>
      </c>
      <c r="N1921">
        <v>1</v>
      </c>
      <c r="O1921">
        <v>7374.26</v>
      </c>
      <c r="P1921" s="1">
        <v>45600.340636574074</v>
      </c>
      <c r="Q1921">
        <v>17</v>
      </c>
      <c r="R1921" t="s">
        <v>74</v>
      </c>
      <c r="S1921">
        <v>-0.75597402901718602</v>
      </c>
      <c r="T1921" t="b">
        <v>0</v>
      </c>
      <c r="U1921" t="b">
        <v>0</v>
      </c>
      <c r="V1921" t="b">
        <f t="shared" si="58"/>
        <v>1</v>
      </c>
      <c r="W1921">
        <v>0</v>
      </c>
      <c r="Y1921">
        <f t="shared" si="59"/>
        <v>0</v>
      </c>
    </row>
    <row r="1922" spans="1:25" x14ac:dyDescent="0.3">
      <c r="A1922" t="s">
        <v>3804</v>
      </c>
      <c r="B1922" t="s">
        <v>1196</v>
      </c>
      <c r="C1922">
        <v>233.71</v>
      </c>
      <c r="D1922" s="1">
        <v>44998.729398148149</v>
      </c>
      <c r="E1922" t="s">
        <v>25</v>
      </c>
      <c r="F1922" t="s">
        <v>405</v>
      </c>
      <c r="G1922" t="s">
        <v>1007</v>
      </c>
      <c r="H1922" t="s">
        <v>3483</v>
      </c>
      <c r="I1922" t="s">
        <v>156</v>
      </c>
      <c r="J1922" t="s">
        <v>45</v>
      </c>
      <c r="K1922">
        <v>19</v>
      </c>
      <c r="L1922" t="s">
        <v>46</v>
      </c>
      <c r="M1922">
        <v>297</v>
      </c>
      <c r="N1922">
        <v>1</v>
      </c>
      <c r="O1922">
        <v>1231.98</v>
      </c>
      <c r="P1922" s="1">
        <v>45600.341770833336</v>
      </c>
      <c r="Q1922">
        <v>17</v>
      </c>
      <c r="R1922" t="s">
        <v>47</v>
      </c>
      <c r="S1922">
        <v>-0.218820345574922</v>
      </c>
      <c r="T1922" t="b">
        <v>0</v>
      </c>
      <c r="U1922" t="b">
        <v>0</v>
      </c>
      <c r="V1922" t="b">
        <f t="shared" si="58"/>
        <v>1</v>
      </c>
      <c r="W1922">
        <v>0</v>
      </c>
      <c r="Y1922">
        <f t="shared" si="59"/>
        <v>0</v>
      </c>
    </row>
    <row r="1923" spans="1:25" x14ac:dyDescent="0.3">
      <c r="A1923" t="s">
        <v>3805</v>
      </c>
      <c r="B1923" t="s">
        <v>2543</v>
      </c>
      <c r="C1923">
        <v>14.92</v>
      </c>
      <c r="D1923" s="1">
        <v>45068.702407407407</v>
      </c>
      <c r="E1923" t="s">
        <v>25</v>
      </c>
      <c r="F1923" t="s">
        <v>159</v>
      </c>
      <c r="G1923" t="s">
        <v>3058</v>
      </c>
      <c r="H1923" t="s">
        <v>1564</v>
      </c>
      <c r="I1923" t="s">
        <v>265</v>
      </c>
      <c r="J1923" t="s">
        <v>81</v>
      </c>
      <c r="K1923">
        <v>26</v>
      </c>
      <c r="L1923" t="s">
        <v>89</v>
      </c>
      <c r="M1923">
        <v>120</v>
      </c>
      <c r="N1923">
        <v>1</v>
      </c>
      <c r="O1923">
        <v>6611.26</v>
      </c>
      <c r="P1923" s="1">
        <v>45600.338576388887</v>
      </c>
      <c r="Q1923">
        <v>16</v>
      </c>
      <c r="R1923" t="s">
        <v>47</v>
      </c>
      <c r="S1923">
        <v>-0.96823913399688899</v>
      </c>
      <c r="T1923" t="b">
        <v>0</v>
      </c>
      <c r="U1923" t="b">
        <v>0</v>
      </c>
      <c r="V1923" t="b">
        <f t="shared" ref="V1923:V1986" si="60">ISLOGICAL(T1923)</f>
        <v>1</v>
      </c>
      <c r="W1923">
        <v>0</v>
      </c>
      <c r="Y1923">
        <f t="shared" ref="Y1923:Y1986" si="61">--T1923</f>
        <v>0</v>
      </c>
    </row>
    <row r="1924" spans="1:25" x14ac:dyDescent="0.3">
      <c r="A1924" t="s">
        <v>3806</v>
      </c>
      <c r="B1924" t="s">
        <v>881</v>
      </c>
      <c r="C1924">
        <v>242.17</v>
      </c>
      <c r="D1924" s="1">
        <v>45085.68644675926</v>
      </c>
      <c r="E1924" t="s">
        <v>25</v>
      </c>
      <c r="F1924" t="s">
        <v>405</v>
      </c>
      <c r="G1924" t="s">
        <v>319</v>
      </c>
      <c r="H1924" t="s">
        <v>531</v>
      </c>
      <c r="I1924" t="s">
        <v>431</v>
      </c>
      <c r="J1924" t="s">
        <v>30</v>
      </c>
      <c r="K1924">
        <v>60</v>
      </c>
      <c r="L1924" t="s">
        <v>31</v>
      </c>
      <c r="M1924">
        <v>147</v>
      </c>
      <c r="N1924">
        <v>1</v>
      </c>
      <c r="O1924">
        <v>883.72</v>
      </c>
      <c r="P1924" s="1">
        <v>45600.340752314813</v>
      </c>
      <c r="Q1924">
        <v>16</v>
      </c>
      <c r="R1924" t="s">
        <v>141</v>
      </c>
      <c r="S1924">
        <v>-0.18984240805469799</v>
      </c>
      <c r="T1924" t="b">
        <v>0</v>
      </c>
      <c r="U1924" t="b">
        <v>0</v>
      </c>
      <c r="V1924" t="b">
        <f t="shared" si="60"/>
        <v>1</v>
      </c>
      <c r="W1924">
        <v>0</v>
      </c>
      <c r="Y1924">
        <f t="shared" si="61"/>
        <v>0</v>
      </c>
    </row>
    <row r="1925" spans="1:25" x14ac:dyDescent="0.3">
      <c r="A1925" t="s">
        <v>3807</v>
      </c>
      <c r="B1925" t="s">
        <v>2365</v>
      </c>
      <c r="C1925">
        <v>122.98</v>
      </c>
      <c r="D1925" s="1">
        <v>45131.677754629629</v>
      </c>
      <c r="E1925" t="s">
        <v>25</v>
      </c>
      <c r="F1925" t="s">
        <v>405</v>
      </c>
      <c r="G1925" t="s">
        <v>3379</v>
      </c>
      <c r="H1925" t="s">
        <v>3114</v>
      </c>
      <c r="I1925" t="s">
        <v>80</v>
      </c>
      <c r="J1925" t="s">
        <v>45</v>
      </c>
      <c r="K1925">
        <v>79</v>
      </c>
      <c r="L1925" t="s">
        <v>82</v>
      </c>
      <c r="M1925">
        <v>228</v>
      </c>
      <c r="N1925">
        <v>1</v>
      </c>
      <c r="O1925">
        <v>5055.99</v>
      </c>
      <c r="P1925" s="1">
        <v>45600.340162037035</v>
      </c>
      <c r="Q1925">
        <v>16</v>
      </c>
      <c r="R1925" t="s">
        <v>47</v>
      </c>
      <c r="S1925">
        <v>-0.598102499430054</v>
      </c>
      <c r="T1925" t="b">
        <v>0</v>
      </c>
      <c r="U1925" t="b">
        <v>0</v>
      </c>
      <c r="V1925" t="b">
        <f t="shared" si="60"/>
        <v>1</v>
      </c>
      <c r="W1925">
        <v>0</v>
      </c>
      <c r="Y1925">
        <f t="shared" si="61"/>
        <v>0</v>
      </c>
    </row>
    <row r="1926" spans="1:25" x14ac:dyDescent="0.3">
      <c r="A1926" t="s">
        <v>3808</v>
      </c>
      <c r="B1926" t="s">
        <v>733</v>
      </c>
      <c r="C1926">
        <v>129.35</v>
      </c>
      <c r="D1926" s="1">
        <v>45166.688750000001</v>
      </c>
      <c r="E1926" t="s">
        <v>25</v>
      </c>
      <c r="F1926" t="s">
        <v>159</v>
      </c>
      <c r="G1926" t="s">
        <v>846</v>
      </c>
      <c r="H1926" t="s">
        <v>311</v>
      </c>
      <c r="I1926" t="s">
        <v>156</v>
      </c>
      <c r="J1926" t="s">
        <v>30</v>
      </c>
      <c r="K1926">
        <v>52</v>
      </c>
      <c r="L1926" t="s">
        <v>89</v>
      </c>
      <c r="M1926">
        <v>130</v>
      </c>
      <c r="N1926">
        <v>1</v>
      </c>
      <c r="O1926">
        <v>7166.88</v>
      </c>
      <c r="P1926" s="1">
        <v>45600.340057870373</v>
      </c>
      <c r="Q1926">
        <v>16</v>
      </c>
      <c r="R1926" t="s">
        <v>47</v>
      </c>
      <c r="S1926">
        <v>-0.57628341408681205</v>
      </c>
      <c r="T1926" t="b">
        <v>0</v>
      </c>
      <c r="U1926" t="b">
        <v>0</v>
      </c>
      <c r="V1926" t="b">
        <f t="shared" si="60"/>
        <v>1</v>
      </c>
      <c r="W1926">
        <v>0</v>
      </c>
      <c r="Y1926">
        <f t="shared" si="61"/>
        <v>0</v>
      </c>
    </row>
    <row r="1927" spans="1:25" x14ac:dyDescent="0.3">
      <c r="A1927" t="s">
        <v>3809</v>
      </c>
      <c r="B1927" t="s">
        <v>746</v>
      </c>
      <c r="C1927">
        <v>138.33000000000001</v>
      </c>
      <c r="D1927" s="1">
        <v>45114.74894675926</v>
      </c>
      <c r="E1927" t="s">
        <v>25</v>
      </c>
      <c r="F1927" t="s">
        <v>336</v>
      </c>
      <c r="G1927" t="s">
        <v>949</v>
      </c>
      <c r="H1927" t="s">
        <v>870</v>
      </c>
      <c r="I1927" t="s">
        <v>1362</v>
      </c>
      <c r="J1927" t="s">
        <v>45</v>
      </c>
      <c r="K1927">
        <v>21</v>
      </c>
      <c r="L1927" t="s">
        <v>46</v>
      </c>
      <c r="M1927">
        <v>69</v>
      </c>
      <c r="N1927">
        <v>1</v>
      </c>
      <c r="O1927">
        <v>232.56</v>
      </c>
      <c r="P1927" s="1">
        <v>45600.339780092596</v>
      </c>
      <c r="Q1927">
        <v>17</v>
      </c>
      <c r="R1927" t="s">
        <v>54</v>
      </c>
      <c r="S1927">
        <v>-0.54552432674264995</v>
      </c>
      <c r="T1927" t="b">
        <v>0</v>
      </c>
      <c r="U1927" t="b">
        <v>0</v>
      </c>
      <c r="V1927" t="b">
        <f t="shared" si="60"/>
        <v>1</v>
      </c>
      <c r="W1927">
        <v>0</v>
      </c>
      <c r="Y1927">
        <f t="shared" si="61"/>
        <v>0</v>
      </c>
    </row>
    <row r="1928" spans="1:25" x14ac:dyDescent="0.3">
      <c r="A1928" t="s">
        <v>3810</v>
      </c>
      <c r="B1928" t="s">
        <v>1002</v>
      </c>
      <c r="C1928">
        <v>39.31</v>
      </c>
      <c r="D1928" s="1">
        <v>45229.725636574076</v>
      </c>
      <c r="E1928" t="s">
        <v>25</v>
      </c>
      <c r="F1928" t="s">
        <v>608</v>
      </c>
      <c r="G1928" t="s">
        <v>3811</v>
      </c>
      <c r="H1928" t="s">
        <v>1547</v>
      </c>
      <c r="I1928" t="s">
        <v>213</v>
      </c>
      <c r="J1928" t="s">
        <v>45</v>
      </c>
      <c r="K1928">
        <v>25</v>
      </c>
      <c r="L1928" t="s">
        <v>46</v>
      </c>
      <c r="M1928">
        <v>178</v>
      </c>
      <c r="N1928">
        <v>1</v>
      </c>
      <c r="O1928">
        <v>1236.3800000000001</v>
      </c>
      <c r="P1928" s="1">
        <v>45600.338043981479</v>
      </c>
      <c r="Q1928">
        <v>17</v>
      </c>
      <c r="R1928" t="s">
        <v>47</v>
      </c>
      <c r="S1928">
        <v>-0.884696356677945</v>
      </c>
      <c r="T1928" t="b">
        <v>0</v>
      </c>
      <c r="U1928" t="b">
        <v>0</v>
      </c>
      <c r="V1928" t="b">
        <f t="shared" si="60"/>
        <v>1</v>
      </c>
      <c r="W1928">
        <v>0</v>
      </c>
      <c r="Y1928">
        <f t="shared" si="61"/>
        <v>0</v>
      </c>
    </row>
    <row r="1929" spans="1:25" x14ac:dyDescent="0.3">
      <c r="A1929" t="s">
        <v>3812</v>
      </c>
      <c r="B1929" t="s">
        <v>2138</v>
      </c>
      <c r="C1929">
        <v>91.85</v>
      </c>
      <c r="D1929" s="1">
        <v>45215.701747685183</v>
      </c>
      <c r="E1929" t="s">
        <v>25</v>
      </c>
      <c r="F1929" t="s">
        <v>70</v>
      </c>
      <c r="G1929" t="s">
        <v>2291</v>
      </c>
      <c r="H1929" t="s">
        <v>1178</v>
      </c>
      <c r="I1929" t="s">
        <v>156</v>
      </c>
      <c r="J1929" t="s">
        <v>45</v>
      </c>
      <c r="K1929">
        <v>21</v>
      </c>
      <c r="L1929" t="s">
        <v>46</v>
      </c>
      <c r="M1929">
        <v>148</v>
      </c>
      <c r="N1929">
        <v>1</v>
      </c>
      <c r="O1929">
        <v>802.09</v>
      </c>
      <c r="P1929" s="1">
        <v>45600.341828703706</v>
      </c>
      <c r="Q1929">
        <v>16</v>
      </c>
      <c r="R1929" t="s">
        <v>47</v>
      </c>
      <c r="S1929">
        <v>-0.70473171869773499</v>
      </c>
      <c r="T1929" t="b">
        <v>0</v>
      </c>
      <c r="U1929" t="b">
        <v>0</v>
      </c>
      <c r="V1929" t="b">
        <f t="shared" si="60"/>
        <v>1</v>
      </c>
      <c r="W1929">
        <v>0</v>
      </c>
      <c r="Y1929">
        <f t="shared" si="61"/>
        <v>0</v>
      </c>
    </row>
    <row r="1930" spans="1:25" x14ac:dyDescent="0.3">
      <c r="A1930" t="s">
        <v>3813</v>
      </c>
      <c r="B1930" t="s">
        <v>2538</v>
      </c>
      <c r="C1930">
        <v>277.7</v>
      </c>
      <c r="D1930" s="1">
        <v>45099.69358796296</v>
      </c>
      <c r="E1930" t="s">
        <v>25</v>
      </c>
      <c r="F1930" t="s">
        <v>92</v>
      </c>
      <c r="G1930" t="s">
        <v>3814</v>
      </c>
      <c r="H1930" t="s">
        <v>462</v>
      </c>
      <c r="I1930" t="s">
        <v>1362</v>
      </c>
      <c r="J1930" t="s">
        <v>81</v>
      </c>
      <c r="K1930">
        <v>58</v>
      </c>
      <c r="L1930" t="s">
        <v>89</v>
      </c>
      <c r="M1930">
        <v>107</v>
      </c>
      <c r="N1930">
        <v>1</v>
      </c>
      <c r="O1930">
        <v>1423.2</v>
      </c>
      <c r="P1930" s="1">
        <v>45600.341469907406</v>
      </c>
      <c r="Q1930">
        <v>16</v>
      </c>
      <c r="R1930" t="s">
        <v>141</v>
      </c>
      <c r="S1930">
        <v>-6.8141921046002502E-2</v>
      </c>
      <c r="T1930" t="b">
        <v>0</v>
      </c>
      <c r="U1930" t="b">
        <v>0</v>
      </c>
      <c r="V1930" t="b">
        <f t="shared" si="60"/>
        <v>1</v>
      </c>
      <c r="W1930">
        <v>0</v>
      </c>
      <c r="Y1930">
        <f t="shared" si="61"/>
        <v>0</v>
      </c>
    </row>
    <row r="1931" spans="1:25" x14ac:dyDescent="0.3">
      <c r="A1931" t="s">
        <v>3815</v>
      </c>
      <c r="B1931" t="s">
        <v>1374</v>
      </c>
      <c r="C1931">
        <v>114.03</v>
      </c>
      <c r="D1931" s="1">
        <v>45254.687743055554</v>
      </c>
      <c r="E1931" t="s">
        <v>25</v>
      </c>
      <c r="F1931" t="s">
        <v>608</v>
      </c>
      <c r="G1931" t="s">
        <v>2786</v>
      </c>
      <c r="H1931" t="s">
        <v>837</v>
      </c>
      <c r="I1931" t="s">
        <v>440</v>
      </c>
      <c r="J1931" t="s">
        <v>30</v>
      </c>
      <c r="K1931">
        <v>51</v>
      </c>
      <c r="L1931" t="s">
        <v>31</v>
      </c>
      <c r="M1931">
        <v>172</v>
      </c>
      <c r="N1931">
        <v>1</v>
      </c>
      <c r="O1931">
        <v>13388.56</v>
      </c>
      <c r="P1931" s="1">
        <v>45600.341458333336</v>
      </c>
      <c r="Q1931">
        <v>16</v>
      </c>
      <c r="R1931" t="s">
        <v>54</v>
      </c>
      <c r="S1931">
        <v>-0.62875882813052797</v>
      </c>
      <c r="T1931" t="b">
        <v>0</v>
      </c>
      <c r="U1931" t="b">
        <v>0</v>
      </c>
      <c r="V1931" t="b">
        <f t="shared" si="60"/>
        <v>1</v>
      </c>
      <c r="W1931">
        <v>0</v>
      </c>
      <c r="Y1931">
        <f t="shared" si="61"/>
        <v>0</v>
      </c>
    </row>
    <row r="1932" spans="1:25" x14ac:dyDescent="0.3">
      <c r="A1932" t="s">
        <v>3816</v>
      </c>
      <c r="B1932" t="s">
        <v>412</v>
      </c>
      <c r="C1932">
        <v>302.63</v>
      </c>
      <c r="D1932" s="1">
        <v>44985.725300925929</v>
      </c>
      <c r="E1932" t="s">
        <v>57</v>
      </c>
      <c r="F1932" t="s">
        <v>236</v>
      </c>
      <c r="G1932" t="s">
        <v>1563</v>
      </c>
      <c r="H1932" t="s">
        <v>723</v>
      </c>
      <c r="I1932" t="s">
        <v>38</v>
      </c>
      <c r="J1932" t="s">
        <v>81</v>
      </c>
      <c r="K1932">
        <v>27</v>
      </c>
      <c r="L1932" t="s">
        <v>89</v>
      </c>
      <c r="M1932">
        <v>10</v>
      </c>
      <c r="N1932">
        <v>1</v>
      </c>
      <c r="O1932">
        <v>2801.28</v>
      </c>
      <c r="P1932" s="1">
        <v>45600.338391203702</v>
      </c>
      <c r="Q1932">
        <v>17</v>
      </c>
      <c r="R1932" t="s">
        <v>32</v>
      </c>
      <c r="S1932">
        <v>1.7250511859338801E-2</v>
      </c>
      <c r="T1932" t="b">
        <v>0</v>
      </c>
      <c r="U1932" t="b">
        <v>0</v>
      </c>
      <c r="V1932" t="b">
        <f t="shared" si="60"/>
        <v>1</v>
      </c>
      <c r="W1932">
        <v>0</v>
      </c>
      <c r="Y1932">
        <f t="shared" si="61"/>
        <v>0</v>
      </c>
    </row>
    <row r="1933" spans="1:25" x14ac:dyDescent="0.3">
      <c r="A1933" t="s">
        <v>3817</v>
      </c>
      <c r="B1933" t="s">
        <v>49</v>
      </c>
      <c r="C1933">
        <v>31.19</v>
      </c>
      <c r="D1933" s="1">
        <v>45041.683321759258</v>
      </c>
      <c r="E1933" t="s">
        <v>25</v>
      </c>
      <c r="F1933" t="s">
        <v>262</v>
      </c>
      <c r="G1933" t="s">
        <v>398</v>
      </c>
      <c r="H1933" t="s">
        <v>2851</v>
      </c>
      <c r="I1933" t="s">
        <v>295</v>
      </c>
      <c r="J1933" t="s">
        <v>30</v>
      </c>
      <c r="K1933">
        <v>52</v>
      </c>
      <c r="L1933" t="s">
        <v>89</v>
      </c>
      <c r="M1933">
        <v>74</v>
      </c>
      <c r="N1933">
        <v>1</v>
      </c>
      <c r="O1933">
        <v>5545.96</v>
      </c>
      <c r="P1933" s="1">
        <v>45600.339965277781</v>
      </c>
      <c r="Q1933">
        <v>16</v>
      </c>
      <c r="R1933" t="s">
        <v>32</v>
      </c>
      <c r="S1933">
        <v>-0.91250969623636402</v>
      </c>
      <c r="T1933" t="b">
        <v>0</v>
      </c>
      <c r="U1933" t="b">
        <v>0</v>
      </c>
      <c r="V1933" t="b">
        <f t="shared" si="60"/>
        <v>1</v>
      </c>
      <c r="W1933">
        <v>0</v>
      </c>
      <c r="Y1933">
        <f t="shared" si="61"/>
        <v>0</v>
      </c>
    </row>
    <row r="1934" spans="1:25" x14ac:dyDescent="0.3">
      <c r="A1934" t="s">
        <v>3818</v>
      </c>
      <c r="B1934" t="s">
        <v>617</v>
      </c>
      <c r="C1934">
        <v>112.91</v>
      </c>
      <c r="D1934" s="1">
        <v>45245.753032407411</v>
      </c>
      <c r="E1934" t="s">
        <v>57</v>
      </c>
      <c r="F1934" t="s">
        <v>268</v>
      </c>
      <c r="G1934" t="s">
        <v>678</v>
      </c>
      <c r="H1934" t="s">
        <v>133</v>
      </c>
      <c r="I1934" t="s">
        <v>1013</v>
      </c>
      <c r="J1934" t="s">
        <v>45</v>
      </c>
      <c r="K1934">
        <v>27</v>
      </c>
      <c r="L1934" t="s">
        <v>89</v>
      </c>
      <c r="M1934">
        <v>135</v>
      </c>
      <c r="N1934">
        <v>1</v>
      </c>
      <c r="O1934">
        <v>4764.4799999999996</v>
      </c>
      <c r="P1934" s="1">
        <v>45600.34</v>
      </c>
      <c r="Q1934">
        <v>18</v>
      </c>
      <c r="R1934" t="s">
        <v>74</v>
      </c>
      <c r="S1934">
        <v>-0.63259515082824103</v>
      </c>
      <c r="T1934" t="b">
        <v>0</v>
      </c>
      <c r="U1934" t="b">
        <v>0</v>
      </c>
      <c r="V1934" t="b">
        <f t="shared" si="60"/>
        <v>1</v>
      </c>
      <c r="W1934">
        <v>0</v>
      </c>
      <c r="Y1934">
        <f t="shared" si="61"/>
        <v>0</v>
      </c>
    </row>
    <row r="1935" spans="1:25" x14ac:dyDescent="0.3">
      <c r="A1935" t="s">
        <v>3819</v>
      </c>
      <c r="B1935" t="s">
        <v>1029</v>
      </c>
      <c r="C1935">
        <v>742.26</v>
      </c>
      <c r="D1935" s="1">
        <v>45097.711134259262</v>
      </c>
      <c r="E1935" t="s">
        <v>25</v>
      </c>
      <c r="F1935" t="s">
        <v>26</v>
      </c>
      <c r="G1935" t="s">
        <v>730</v>
      </c>
      <c r="H1935" t="s">
        <v>3195</v>
      </c>
      <c r="I1935" t="s">
        <v>695</v>
      </c>
      <c r="J1935" t="s">
        <v>45</v>
      </c>
      <c r="K1935">
        <v>27</v>
      </c>
      <c r="L1935" t="s">
        <v>89</v>
      </c>
      <c r="M1935">
        <v>36</v>
      </c>
      <c r="N1935">
        <v>1</v>
      </c>
      <c r="O1935">
        <v>7868.19</v>
      </c>
      <c r="P1935" s="1">
        <v>45600.340289351851</v>
      </c>
      <c r="Q1935">
        <v>17</v>
      </c>
      <c r="R1935" t="s">
        <v>32</v>
      </c>
      <c r="S1935">
        <v>1.5231099293553301</v>
      </c>
      <c r="T1935" t="b">
        <v>0</v>
      </c>
      <c r="U1935" t="b">
        <v>0</v>
      </c>
      <c r="V1935" t="b">
        <f t="shared" si="60"/>
        <v>1</v>
      </c>
      <c r="W1935">
        <v>0</v>
      </c>
      <c r="Y1935">
        <f t="shared" si="61"/>
        <v>0</v>
      </c>
    </row>
    <row r="1936" spans="1:25" x14ac:dyDescent="0.3">
      <c r="A1936" t="s">
        <v>3820</v>
      </c>
      <c r="B1936" t="s">
        <v>1902</v>
      </c>
      <c r="C1936">
        <v>256.8</v>
      </c>
      <c r="D1936" s="1">
        <v>44981.701284722221</v>
      </c>
      <c r="E1936" t="s">
        <v>25</v>
      </c>
      <c r="F1936" t="s">
        <v>262</v>
      </c>
      <c r="G1936" t="s">
        <v>3821</v>
      </c>
      <c r="H1936" t="s">
        <v>1162</v>
      </c>
      <c r="I1936" t="s">
        <v>253</v>
      </c>
      <c r="J1936" t="s">
        <v>30</v>
      </c>
      <c r="K1936">
        <v>26</v>
      </c>
      <c r="L1936" t="s">
        <v>46</v>
      </c>
      <c r="M1936">
        <v>80</v>
      </c>
      <c r="N1936">
        <v>1</v>
      </c>
      <c r="O1936">
        <v>1128.3800000000001</v>
      </c>
      <c r="P1936" s="1">
        <v>45600.339837962965</v>
      </c>
      <c r="Q1936">
        <v>16</v>
      </c>
      <c r="R1936" t="s">
        <v>54</v>
      </c>
      <c r="S1936">
        <v>-0.139730442815823</v>
      </c>
      <c r="T1936" t="b">
        <v>0</v>
      </c>
      <c r="U1936" t="b">
        <v>0</v>
      </c>
      <c r="V1936" t="b">
        <f t="shared" si="60"/>
        <v>1</v>
      </c>
      <c r="W1936">
        <v>0</v>
      </c>
      <c r="Y1936">
        <f t="shared" si="61"/>
        <v>0</v>
      </c>
    </row>
    <row r="1937" spans="1:25" x14ac:dyDescent="0.3">
      <c r="A1937" t="s">
        <v>3822</v>
      </c>
      <c r="B1937" t="s">
        <v>2086</v>
      </c>
      <c r="C1937">
        <v>378.68</v>
      </c>
      <c r="D1937" s="1">
        <v>44932.724988425929</v>
      </c>
      <c r="E1937" t="s">
        <v>25</v>
      </c>
      <c r="F1937" t="s">
        <v>170</v>
      </c>
      <c r="G1937" t="s">
        <v>2123</v>
      </c>
      <c r="H1937" t="s">
        <v>2534</v>
      </c>
      <c r="I1937" t="s">
        <v>325</v>
      </c>
      <c r="J1937" t="s">
        <v>30</v>
      </c>
      <c r="K1937">
        <v>60</v>
      </c>
      <c r="L1937" t="s">
        <v>31</v>
      </c>
      <c r="M1937">
        <v>239</v>
      </c>
      <c r="N1937">
        <v>1</v>
      </c>
      <c r="O1937">
        <v>7627.04</v>
      </c>
      <c r="P1937" s="1">
        <v>45600.338321759256</v>
      </c>
      <c r="Q1937">
        <v>17</v>
      </c>
      <c r="R1937" t="s">
        <v>54</v>
      </c>
      <c r="S1937">
        <v>0.27774367361029001</v>
      </c>
      <c r="T1937" t="b">
        <v>0</v>
      </c>
      <c r="U1937" t="b">
        <v>0</v>
      </c>
      <c r="V1937" t="b">
        <f t="shared" si="60"/>
        <v>1</v>
      </c>
      <c r="W1937">
        <v>0</v>
      </c>
      <c r="Y1937">
        <f t="shared" si="61"/>
        <v>0</v>
      </c>
    </row>
    <row r="1938" spans="1:25" x14ac:dyDescent="0.3">
      <c r="A1938" t="s">
        <v>3823</v>
      </c>
      <c r="B1938" t="s">
        <v>3824</v>
      </c>
      <c r="C1938">
        <v>571.92999999999995</v>
      </c>
      <c r="D1938" s="1">
        <v>45189.739317129628</v>
      </c>
      <c r="E1938" t="s">
        <v>25</v>
      </c>
      <c r="F1938" t="s">
        <v>466</v>
      </c>
      <c r="G1938" t="s">
        <v>1330</v>
      </c>
      <c r="H1938" t="s">
        <v>2329</v>
      </c>
      <c r="I1938" t="s">
        <v>134</v>
      </c>
      <c r="J1938" t="s">
        <v>45</v>
      </c>
      <c r="K1938">
        <v>52</v>
      </c>
      <c r="L1938" t="s">
        <v>82</v>
      </c>
      <c r="M1938">
        <v>119</v>
      </c>
      <c r="N1938">
        <v>1</v>
      </c>
      <c r="O1938">
        <v>4026.03</v>
      </c>
      <c r="P1938" s="1">
        <v>45600.33798611111</v>
      </c>
      <c r="Q1938">
        <v>17</v>
      </c>
      <c r="R1938" t="s">
        <v>74</v>
      </c>
      <c r="S1938">
        <v>0.93968060337191095</v>
      </c>
      <c r="T1938" t="b">
        <v>0</v>
      </c>
      <c r="U1938" t="b">
        <v>0</v>
      </c>
      <c r="V1938" t="b">
        <f t="shared" si="60"/>
        <v>1</v>
      </c>
      <c r="W1938">
        <v>0</v>
      </c>
      <c r="Y1938">
        <f t="shared" si="61"/>
        <v>0</v>
      </c>
    </row>
    <row r="1939" spans="1:25" x14ac:dyDescent="0.3">
      <c r="A1939" t="s">
        <v>3825</v>
      </c>
      <c r="B1939" t="s">
        <v>2999</v>
      </c>
      <c r="C1939">
        <v>26.31</v>
      </c>
      <c r="D1939" s="1">
        <v>45149.693240740744</v>
      </c>
      <c r="E1939" t="s">
        <v>57</v>
      </c>
      <c r="F1939" t="s">
        <v>131</v>
      </c>
      <c r="G1939" t="s">
        <v>3826</v>
      </c>
      <c r="H1939" t="s">
        <v>212</v>
      </c>
      <c r="I1939" t="s">
        <v>178</v>
      </c>
      <c r="J1939" t="s">
        <v>45</v>
      </c>
      <c r="K1939">
        <v>77</v>
      </c>
      <c r="L1939" t="s">
        <v>82</v>
      </c>
      <c r="M1939">
        <v>163</v>
      </c>
      <c r="N1939">
        <v>1</v>
      </c>
      <c r="O1939">
        <v>7095.76</v>
      </c>
      <c r="P1939" s="1">
        <v>45600.338125000002</v>
      </c>
      <c r="Q1939">
        <v>16</v>
      </c>
      <c r="R1939" t="s">
        <v>54</v>
      </c>
      <c r="S1939">
        <v>-0.92922510227639799</v>
      </c>
      <c r="T1939" t="b">
        <v>0</v>
      </c>
      <c r="U1939" t="b">
        <v>0</v>
      </c>
      <c r="V1939" t="b">
        <f t="shared" si="60"/>
        <v>1</v>
      </c>
      <c r="W1939">
        <v>0</v>
      </c>
      <c r="Y1939">
        <f t="shared" si="61"/>
        <v>0</v>
      </c>
    </row>
    <row r="1940" spans="1:25" x14ac:dyDescent="0.3">
      <c r="A1940" t="s">
        <v>3827</v>
      </c>
      <c r="B1940" t="s">
        <v>1127</v>
      </c>
      <c r="C1940">
        <v>205.58</v>
      </c>
      <c r="D1940" s="1">
        <v>45154.742511574077</v>
      </c>
      <c r="E1940" t="s">
        <v>25</v>
      </c>
      <c r="F1940" t="s">
        <v>608</v>
      </c>
      <c r="G1940" t="s">
        <v>2136</v>
      </c>
      <c r="H1940" t="s">
        <v>1803</v>
      </c>
      <c r="I1940" t="s">
        <v>275</v>
      </c>
      <c r="J1940" t="s">
        <v>45</v>
      </c>
      <c r="K1940">
        <v>20</v>
      </c>
      <c r="L1940" t="s">
        <v>46</v>
      </c>
      <c r="M1940">
        <v>159</v>
      </c>
      <c r="N1940">
        <v>1</v>
      </c>
      <c r="O1940">
        <v>1501.95</v>
      </c>
      <c r="P1940" s="1">
        <v>45600.338831018518</v>
      </c>
      <c r="Q1940">
        <v>17</v>
      </c>
      <c r="R1940" t="s">
        <v>74</v>
      </c>
      <c r="S1940">
        <v>-0.315173700473729</v>
      </c>
      <c r="T1940" t="b">
        <v>0</v>
      </c>
      <c r="U1940" t="b">
        <v>0</v>
      </c>
      <c r="V1940" t="b">
        <f t="shared" si="60"/>
        <v>1</v>
      </c>
      <c r="W1940">
        <v>0</v>
      </c>
      <c r="Y1940">
        <f t="shared" si="61"/>
        <v>0</v>
      </c>
    </row>
    <row r="1941" spans="1:25" x14ac:dyDescent="0.3">
      <c r="A1941" t="s">
        <v>3828</v>
      </c>
      <c r="B1941" t="s">
        <v>794</v>
      </c>
      <c r="C1941">
        <v>533.61</v>
      </c>
      <c r="D1941" s="1">
        <v>45280.678599537037</v>
      </c>
      <c r="E1941" t="s">
        <v>25</v>
      </c>
      <c r="F1941" t="s">
        <v>41</v>
      </c>
      <c r="G1941" t="s">
        <v>2756</v>
      </c>
      <c r="H1941" t="s">
        <v>2188</v>
      </c>
      <c r="I1941" t="s">
        <v>182</v>
      </c>
      <c r="J1941" t="s">
        <v>45</v>
      </c>
      <c r="K1941">
        <v>48</v>
      </c>
      <c r="L1941" t="s">
        <v>89</v>
      </c>
      <c r="M1941">
        <v>115</v>
      </c>
      <c r="N1941">
        <v>1</v>
      </c>
      <c r="O1941">
        <v>3656.93</v>
      </c>
      <c r="P1941" s="1">
        <v>45600.341469907406</v>
      </c>
      <c r="Q1941">
        <v>16</v>
      </c>
      <c r="R1941" t="s">
        <v>74</v>
      </c>
      <c r="S1941">
        <v>0.80842356250016301</v>
      </c>
      <c r="T1941" t="b">
        <v>0</v>
      </c>
      <c r="U1941" t="b">
        <v>0</v>
      </c>
      <c r="V1941" t="b">
        <f t="shared" si="60"/>
        <v>1</v>
      </c>
      <c r="W1941">
        <v>0</v>
      </c>
      <c r="Y1941">
        <f t="shared" si="61"/>
        <v>0</v>
      </c>
    </row>
    <row r="1942" spans="1:25" x14ac:dyDescent="0.3">
      <c r="A1942" t="s">
        <v>3829</v>
      </c>
      <c r="B1942" t="s">
        <v>1525</v>
      </c>
      <c r="C1942">
        <v>428.62</v>
      </c>
      <c r="D1942" s="1">
        <v>45082.66810185185</v>
      </c>
      <c r="E1942" t="s">
        <v>25</v>
      </c>
      <c r="F1942" t="s">
        <v>50</v>
      </c>
      <c r="G1942" t="s">
        <v>148</v>
      </c>
      <c r="H1942" t="s">
        <v>3363</v>
      </c>
      <c r="I1942" t="s">
        <v>178</v>
      </c>
      <c r="J1942" t="s">
        <v>81</v>
      </c>
      <c r="K1942">
        <v>55</v>
      </c>
      <c r="L1942" t="s">
        <v>82</v>
      </c>
      <c r="M1942">
        <v>72</v>
      </c>
      <c r="N1942">
        <v>1</v>
      </c>
      <c r="O1942">
        <v>3473.24</v>
      </c>
      <c r="P1942" s="1">
        <v>45600.340555555558</v>
      </c>
      <c r="Q1942">
        <v>16</v>
      </c>
      <c r="R1942" t="s">
        <v>47</v>
      </c>
      <c r="S1942">
        <v>0.44880256247080902</v>
      </c>
      <c r="T1942" t="b">
        <v>0</v>
      </c>
      <c r="U1942" t="b">
        <v>0</v>
      </c>
      <c r="V1942" t="b">
        <f t="shared" si="60"/>
        <v>1</v>
      </c>
      <c r="W1942">
        <v>0</v>
      </c>
      <c r="Y1942">
        <f t="shared" si="61"/>
        <v>0</v>
      </c>
    </row>
    <row r="1943" spans="1:25" x14ac:dyDescent="0.3">
      <c r="A1943" t="s">
        <v>3830</v>
      </c>
      <c r="B1943" t="s">
        <v>1749</v>
      </c>
      <c r="C1943">
        <v>361.22</v>
      </c>
      <c r="D1943" s="1">
        <v>45033.749247685184</v>
      </c>
      <c r="E1943" t="s">
        <v>25</v>
      </c>
      <c r="F1943" t="s">
        <v>50</v>
      </c>
      <c r="G1943" t="s">
        <v>3831</v>
      </c>
      <c r="H1943" t="s">
        <v>270</v>
      </c>
      <c r="I1943" t="s">
        <v>178</v>
      </c>
      <c r="J1943" t="s">
        <v>30</v>
      </c>
      <c r="K1943">
        <v>64</v>
      </c>
      <c r="L1943" t="s">
        <v>82</v>
      </c>
      <c r="M1943">
        <v>167</v>
      </c>
      <c r="N1943">
        <v>1</v>
      </c>
      <c r="O1943">
        <v>7061.73</v>
      </c>
      <c r="P1943" s="1">
        <v>45600.340555555558</v>
      </c>
      <c r="Q1943">
        <v>17</v>
      </c>
      <c r="R1943" t="s">
        <v>47</v>
      </c>
      <c r="S1943">
        <v>0.21793814298344399</v>
      </c>
      <c r="T1943" t="b">
        <v>0</v>
      </c>
      <c r="U1943" t="b">
        <v>0</v>
      </c>
      <c r="V1943" t="b">
        <f t="shared" si="60"/>
        <v>1</v>
      </c>
      <c r="W1943">
        <v>0</v>
      </c>
      <c r="Y1943">
        <f t="shared" si="61"/>
        <v>0</v>
      </c>
    </row>
    <row r="1944" spans="1:25" x14ac:dyDescent="0.3">
      <c r="A1944" t="s">
        <v>3832</v>
      </c>
      <c r="B1944" t="s">
        <v>881</v>
      </c>
      <c r="C1944">
        <v>837.29</v>
      </c>
      <c r="D1944" s="1">
        <v>45257.676678240743</v>
      </c>
      <c r="E1944" t="s">
        <v>25</v>
      </c>
      <c r="F1944" t="s">
        <v>438</v>
      </c>
      <c r="G1944" t="s">
        <v>3200</v>
      </c>
      <c r="H1944" t="s">
        <v>1146</v>
      </c>
      <c r="I1944" t="s">
        <v>53</v>
      </c>
      <c r="J1944" t="s">
        <v>81</v>
      </c>
      <c r="K1944">
        <v>25</v>
      </c>
      <c r="L1944" t="s">
        <v>46</v>
      </c>
      <c r="M1944">
        <v>216</v>
      </c>
      <c r="N1944">
        <v>1</v>
      </c>
      <c r="O1944">
        <v>6012.67</v>
      </c>
      <c r="P1944" s="1">
        <v>45600.338333333333</v>
      </c>
      <c r="Q1944">
        <v>16</v>
      </c>
      <c r="R1944" t="s">
        <v>47</v>
      </c>
      <c r="S1944">
        <v>1.8486150596800299</v>
      </c>
      <c r="T1944" t="b">
        <v>0</v>
      </c>
      <c r="U1944" t="b">
        <v>0</v>
      </c>
      <c r="V1944" t="b">
        <f t="shared" si="60"/>
        <v>1</v>
      </c>
      <c r="W1944">
        <v>0</v>
      </c>
      <c r="Y1944">
        <f t="shared" si="61"/>
        <v>0</v>
      </c>
    </row>
    <row r="1945" spans="1:25" x14ac:dyDescent="0.3">
      <c r="A1945" t="s">
        <v>3833</v>
      </c>
      <c r="B1945" t="s">
        <v>1633</v>
      </c>
      <c r="C1945">
        <v>117.25</v>
      </c>
      <c r="D1945" s="1">
        <v>45019.691319444442</v>
      </c>
      <c r="E1945" t="s">
        <v>57</v>
      </c>
      <c r="F1945" t="s">
        <v>58</v>
      </c>
      <c r="G1945" t="s">
        <v>1282</v>
      </c>
      <c r="H1945" t="s">
        <v>1125</v>
      </c>
      <c r="I1945" t="s">
        <v>61</v>
      </c>
      <c r="J1945" t="s">
        <v>45</v>
      </c>
      <c r="K1945">
        <v>31</v>
      </c>
      <c r="L1945" t="s">
        <v>31</v>
      </c>
      <c r="M1945">
        <v>73</v>
      </c>
      <c r="N1945">
        <v>1</v>
      </c>
      <c r="O1945">
        <v>13694.68</v>
      </c>
      <c r="P1945" s="1">
        <v>45600.339224537034</v>
      </c>
      <c r="Q1945">
        <v>16</v>
      </c>
      <c r="R1945" t="s">
        <v>47</v>
      </c>
      <c r="S1945">
        <v>-0.617729400374603</v>
      </c>
      <c r="T1945" t="b">
        <v>0</v>
      </c>
      <c r="U1945" t="b">
        <v>0</v>
      </c>
      <c r="V1945" t="b">
        <f t="shared" si="60"/>
        <v>1</v>
      </c>
      <c r="W1945">
        <v>0</v>
      </c>
      <c r="Y1945">
        <f t="shared" si="61"/>
        <v>0</v>
      </c>
    </row>
    <row r="1946" spans="1:25" x14ac:dyDescent="0.3">
      <c r="A1946" t="s">
        <v>3834</v>
      </c>
      <c r="B1946" t="s">
        <v>1346</v>
      </c>
      <c r="C1946">
        <v>135.27000000000001</v>
      </c>
      <c r="D1946" s="1">
        <v>45148.678252314814</v>
      </c>
      <c r="E1946" t="s">
        <v>25</v>
      </c>
      <c r="F1946" t="s">
        <v>58</v>
      </c>
      <c r="G1946" t="s">
        <v>485</v>
      </c>
      <c r="H1946" t="s">
        <v>1832</v>
      </c>
      <c r="I1946" t="s">
        <v>1358</v>
      </c>
      <c r="J1946" t="s">
        <v>30</v>
      </c>
      <c r="K1946">
        <v>48</v>
      </c>
      <c r="L1946" t="s">
        <v>31</v>
      </c>
      <c r="M1946">
        <v>131</v>
      </c>
      <c r="N1946">
        <v>1</v>
      </c>
      <c r="O1946">
        <v>9410.51</v>
      </c>
      <c r="P1946" s="1">
        <v>45600.339953703704</v>
      </c>
      <c r="Q1946">
        <v>16</v>
      </c>
      <c r="R1946" t="s">
        <v>141</v>
      </c>
      <c r="S1946">
        <v>-0.55600570839890096</v>
      </c>
      <c r="T1946" t="b">
        <v>0</v>
      </c>
      <c r="U1946" t="b">
        <v>0</v>
      </c>
      <c r="V1946" t="b">
        <f t="shared" si="60"/>
        <v>1</v>
      </c>
      <c r="W1946">
        <v>0</v>
      </c>
      <c r="Y1946">
        <f t="shared" si="61"/>
        <v>0</v>
      </c>
    </row>
    <row r="1947" spans="1:25" x14ac:dyDescent="0.3">
      <c r="A1947" t="s">
        <v>3835</v>
      </c>
      <c r="B1947" t="s">
        <v>978</v>
      </c>
      <c r="C1947">
        <v>185.1</v>
      </c>
      <c r="D1947" s="1">
        <v>45146.681261574071</v>
      </c>
      <c r="E1947" t="s">
        <v>25</v>
      </c>
      <c r="F1947" t="s">
        <v>98</v>
      </c>
      <c r="G1947" t="s">
        <v>1439</v>
      </c>
      <c r="H1947" t="s">
        <v>1012</v>
      </c>
      <c r="I1947" t="s">
        <v>275</v>
      </c>
      <c r="J1947" t="s">
        <v>81</v>
      </c>
      <c r="K1947">
        <v>53</v>
      </c>
      <c r="L1947" t="s">
        <v>82</v>
      </c>
      <c r="M1947">
        <v>23</v>
      </c>
      <c r="N1947">
        <v>1</v>
      </c>
      <c r="O1947">
        <v>6115.63</v>
      </c>
      <c r="P1947" s="1">
        <v>45600.340752314813</v>
      </c>
      <c r="Q1947">
        <v>16</v>
      </c>
      <c r="R1947" t="s">
        <v>32</v>
      </c>
      <c r="S1947">
        <v>-0.38532360123190701</v>
      </c>
      <c r="T1947" t="b">
        <v>0</v>
      </c>
      <c r="U1947" t="b">
        <v>0</v>
      </c>
      <c r="V1947" t="b">
        <f t="shared" si="60"/>
        <v>1</v>
      </c>
      <c r="W1947">
        <v>0</v>
      </c>
      <c r="Y1947">
        <f t="shared" si="61"/>
        <v>0</v>
      </c>
    </row>
    <row r="1948" spans="1:25" x14ac:dyDescent="0.3">
      <c r="A1948" t="s">
        <v>3836</v>
      </c>
      <c r="B1948" t="s">
        <v>1180</v>
      </c>
      <c r="C1948">
        <v>113.54</v>
      </c>
      <c r="D1948" s="1">
        <v>45191.69636574074</v>
      </c>
      <c r="E1948" t="s">
        <v>25</v>
      </c>
      <c r="F1948" t="s">
        <v>137</v>
      </c>
      <c r="G1948" t="s">
        <v>1851</v>
      </c>
      <c r="H1948" t="s">
        <v>931</v>
      </c>
      <c r="I1948" t="s">
        <v>321</v>
      </c>
      <c r="J1948" t="s">
        <v>45</v>
      </c>
      <c r="K1948">
        <v>38</v>
      </c>
      <c r="L1948" t="s">
        <v>89</v>
      </c>
      <c r="M1948">
        <v>273</v>
      </c>
      <c r="N1948">
        <v>1</v>
      </c>
      <c r="O1948">
        <v>5581.21</v>
      </c>
      <c r="P1948" s="1">
        <v>45600.339409722219</v>
      </c>
      <c r="Q1948">
        <v>16</v>
      </c>
      <c r="R1948" t="s">
        <v>54</v>
      </c>
      <c r="S1948">
        <v>-0.63043721931077701</v>
      </c>
      <c r="T1948" t="b">
        <v>0</v>
      </c>
      <c r="U1948" t="b">
        <v>0</v>
      </c>
      <c r="V1948" t="b">
        <f t="shared" si="60"/>
        <v>1</v>
      </c>
      <c r="W1948">
        <v>0</v>
      </c>
      <c r="Y1948">
        <f t="shared" si="61"/>
        <v>0</v>
      </c>
    </row>
    <row r="1949" spans="1:25" x14ac:dyDescent="0.3">
      <c r="A1949" t="s">
        <v>3837</v>
      </c>
      <c r="B1949" t="s">
        <v>3019</v>
      </c>
      <c r="C1949">
        <v>354.96</v>
      </c>
      <c r="D1949" s="1">
        <v>45259.685856481483</v>
      </c>
      <c r="E1949" t="s">
        <v>25</v>
      </c>
      <c r="F1949" t="s">
        <v>170</v>
      </c>
      <c r="G1949" t="s">
        <v>211</v>
      </c>
      <c r="H1949" t="s">
        <v>2338</v>
      </c>
      <c r="I1949" t="s">
        <v>253</v>
      </c>
      <c r="J1949" t="s">
        <v>45</v>
      </c>
      <c r="K1949">
        <v>69</v>
      </c>
      <c r="L1949" t="s">
        <v>31</v>
      </c>
      <c r="M1949">
        <v>96</v>
      </c>
      <c r="N1949">
        <v>1</v>
      </c>
      <c r="O1949">
        <v>6712.94</v>
      </c>
      <c r="P1949" s="1">
        <v>45600.339108796295</v>
      </c>
      <c r="Q1949">
        <v>16</v>
      </c>
      <c r="R1949" t="s">
        <v>74</v>
      </c>
      <c r="S1949">
        <v>0.196495839333727</v>
      </c>
      <c r="T1949" t="b">
        <v>0</v>
      </c>
      <c r="U1949" t="b">
        <v>0</v>
      </c>
      <c r="V1949" t="b">
        <f t="shared" si="60"/>
        <v>1</v>
      </c>
      <c r="W1949">
        <v>0</v>
      </c>
      <c r="Y1949">
        <f t="shared" si="61"/>
        <v>0</v>
      </c>
    </row>
    <row r="1950" spans="1:25" x14ac:dyDescent="0.3">
      <c r="A1950" t="s">
        <v>3838</v>
      </c>
      <c r="B1950" t="s">
        <v>2694</v>
      </c>
      <c r="C1950">
        <v>224.22</v>
      </c>
      <c r="D1950" s="1">
        <v>44949.78125</v>
      </c>
      <c r="E1950" t="s">
        <v>25</v>
      </c>
      <c r="F1950" t="s">
        <v>571</v>
      </c>
      <c r="G1950" t="s">
        <v>1247</v>
      </c>
      <c r="H1950" t="s">
        <v>1461</v>
      </c>
      <c r="I1950" t="s">
        <v>585</v>
      </c>
      <c r="J1950" t="s">
        <v>81</v>
      </c>
      <c r="K1950">
        <v>53</v>
      </c>
      <c r="L1950" t="s">
        <v>31</v>
      </c>
      <c r="M1950">
        <v>37</v>
      </c>
      <c r="N1950">
        <v>1</v>
      </c>
      <c r="O1950">
        <v>8400.8700000000008</v>
      </c>
      <c r="P1950" s="1">
        <v>45600.341874999998</v>
      </c>
      <c r="Q1950">
        <v>18</v>
      </c>
      <c r="R1950" t="s">
        <v>47</v>
      </c>
      <c r="S1950">
        <v>-0.25132632986179299</v>
      </c>
      <c r="T1950" t="b">
        <v>0</v>
      </c>
      <c r="U1950" t="b">
        <v>0</v>
      </c>
      <c r="V1950" t="b">
        <f t="shared" si="60"/>
        <v>1</v>
      </c>
      <c r="W1950">
        <v>0</v>
      </c>
      <c r="Y1950">
        <f t="shared" si="61"/>
        <v>0</v>
      </c>
    </row>
    <row r="1951" spans="1:25" x14ac:dyDescent="0.3">
      <c r="A1951" t="s">
        <v>3839</v>
      </c>
      <c r="B1951" t="s">
        <v>2175</v>
      </c>
      <c r="C1951">
        <v>737.1</v>
      </c>
      <c r="D1951" s="1">
        <v>45126.674317129633</v>
      </c>
      <c r="E1951" t="s">
        <v>25</v>
      </c>
      <c r="F1951" t="s">
        <v>466</v>
      </c>
      <c r="G1951" t="s">
        <v>930</v>
      </c>
      <c r="H1951" t="s">
        <v>3074</v>
      </c>
      <c r="I1951" t="s">
        <v>431</v>
      </c>
      <c r="J1951" t="s">
        <v>30</v>
      </c>
      <c r="K1951">
        <v>60</v>
      </c>
      <c r="L1951" t="s">
        <v>82</v>
      </c>
      <c r="M1951">
        <v>92</v>
      </c>
      <c r="N1951">
        <v>1</v>
      </c>
      <c r="O1951">
        <v>4644.1899999999996</v>
      </c>
      <c r="P1951" s="1">
        <v>45600.341064814813</v>
      </c>
      <c r="Q1951">
        <v>16</v>
      </c>
      <c r="R1951" t="s">
        <v>74</v>
      </c>
      <c r="S1951">
        <v>1.50543544264087</v>
      </c>
      <c r="T1951" t="b">
        <v>0</v>
      </c>
      <c r="U1951" t="b">
        <v>0</v>
      </c>
      <c r="V1951" t="b">
        <f t="shared" si="60"/>
        <v>1</v>
      </c>
      <c r="W1951">
        <v>0</v>
      </c>
      <c r="Y1951">
        <f t="shared" si="61"/>
        <v>0</v>
      </c>
    </row>
    <row r="1952" spans="1:25" x14ac:dyDescent="0.3">
      <c r="A1952" t="s">
        <v>3840</v>
      </c>
      <c r="B1952" t="s">
        <v>634</v>
      </c>
      <c r="C1952">
        <v>223.22</v>
      </c>
      <c r="D1952" s="1">
        <v>45124.680868055555</v>
      </c>
      <c r="E1952" t="s">
        <v>25</v>
      </c>
      <c r="F1952" t="s">
        <v>170</v>
      </c>
      <c r="G1952" t="s">
        <v>288</v>
      </c>
      <c r="H1952" t="s">
        <v>2188</v>
      </c>
      <c r="I1952" t="s">
        <v>775</v>
      </c>
      <c r="J1952" t="s">
        <v>30</v>
      </c>
      <c r="K1952">
        <v>27</v>
      </c>
      <c r="L1952" t="s">
        <v>46</v>
      </c>
      <c r="M1952">
        <v>96</v>
      </c>
      <c r="N1952">
        <v>1</v>
      </c>
      <c r="O1952">
        <v>1734.22</v>
      </c>
      <c r="P1952" s="1">
        <v>45600.339062500003</v>
      </c>
      <c r="Q1952">
        <v>16</v>
      </c>
      <c r="R1952" t="s">
        <v>47</v>
      </c>
      <c r="S1952">
        <v>-0.25475161798475099</v>
      </c>
      <c r="T1952" t="b">
        <v>0</v>
      </c>
      <c r="U1952" t="b">
        <v>0</v>
      </c>
      <c r="V1952" t="b">
        <f t="shared" si="60"/>
        <v>1</v>
      </c>
      <c r="W1952">
        <v>0</v>
      </c>
      <c r="Y1952">
        <f t="shared" si="61"/>
        <v>0</v>
      </c>
    </row>
    <row r="1953" spans="1:25" x14ac:dyDescent="0.3">
      <c r="A1953" t="s">
        <v>3841</v>
      </c>
      <c r="B1953" t="s">
        <v>1203</v>
      </c>
      <c r="C1953">
        <v>557.26</v>
      </c>
      <c r="D1953" s="1">
        <v>45203.713159722225</v>
      </c>
      <c r="E1953" t="s">
        <v>25</v>
      </c>
      <c r="F1953" t="s">
        <v>236</v>
      </c>
      <c r="G1953" t="s">
        <v>2045</v>
      </c>
      <c r="H1953" t="s">
        <v>1865</v>
      </c>
      <c r="I1953" t="s">
        <v>605</v>
      </c>
      <c r="J1953" t="s">
        <v>30</v>
      </c>
      <c r="K1953">
        <v>69</v>
      </c>
      <c r="L1953" t="s">
        <v>31</v>
      </c>
      <c r="M1953">
        <v>53</v>
      </c>
      <c r="N1953">
        <v>1</v>
      </c>
      <c r="O1953">
        <v>5237.12</v>
      </c>
      <c r="P1953" s="1">
        <v>45600.340150462966</v>
      </c>
      <c r="Q1953">
        <v>17</v>
      </c>
      <c r="R1953" t="s">
        <v>74</v>
      </c>
      <c r="S1953">
        <v>0.88943162660811803</v>
      </c>
      <c r="T1953" t="b">
        <v>0</v>
      </c>
      <c r="U1953" t="b">
        <v>0</v>
      </c>
      <c r="V1953" t="b">
        <f t="shared" si="60"/>
        <v>1</v>
      </c>
      <c r="W1953">
        <v>0</v>
      </c>
      <c r="Y1953">
        <f t="shared" si="61"/>
        <v>0</v>
      </c>
    </row>
    <row r="1954" spans="1:25" x14ac:dyDescent="0.3">
      <c r="A1954" t="s">
        <v>3842</v>
      </c>
      <c r="B1954" t="s">
        <v>1648</v>
      </c>
      <c r="C1954">
        <v>1496.57</v>
      </c>
      <c r="D1954" s="1">
        <v>44984.679490740738</v>
      </c>
      <c r="E1954" t="s">
        <v>25</v>
      </c>
      <c r="F1954" t="s">
        <v>104</v>
      </c>
      <c r="G1954" t="s">
        <v>923</v>
      </c>
      <c r="H1954" t="s">
        <v>2078</v>
      </c>
      <c r="I1954" t="s">
        <v>199</v>
      </c>
      <c r="J1954" t="s">
        <v>45</v>
      </c>
      <c r="K1954">
        <v>33</v>
      </c>
      <c r="L1954" t="s">
        <v>89</v>
      </c>
      <c r="M1954">
        <v>95</v>
      </c>
      <c r="N1954">
        <v>1</v>
      </c>
      <c r="O1954">
        <v>969.06</v>
      </c>
      <c r="P1954" s="1">
        <v>45600.33792824074</v>
      </c>
      <c r="Q1954">
        <v>16</v>
      </c>
      <c r="R1954" t="s">
        <v>47</v>
      </c>
      <c r="S1954">
        <v>4.1068390133837402</v>
      </c>
      <c r="T1954" t="b">
        <v>1</v>
      </c>
      <c r="U1954" t="b">
        <v>0</v>
      </c>
      <c r="V1954" t="b">
        <f t="shared" si="60"/>
        <v>1</v>
      </c>
      <c r="W1954">
        <v>1</v>
      </c>
      <c r="Y1954">
        <f t="shared" si="61"/>
        <v>1</v>
      </c>
    </row>
    <row r="1955" spans="1:25" x14ac:dyDescent="0.3">
      <c r="A1955" t="s">
        <v>3843</v>
      </c>
      <c r="B1955" t="s">
        <v>729</v>
      </c>
      <c r="C1955">
        <v>27.44</v>
      </c>
      <c r="D1955" s="1">
        <v>45236.724803240744</v>
      </c>
      <c r="E1955" t="s">
        <v>25</v>
      </c>
      <c r="F1955" t="s">
        <v>401</v>
      </c>
      <c r="G1955" t="s">
        <v>1492</v>
      </c>
      <c r="H1955" t="s">
        <v>2997</v>
      </c>
      <c r="I1955" t="s">
        <v>112</v>
      </c>
      <c r="J1955" t="s">
        <v>30</v>
      </c>
      <c r="K1955">
        <v>62</v>
      </c>
      <c r="L1955" t="s">
        <v>82</v>
      </c>
      <c r="M1955">
        <v>164</v>
      </c>
      <c r="N1955">
        <v>1</v>
      </c>
      <c r="O1955">
        <v>5950.48</v>
      </c>
      <c r="P1955" s="1">
        <v>45600.339386574073</v>
      </c>
      <c r="Q1955">
        <v>17</v>
      </c>
      <c r="R1955" t="s">
        <v>47</v>
      </c>
      <c r="S1955">
        <v>-0.92535452669745599</v>
      </c>
      <c r="T1955" t="b">
        <v>0</v>
      </c>
      <c r="U1955" t="b">
        <v>0</v>
      </c>
      <c r="V1955" t="b">
        <f t="shared" si="60"/>
        <v>1</v>
      </c>
      <c r="W1955">
        <v>0</v>
      </c>
      <c r="Y1955">
        <f t="shared" si="61"/>
        <v>0</v>
      </c>
    </row>
    <row r="1956" spans="1:25" x14ac:dyDescent="0.3">
      <c r="A1956" t="s">
        <v>3844</v>
      </c>
      <c r="B1956" t="s">
        <v>2999</v>
      </c>
      <c r="C1956">
        <v>310.08999999999997</v>
      </c>
      <c r="D1956" s="1">
        <v>45254.70103009259</v>
      </c>
      <c r="E1956" t="s">
        <v>25</v>
      </c>
      <c r="F1956" t="s">
        <v>85</v>
      </c>
      <c r="G1956" t="s">
        <v>2021</v>
      </c>
      <c r="H1956" t="s">
        <v>3499</v>
      </c>
      <c r="I1956" t="s">
        <v>1537</v>
      </c>
      <c r="J1956" t="s">
        <v>81</v>
      </c>
      <c r="K1956">
        <v>36</v>
      </c>
      <c r="L1956" t="s">
        <v>31</v>
      </c>
      <c r="M1956">
        <v>166</v>
      </c>
      <c r="N1956">
        <v>1</v>
      </c>
      <c r="O1956">
        <v>9962.5</v>
      </c>
      <c r="P1956" s="1">
        <v>45600.340879629628</v>
      </c>
      <c r="Q1956">
        <v>16</v>
      </c>
      <c r="R1956" t="s">
        <v>54</v>
      </c>
      <c r="S1956">
        <v>4.2803161256605E-2</v>
      </c>
      <c r="T1956" t="b">
        <v>0</v>
      </c>
      <c r="U1956" t="b">
        <v>0</v>
      </c>
      <c r="V1956" t="b">
        <f t="shared" si="60"/>
        <v>1</v>
      </c>
      <c r="W1956">
        <v>0</v>
      </c>
      <c r="Y1956">
        <f t="shared" si="61"/>
        <v>0</v>
      </c>
    </row>
    <row r="1957" spans="1:25" x14ac:dyDescent="0.3">
      <c r="A1957" t="s">
        <v>3845</v>
      </c>
      <c r="B1957" t="s">
        <v>1891</v>
      </c>
      <c r="C1957">
        <v>80.38</v>
      </c>
      <c r="D1957" s="1">
        <v>44991.684629629628</v>
      </c>
      <c r="E1957" t="s">
        <v>25</v>
      </c>
      <c r="F1957" t="s">
        <v>304</v>
      </c>
      <c r="G1957" t="s">
        <v>1347</v>
      </c>
      <c r="H1957" t="s">
        <v>3070</v>
      </c>
      <c r="I1957" t="s">
        <v>344</v>
      </c>
      <c r="J1957" t="s">
        <v>45</v>
      </c>
      <c r="K1957">
        <v>52</v>
      </c>
      <c r="L1957" t="s">
        <v>31</v>
      </c>
      <c r="M1957">
        <v>116</v>
      </c>
      <c r="N1957">
        <v>1</v>
      </c>
      <c r="O1957">
        <v>9662.8799999999992</v>
      </c>
      <c r="P1957" s="1">
        <v>45600.340208333335</v>
      </c>
      <c r="Q1957">
        <v>16</v>
      </c>
      <c r="R1957" t="s">
        <v>47</v>
      </c>
      <c r="S1957">
        <v>-0.74401977346806303</v>
      </c>
      <c r="T1957" t="b">
        <v>0</v>
      </c>
      <c r="U1957" t="b">
        <v>0</v>
      </c>
      <c r="V1957" t="b">
        <f t="shared" si="60"/>
        <v>1</v>
      </c>
      <c r="W1957">
        <v>0</v>
      </c>
      <c r="Y1957">
        <f t="shared" si="61"/>
        <v>0</v>
      </c>
    </row>
    <row r="1958" spans="1:25" x14ac:dyDescent="0.3">
      <c r="A1958" t="s">
        <v>3846</v>
      </c>
      <c r="B1958" t="s">
        <v>1251</v>
      </c>
      <c r="C1958">
        <v>26.1</v>
      </c>
      <c r="D1958" s="1">
        <v>45261.739641203705</v>
      </c>
      <c r="E1958" t="s">
        <v>57</v>
      </c>
      <c r="F1958" t="s">
        <v>85</v>
      </c>
      <c r="G1958" t="s">
        <v>2883</v>
      </c>
      <c r="H1958" t="s">
        <v>3287</v>
      </c>
      <c r="I1958" t="s">
        <v>431</v>
      </c>
      <c r="J1958" t="s">
        <v>81</v>
      </c>
      <c r="K1958">
        <v>66</v>
      </c>
      <c r="L1958" t="s">
        <v>31</v>
      </c>
      <c r="M1958">
        <v>115</v>
      </c>
      <c r="N1958">
        <v>1</v>
      </c>
      <c r="O1958">
        <v>5243</v>
      </c>
      <c r="P1958" s="1">
        <v>45600.340555555558</v>
      </c>
      <c r="Q1958">
        <v>17</v>
      </c>
      <c r="R1958" t="s">
        <v>54</v>
      </c>
      <c r="S1958">
        <v>-0.92994441278221995</v>
      </c>
      <c r="T1958" t="b">
        <v>0</v>
      </c>
      <c r="U1958" t="b">
        <v>0</v>
      </c>
      <c r="V1958" t="b">
        <f t="shared" si="60"/>
        <v>1</v>
      </c>
      <c r="W1958">
        <v>0</v>
      </c>
      <c r="Y1958">
        <f t="shared" si="61"/>
        <v>0</v>
      </c>
    </row>
    <row r="1959" spans="1:25" x14ac:dyDescent="0.3">
      <c r="A1959" t="s">
        <v>3847</v>
      </c>
      <c r="B1959" t="s">
        <v>912</v>
      </c>
      <c r="C1959">
        <v>845.14</v>
      </c>
      <c r="D1959" s="1">
        <v>44935.681655092594</v>
      </c>
      <c r="E1959" t="s">
        <v>57</v>
      </c>
      <c r="F1959" t="s">
        <v>64</v>
      </c>
      <c r="G1959" t="s">
        <v>1237</v>
      </c>
      <c r="H1959" t="s">
        <v>895</v>
      </c>
      <c r="I1959" t="s">
        <v>620</v>
      </c>
      <c r="J1959" t="s">
        <v>81</v>
      </c>
      <c r="K1959">
        <v>73</v>
      </c>
      <c r="L1959" t="s">
        <v>82</v>
      </c>
      <c r="M1959">
        <v>183</v>
      </c>
      <c r="N1959">
        <v>1</v>
      </c>
      <c r="O1959">
        <v>1702.65</v>
      </c>
      <c r="P1959" s="1">
        <v>45600.341087962966</v>
      </c>
      <c r="Q1959">
        <v>16</v>
      </c>
      <c r="R1959" t="s">
        <v>47</v>
      </c>
      <c r="S1959">
        <v>1.8755035714452499</v>
      </c>
      <c r="T1959" t="b">
        <v>0</v>
      </c>
      <c r="U1959" t="b">
        <v>0</v>
      </c>
      <c r="V1959" t="b">
        <f t="shared" si="60"/>
        <v>1</v>
      </c>
      <c r="W1959">
        <v>0</v>
      </c>
      <c r="Y1959">
        <f t="shared" si="61"/>
        <v>0</v>
      </c>
    </row>
    <row r="1960" spans="1:25" x14ac:dyDescent="0.3">
      <c r="A1960" t="s">
        <v>3848</v>
      </c>
      <c r="B1960" t="s">
        <v>1098</v>
      </c>
      <c r="C1960">
        <v>59.73</v>
      </c>
      <c r="D1960" s="1">
        <v>45068.693506944444</v>
      </c>
      <c r="E1960" t="s">
        <v>25</v>
      </c>
      <c r="F1960" t="s">
        <v>571</v>
      </c>
      <c r="G1960" t="s">
        <v>2099</v>
      </c>
      <c r="H1960" t="s">
        <v>2774</v>
      </c>
      <c r="I1960" t="s">
        <v>73</v>
      </c>
      <c r="J1960" t="s">
        <v>30</v>
      </c>
      <c r="K1960">
        <v>27</v>
      </c>
      <c r="L1960" t="s">
        <v>46</v>
      </c>
      <c r="M1960">
        <v>56</v>
      </c>
      <c r="N1960">
        <v>1</v>
      </c>
      <c r="O1960">
        <v>800.93</v>
      </c>
      <c r="P1960" s="1">
        <v>45600.34039351852</v>
      </c>
      <c r="Q1960">
        <v>16</v>
      </c>
      <c r="R1960" t="s">
        <v>47</v>
      </c>
      <c r="S1960">
        <v>-0.81475197320714399</v>
      </c>
      <c r="T1960" t="b">
        <v>0</v>
      </c>
      <c r="U1960" t="b">
        <v>0</v>
      </c>
      <c r="V1960" t="b">
        <f t="shared" si="60"/>
        <v>1</v>
      </c>
      <c r="W1960">
        <v>0</v>
      </c>
      <c r="Y1960">
        <f t="shared" si="61"/>
        <v>0</v>
      </c>
    </row>
    <row r="1961" spans="1:25" x14ac:dyDescent="0.3">
      <c r="A1961" t="s">
        <v>3849</v>
      </c>
      <c r="B1961" t="s">
        <v>661</v>
      </c>
      <c r="C1961">
        <v>758.77</v>
      </c>
      <c r="D1961" s="1">
        <v>45100.675173611111</v>
      </c>
      <c r="E1961" t="s">
        <v>25</v>
      </c>
      <c r="F1961" t="s">
        <v>250</v>
      </c>
      <c r="G1961" t="s">
        <v>1148</v>
      </c>
      <c r="H1961" t="s">
        <v>3850</v>
      </c>
      <c r="I1961" t="s">
        <v>44</v>
      </c>
      <c r="J1961" t="s">
        <v>30</v>
      </c>
      <c r="K1961">
        <v>60</v>
      </c>
      <c r="L1961" t="s">
        <v>89</v>
      </c>
      <c r="M1961">
        <v>114</v>
      </c>
      <c r="N1961">
        <v>1</v>
      </c>
      <c r="O1961">
        <v>7231.47</v>
      </c>
      <c r="P1961" s="1">
        <v>45600.339166666665</v>
      </c>
      <c r="Q1961">
        <v>16</v>
      </c>
      <c r="R1961" t="s">
        <v>54</v>
      </c>
      <c r="S1961">
        <v>1.57966143626537</v>
      </c>
      <c r="T1961" t="b">
        <v>0</v>
      </c>
      <c r="U1961" t="b">
        <v>0</v>
      </c>
      <c r="V1961" t="b">
        <f t="shared" si="60"/>
        <v>1</v>
      </c>
      <c r="W1961">
        <v>0</v>
      </c>
      <c r="Y1961">
        <f t="shared" si="61"/>
        <v>0</v>
      </c>
    </row>
    <row r="1962" spans="1:25" x14ac:dyDescent="0.3">
      <c r="A1962" t="s">
        <v>3851</v>
      </c>
      <c r="B1962" t="s">
        <v>2538</v>
      </c>
      <c r="C1962">
        <v>301.51</v>
      </c>
      <c r="D1962" s="1">
        <v>44981.689965277779</v>
      </c>
      <c r="E1962" t="s">
        <v>25</v>
      </c>
      <c r="F1962" t="s">
        <v>262</v>
      </c>
      <c r="G1962" t="s">
        <v>3206</v>
      </c>
      <c r="H1962" t="s">
        <v>2536</v>
      </c>
      <c r="I1962" t="s">
        <v>561</v>
      </c>
      <c r="J1962" t="s">
        <v>30</v>
      </c>
      <c r="K1962">
        <v>22</v>
      </c>
      <c r="L1962" t="s">
        <v>46</v>
      </c>
      <c r="M1962">
        <v>284</v>
      </c>
      <c r="N1962">
        <v>1</v>
      </c>
      <c r="O1962">
        <v>1052.31</v>
      </c>
      <c r="P1962" s="1">
        <v>45600.34107638889</v>
      </c>
      <c r="Q1962">
        <v>16</v>
      </c>
      <c r="R1962" t="s">
        <v>54</v>
      </c>
      <c r="S1962">
        <v>1.34141891616259E-2</v>
      </c>
      <c r="T1962" t="b">
        <v>0</v>
      </c>
      <c r="U1962" t="b">
        <v>0</v>
      </c>
      <c r="V1962" t="b">
        <f t="shared" si="60"/>
        <v>1</v>
      </c>
      <c r="W1962">
        <v>0</v>
      </c>
      <c r="Y1962">
        <f t="shared" si="61"/>
        <v>0</v>
      </c>
    </row>
    <row r="1963" spans="1:25" x14ac:dyDescent="0.3">
      <c r="A1963" t="s">
        <v>3852</v>
      </c>
      <c r="B1963" t="s">
        <v>2016</v>
      </c>
      <c r="C1963">
        <v>418.03</v>
      </c>
      <c r="D1963" s="1">
        <v>45173.740740740737</v>
      </c>
      <c r="E1963" t="s">
        <v>25</v>
      </c>
      <c r="F1963" t="s">
        <v>131</v>
      </c>
      <c r="G1963" t="s">
        <v>1336</v>
      </c>
      <c r="H1963" t="s">
        <v>2286</v>
      </c>
      <c r="I1963" t="s">
        <v>280</v>
      </c>
      <c r="J1963" t="s">
        <v>45</v>
      </c>
      <c r="K1963">
        <v>58</v>
      </c>
      <c r="L1963" t="s">
        <v>31</v>
      </c>
      <c r="M1963">
        <v>161</v>
      </c>
      <c r="N1963">
        <v>1</v>
      </c>
      <c r="O1963">
        <v>10721.29</v>
      </c>
      <c r="P1963" s="1">
        <v>45600.339386574073</v>
      </c>
      <c r="Q1963">
        <v>17</v>
      </c>
      <c r="R1963" t="s">
        <v>47</v>
      </c>
      <c r="S1963">
        <v>0.41252876124868498</v>
      </c>
      <c r="T1963" t="b">
        <v>0</v>
      </c>
      <c r="U1963" t="b">
        <v>0</v>
      </c>
      <c r="V1963" t="b">
        <f t="shared" si="60"/>
        <v>1</v>
      </c>
      <c r="W1963">
        <v>0</v>
      </c>
      <c r="Y1963">
        <f t="shared" si="61"/>
        <v>0</v>
      </c>
    </row>
    <row r="1964" spans="1:25" x14ac:dyDescent="0.3">
      <c r="A1964" t="s">
        <v>3853</v>
      </c>
      <c r="B1964" t="s">
        <v>346</v>
      </c>
      <c r="C1964">
        <v>118.06</v>
      </c>
      <c r="D1964" s="1">
        <v>45070.713854166665</v>
      </c>
      <c r="E1964" t="s">
        <v>57</v>
      </c>
      <c r="F1964" t="s">
        <v>159</v>
      </c>
      <c r="G1964" t="s">
        <v>1828</v>
      </c>
      <c r="H1964" t="s">
        <v>355</v>
      </c>
      <c r="I1964" t="s">
        <v>997</v>
      </c>
      <c r="J1964" t="s">
        <v>81</v>
      </c>
      <c r="K1964">
        <v>32</v>
      </c>
      <c r="L1964" t="s">
        <v>31</v>
      </c>
      <c r="M1964">
        <v>31</v>
      </c>
      <c r="N1964">
        <v>1</v>
      </c>
      <c r="O1964">
        <v>13560.63</v>
      </c>
      <c r="P1964" s="1">
        <v>45600.338310185187</v>
      </c>
      <c r="Q1964">
        <v>17</v>
      </c>
      <c r="R1964" t="s">
        <v>74</v>
      </c>
      <c r="S1964">
        <v>-0.61495491699500704</v>
      </c>
      <c r="T1964" t="b">
        <v>0</v>
      </c>
      <c r="U1964" t="b">
        <v>0</v>
      </c>
      <c r="V1964" t="b">
        <f t="shared" si="60"/>
        <v>1</v>
      </c>
      <c r="W1964">
        <v>0</v>
      </c>
      <c r="Y1964">
        <f t="shared" si="61"/>
        <v>0</v>
      </c>
    </row>
    <row r="1965" spans="1:25" x14ac:dyDescent="0.3">
      <c r="A1965" t="s">
        <v>3854</v>
      </c>
      <c r="B1965" t="s">
        <v>447</v>
      </c>
      <c r="C1965">
        <v>483.92</v>
      </c>
      <c r="D1965" s="1">
        <v>45215.789930555555</v>
      </c>
      <c r="E1965" t="s">
        <v>25</v>
      </c>
      <c r="F1965" t="s">
        <v>216</v>
      </c>
      <c r="G1965" t="s">
        <v>186</v>
      </c>
      <c r="H1965" t="s">
        <v>3360</v>
      </c>
      <c r="I1965" t="s">
        <v>199</v>
      </c>
      <c r="J1965" t="s">
        <v>30</v>
      </c>
      <c r="K1965">
        <v>70</v>
      </c>
      <c r="L1965" t="s">
        <v>82</v>
      </c>
      <c r="M1965">
        <v>115</v>
      </c>
      <c r="N1965">
        <v>1</v>
      </c>
      <c r="O1965">
        <v>3138</v>
      </c>
      <c r="P1965" s="1">
        <v>45600.338182870371</v>
      </c>
      <c r="Q1965">
        <v>18</v>
      </c>
      <c r="R1965" t="s">
        <v>47</v>
      </c>
      <c r="S1965">
        <v>0.63822099567038304</v>
      </c>
      <c r="T1965" t="b">
        <v>0</v>
      </c>
      <c r="U1965" t="b">
        <v>0</v>
      </c>
      <c r="V1965" t="b">
        <f t="shared" si="60"/>
        <v>1</v>
      </c>
      <c r="W1965">
        <v>0</v>
      </c>
      <c r="Y1965">
        <f t="shared" si="61"/>
        <v>0</v>
      </c>
    </row>
    <row r="1966" spans="1:25" x14ac:dyDescent="0.3">
      <c r="A1966" t="s">
        <v>3855</v>
      </c>
      <c r="B1966" t="s">
        <v>897</v>
      </c>
      <c r="C1966">
        <v>78.930000000000007</v>
      </c>
      <c r="D1966" s="1">
        <v>44974.695497685185</v>
      </c>
      <c r="E1966" t="s">
        <v>25</v>
      </c>
      <c r="F1966" t="s">
        <v>41</v>
      </c>
      <c r="G1966" t="s">
        <v>1375</v>
      </c>
      <c r="H1966" t="s">
        <v>2144</v>
      </c>
      <c r="I1966" t="s">
        <v>527</v>
      </c>
      <c r="J1966" t="s">
        <v>30</v>
      </c>
      <c r="K1966">
        <v>38</v>
      </c>
      <c r="L1966" t="s">
        <v>31</v>
      </c>
      <c r="M1966">
        <v>145</v>
      </c>
      <c r="N1966">
        <v>1</v>
      </c>
      <c r="O1966">
        <v>9916.24</v>
      </c>
      <c r="P1966" s="1">
        <v>45600.341863425929</v>
      </c>
      <c r="Q1966">
        <v>16</v>
      </c>
      <c r="R1966" t="s">
        <v>54</v>
      </c>
      <c r="S1966">
        <v>-0.74898644124635205</v>
      </c>
      <c r="T1966" t="b">
        <v>0</v>
      </c>
      <c r="U1966" t="b">
        <v>0</v>
      </c>
      <c r="V1966" t="b">
        <f t="shared" si="60"/>
        <v>1</v>
      </c>
      <c r="W1966">
        <v>0</v>
      </c>
      <c r="Y1966">
        <f t="shared" si="61"/>
        <v>0</v>
      </c>
    </row>
    <row r="1967" spans="1:25" x14ac:dyDescent="0.3">
      <c r="A1967" t="s">
        <v>3856</v>
      </c>
      <c r="B1967" t="s">
        <v>1280</v>
      </c>
      <c r="C1967">
        <v>36.630000000000003</v>
      </c>
      <c r="D1967" s="1">
        <v>45050.710358796299</v>
      </c>
      <c r="E1967" t="s">
        <v>25</v>
      </c>
      <c r="F1967" t="s">
        <v>185</v>
      </c>
      <c r="G1967" t="s">
        <v>1872</v>
      </c>
      <c r="H1967" t="s">
        <v>2038</v>
      </c>
      <c r="I1967" t="s">
        <v>222</v>
      </c>
      <c r="J1967" t="s">
        <v>30</v>
      </c>
      <c r="K1967">
        <v>75</v>
      </c>
      <c r="L1967" t="s">
        <v>82</v>
      </c>
      <c r="M1967">
        <v>261</v>
      </c>
      <c r="N1967">
        <v>1</v>
      </c>
      <c r="O1967">
        <v>7941.73</v>
      </c>
      <c r="P1967" s="1">
        <v>45600.338599537034</v>
      </c>
      <c r="Q1967">
        <v>17</v>
      </c>
      <c r="R1967" t="s">
        <v>141</v>
      </c>
      <c r="S1967">
        <v>-0.89387612884747203</v>
      </c>
      <c r="T1967" t="b">
        <v>0</v>
      </c>
      <c r="U1967" t="b">
        <v>0</v>
      </c>
      <c r="V1967" t="b">
        <f t="shared" si="60"/>
        <v>1</v>
      </c>
      <c r="W1967">
        <v>0</v>
      </c>
      <c r="Y1967">
        <f t="shared" si="61"/>
        <v>0</v>
      </c>
    </row>
    <row r="1968" spans="1:25" x14ac:dyDescent="0.3">
      <c r="A1968" t="s">
        <v>3857</v>
      </c>
      <c r="B1968" t="s">
        <v>1453</v>
      </c>
      <c r="C1968">
        <v>87.85</v>
      </c>
      <c r="D1968" s="1">
        <v>45273.726319444446</v>
      </c>
      <c r="E1968" t="s">
        <v>25</v>
      </c>
      <c r="F1968" t="s">
        <v>534</v>
      </c>
      <c r="G1968" t="s">
        <v>3858</v>
      </c>
      <c r="H1968" t="s">
        <v>916</v>
      </c>
      <c r="I1968" t="s">
        <v>632</v>
      </c>
      <c r="J1968" t="s">
        <v>81</v>
      </c>
      <c r="K1968">
        <v>49</v>
      </c>
      <c r="L1968" t="s">
        <v>89</v>
      </c>
      <c r="M1968">
        <v>63</v>
      </c>
      <c r="N1968">
        <v>1</v>
      </c>
      <c r="O1968">
        <v>3753.24</v>
      </c>
      <c r="P1968" s="1">
        <v>45600.338379629633</v>
      </c>
      <c r="Q1968">
        <v>17</v>
      </c>
      <c r="R1968" t="s">
        <v>74</v>
      </c>
      <c r="S1968">
        <v>-0.718432871189567</v>
      </c>
      <c r="T1968" t="b">
        <v>0</v>
      </c>
      <c r="U1968" t="b">
        <v>0</v>
      </c>
      <c r="V1968" t="b">
        <f t="shared" si="60"/>
        <v>1</v>
      </c>
      <c r="W1968">
        <v>0</v>
      </c>
      <c r="Y1968">
        <f t="shared" si="61"/>
        <v>0</v>
      </c>
    </row>
    <row r="1969" spans="1:25" x14ac:dyDescent="0.3">
      <c r="A1969" t="s">
        <v>3859</v>
      </c>
      <c r="B1969" t="s">
        <v>642</v>
      </c>
      <c r="C1969">
        <v>1001.83</v>
      </c>
      <c r="D1969" s="1">
        <v>45124.740347222221</v>
      </c>
      <c r="E1969" t="s">
        <v>25</v>
      </c>
      <c r="F1969" t="s">
        <v>256</v>
      </c>
      <c r="G1969" t="s">
        <v>1502</v>
      </c>
      <c r="H1969" t="s">
        <v>3499</v>
      </c>
      <c r="I1969" t="s">
        <v>280</v>
      </c>
      <c r="J1969" t="s">
        <v>45</v>
      </c>
      <c r="K1969">
        <v>31</v>
      </c>
      <c r="L1969" t="s">
        <v>31</v>
      </c>
      <c r="M1969">
        <v>55</v>
      </c>
      <c r="N1969">
        <v>1</v>
      </c>
      <c r="O1969">
        <v>9733.83</v>
      </c>
      <c r="P1969" s="1">
        <v>45600.341469907406</v>
      </c>
      <c r="Q1969">
        <v>17</v>
      </c>
      <c r="R1969" t="s">
        <v>47</v>
      </c>
      <c r="S1969">
        <v>2.4122119674315301</v>
      </c>
      <c r="T1969" t="b">
        <v>1</v>
      </c>
      <c r="U1969" t="b">
        <v>0</v>
      </c>
      <c r="V1969" t="b">
        <f t="shared" si="60"/>
        <v>1</v>
      </c>
      <c r="W1969">
        <v>1</v>
      </c>
      <c r="Y1969">
        <f t="shared" si="61"/>
        <v>1</v>
      </c>
    </row>
    <row r="1970" spans="1:25" x14ac:dyDescent="0.3">
      <c r="A1970" t="s">
        <v>3860</v>
      </c>
      <c r="B1970" t="s">
        <v>2815</v>
      </c>
      <c r="C1970">
        <v>705.34</v>
      </c>
      <c r="D1970" s="1">
        <v>45181.786759259259</v>
      </c>
      <c r="E1970" t="s">
        <v>25</v>
      </c>
      <c r="F1970" t="s">
        <v>466</v>
      </c>
      <c r="G1970" t="s">
        <v>3861</v>
      </c>
      <c r="H1970" t="s">
        <v>615</v>
      </c>
      <c r="I1970" t="s">
        <v>620</v>
      </c>
      <c r="J1970" t="s">
        <v>45</v>
      </c>
      <c r="K1970">
        <v>59</v>
      </c>
      <c r="L1970" t="s">
        <v>31</v>
      </c>
      <c r="M1970">
        <v>124</v>
      </c>
      <c r="N1970">
        <v>1</v>
      </c>
      <c r="O1970">
        <v>5003.22</v>
      </c>
      <c r="P1970" s="1">
        <v>45600.341874999998</v>
      </c>
      <c r="Q1970">
        <v>18</v>
      </c>
      <c r="R1970" t="s">
        <v>32</v>
      </c>
      <c r="S1970">
        <v>1.3966482918557299</v>
      </c>
      <c r="T1970" t="b">
        <v>0</v>
      </c>
      <c r="U1970" t="b">
        <v>0</v>
      </c>
      <c r="V1970" t="b">
        <f t="shared" si="60"/>
        <v>1</v>
      </c>
      <c r="W1970">
        <v>0</v>
      </c>
      <c r="Y1970">
        <f t="shared" si="61"/>
        <v>0</v>
      </c>
    </row>
    <row r="1971" spans="1:25" x14ac:dyDescent="0.3">
      <c r="A1971" t="s">
        <v>3862</v>
      </c>
      <c r="B1971" t="s">
        <v>1157</v>
      </c>
      <c r="C1971">
        <v>146.55000000000001</v>
      </c>
      <c r="D1971" s="1">
        <v>45141.774930555555</v>
      </c>
      <c r="E1971" t="s">
        <v>25</v>
      </c>
      <c r="F1971" t="s">
        <v>314</v>
      </c>
      <c r="G1971" t="s">
        <v>2222</v>
      </c>
      <c r="H1971" t="s">
        <v>1077</v>
      </c>
      <c r="I1971" t="s">
        <v>53</v>
      </c>
      <c r="J1971" t="s">
        <v>45</v>
      </c>
      <c r="K1971">
        <v>54</v>
      </c>
      <c r="L1971" t="s">
        <v>82</v>
      </c>
      <c r="M1971">
        <v>124</v>
      </c>
      <c r="N1971">
        <v>5</v>
      </c>
      <c r="O1971">
        <v>4087.44</v>
      </c>
      <c r="P1971" s="1">
        <v>45600.338634259257</v>
      </c>
      <c r="Q1971">
        <v>18</v>
      </c>
      <c r="R1971" t="s">
        <v>141</v>
      </c>
      <c r="S1971">
        <v>-0.51736845837193601</v>
      </c>
      <c r="T1971" t="b">
        <v>0</v>
      </c>
      <c r="U1971" t="b">
        <v>1</v>
      </c>
      <c r="V1971" t="b">
        <f t="shared" si="60"/>
        <v>1</v>
      </c>
      <c r="W1971">
        <v>1</v>
      </c>
      <c r="Y1971">
        <f t="shared" si="61"/>
        <v>0</v>
      </c>
    </row>
    <row r="1972" spans="1:25" x14ac:dyDescent="0.3">
      <c r="A1972" t="s">
        <v>3863</v>
      </c>
      <c r="B1972" t="s">
        <v>856</v>
      </c>
      <c r="C1972">
        <v>116.89</v>
      </c>
      <c r="D1972" s="1">
        <v>45250.688368055555</v>
      </c>
      <c r="E1972" t="s">
        <v>25</v>
      </c>
      <c r="F1972" t="s">
        <v>137</v>
      </c>
      <c r="G1972" t="s">
        <v>3383</v>
      </c>
      <c r="H1972" t="s">
        <v>3074</v>
      </c>
      <c r="I1972" t="s">
        <v>344</v>
      </c>
      <c r="J1972" t="s">
        <v>45</v>
      </c>
      <c r="K1972">
        <v>71</v>
      </c>
      <c r="L1972" t="s">
        <v>82</v>
      </c>
      <c r="M1972">
        <v>226</v>
      </c>
      <c r="N1972">
        <v>1</v>
      </c>
      <c r="O1972">
        <v>4880.3100000000004</v>
      </c>
      <c r="P1972" s="1">
        <v>45600.33792824074</v>
      </c>
      <c r="Q1972">
        <v>16</v>
      </c>
      <c r="R1972" t="s">
        <v>47</v>
      </c>
      <c r="S1972">
        <v>-0.61896250409886799</v>
      </c>
      <c r="T1972" t="b">
        <v>0</v>
      </c>
      <c r="U1972" t="b">
        <v>0</v>
      </c>
      <c r="V1972" t="b">
        <f t="shared" si="60"/>
        <v>1</v>
      </c>
      <c r="W1972">
        <v>0</v>
      </c>
      <c r="Y1972">
        <f t="shared" si="61"/>
        <v>0</v>
      </c>
    </row>
    <row r="1973" spans="1:25" x14ac:dyDescent="0.3">
      <c r="A1973" t="s">
        <v>3864</v>
      </c>
      <c r="B1973" t="s">
        <v>2221</v>
      </c>
      <c r="C1973">
        <v>106.41</v>
      </c>
      <c r="D1973" s="1">
        <v>44942.692754629628</v>
      </c>
      <c r="E1973" t="s">
        <v>25</v>
      </c>
      <c r="F1973" t="s">
        <v>153</v>
      </c>
      <c r="G1973" t="s">
        <v>1307</v>
      </c>
      <c r="H1973" t="s">
        <v>1616</v>
      </c>
      <c r="I1973" t="s">
        <v>383</v>
      </c>
      <c r="J1973" t="s">
        <v>81</v>
      </c>
      <c r="K1973">
        <v>57</v>
      </c>
      <c r="L1973" t="s">
        <v>82</v>
      </c>
      <c r="M1973">
        <v>87</v>
      </c>
      <c r="N1973">
        <v>1</v>
      </c>
      <c r="O1973">
        <v>1310.3800000000001</v>
      </c>
      <c r="P1973" s="1">
        <v>45600.338206018518</v>
      </c>
      <c r="Q1973">
        <v>16</v>
      </c>
      <c r="R1973" t="s">
        <v>47</v>
      </c>
      <c r="S1973">
        <v>-0.65485952362746702</v>
      </c>
      <c r="T1973" t="b">
        <v>0</v>
      </c>
      <c r="U1973" t="b">
        <v>0</v>
      </c>
      <c r="V1973" t="b">
        <f t="shared" si="60"/>
        <v>1</v>
      </c>
      <c r="W1973">
        <v>0</v>
      </c>
      <c r="Y1973">
        <f t="shared" si="61"/>
        <v>0</v>
      </c>
    </row>
    <row r="1974" spans="1:25" x14ac:dyDescent="0.3">
      <c r="A1974" t="s">
        <v>3865</v>
      </c>
      <c r="B1974" t="s">
        <v>255</v>
      </c>
      <c r="C1974">
        <v>1087.9000000000001</v>
      </c>
      <c r="D1974" s="1">
        <v>45012.754363425927</v>
      </c>
      <c r="E1974" t="s">
        <v>25</v>
      </c>
      <c r="F1974" t="s">
        <v>401</v>
      </c>
      <c r="G1974" t="s">
        <v>1571</v>
      </c>
      <c r="H1974" t="s">
        <v>1328</v>
      </c>
      <c r="I1974" t="s">
        <v>213</v>
      </c>
      <c r="J1974" t="s">
        <v>30</v>
      </c>
      <c r="K1974">
        <v>78</v>
      </c>
      <c r="L1974" t="s">
        <v>82</v>
      </c>
      <c r="M1974">
        <v>103</v>
      </c>
      <c r="N1974">
        <v>1</v>
      </c>
      <c r="O1974">
        <v>2513.5100000000002</v>
      </c>
      <c r="P1974" s="1">
        <v>45600.34171296296</v>
      </c>
      <c r="Q1974">
        <v>18</v>
      </c>
      <c r="R1974" t="s">
        <v>47</v>
      </c>
      <c r="S1974">
        <v>2.7070265161745199</v>
      </c>
      <c r="T1974" t="b">
        <v>1</v>
      </c>
      <c r="U1974" t="b">
        <v>0</v>
      </c>
      <c r="V1974" t="b">
        <f t="shared" si="60"/>
        <v>1</v>
      </c>
      <c r="W1974">
        <v>1</v>
      </c>
      <c r="Y1974">
        <f t="shared" si="61"/>
        <v>1</v>
      </c>
    </row>
    <row r="1975" spans="1:25" x14ac:dyDescent="0.3">
      <c r="A1975" t="s">
        <v>3866</v>
      </c>
      <c r="B1975" t="s">
        <v>1582</v>
      </c>
      <c r="C1975">
        <v>584.41</v>
      </c>
      <c r="D1975" s="1">
        <v>44928.702627314815</v>
      </c>
      <c r="E1975" t="s">
        <v>25</v>
      </c>
      <c r="F1975" t="s">
        <v>159</v>
      </c>
      <c r="G1975" t="s">
        <v>3107</v>
      </c>
      <c r="H1975" t="s">
        <v>1047</v>
      </c>
      <c r="I1975" t="s">
        <v>280</v>
      </c>
      <c r="J1975" t="s">
        <v>30</v>
      </c>
      <c r="K1975">
        <v>23</v>
      </c>
      <c r="L1975" t="s">
        <v>46</v>
      </c>
      <c r="M1975">
        <v>41</v>
      </c>
      <c r="N1975">
        <v>1</v>
      </c>
      <c r="O1975">
        <v>4475.22</v>
      </c>
      <c r="P1975" s="1">
        <v>45600.341307870367</v>
      </c>
      <c r="Q1975">
        <v>16</v>
      </c>
      <c r="R1975" t="s">
        <v>47</v>
      </c>
      <c r="S1975">
        <v>0.98242819914642598</v>
      </c>
      <c r="T1975" t="b">
        <v>0</v>
      </c>
      <c r="U1975" t="b">
        <v>0</v>
      </c>
      <c r="V1975" t="b">
        <f t="shared" si="60"/>
        <v>1</v>
      </c>
      <c r="W1975">
        <v>0</v>
      </c>
      <c r="Y1975">
        <f t="shared" si="61"/>
        <v>0</v>
      </c>
    </row>
    <row r="1976" spans="1:25" x14ac:dyDescent="0.3">
      <c r="A1976" t="s">
        <v>3867</v>
      </c>
      <c r="B1976" t="s">
        <v>3868</v>
      </c>
      <c r="C1976">
        <v>584.98</v>
      </c>
      <c r="D1976" s="1">
        <v>45089.684282407405</v>
      </c>
      <c r="E1976" t="s">
        <v>57</v>
      </c>
      <c r="F1976" t="s">
        <v>278</v>
      </c>
      <c r="G1976" t="s">
        <v>1653</v>
      </c>
      <c r="H1976" t="s">
        <v>1966</v>
      </c>
      <c r="I1976" t="s">
        <v>495</v>
      </c>
      <c r="J1976" t="s">
        <v>81</v>
      </c>
      <c r="K1976">
        <v>55</v>
      </c>
      <c r="L1976" t="s">
        <v>82</v>
      </c>
      <c r="M1976">
        <v>121</v>
      </c>
      <c r="N1976">
        <v>1</v>
      </c>
      <c r="O1976">
        <v>6521.05</v>
      </c>
      <c r="P1976" s="1">
        <v>45600.338877314818</v>
      </c>
      <c r="Q1976">
        <v>16</v>
      </c>
      <c r="R1976" t="s">
        <v>47</v>
      </c>
      <c r="S1976">
        <v>0.98438061337651295</v>
      </c>
      <c r="T1976" t="b">
        <v>0</v>
      </c>
      <c r="U1976" t="b">
        <v>0</v>
      </c>
      <c r="V1976" t="b">
        <f t="shared" si="60"/>
        <v>1</v>
      </c>
      <c r="W1976">
        <v>0</v>
      </c>
      <c r="Y1976">
        <f t="shared" si="61"/>
        <v>0</v>
      </c>
    </row>
    <row r="1977" spans="1:25" x14ac:dyDescent="0.3">
      <c r="A1977" t="s">
        <v>3869</v>
      </c>
      <c r="B1977" t="s">
        <v>1022</v>
      </c>
      <c r="C1977">
        <v>79.209999999999994</v>
      </c>
      <c r="D1977" s="1">
        <v>45254.744837962964</v>
      </c>
      <c r="E1977" t="s">
        <v>25</v>
      </c>
      <c r="F1977" t="s">
        <v>534</v>
      </c>
      <c r="G1977" t="s">
        <v>875</v>
      </c>
      <c r="H1977" t="s">
        <v>3870</v>
      </c>
      <c r="I1977" t="s">
        <v>301</v>
      </c>
      <c r="J1977" t="s">
        <v>81</v>
      </c>
      <c r="K1977">
        <v>56</v>
      </c>
      <c r="L1977" t="s">
        <v>82</v>
      </c>
      <c r="M1977">
        <v>140</v>
      </c>
      <c r="N1977">
        <v>1</v>
      </c>
      <c r="O1977">
        <v>1615.04</v>
      </c>
      <c r="P1977" s="1">
        <v>45600.338206018518</v>
      </c>
      <c r="Q1977">
        <v>17</v>
      </c>
      <c r="R1977" t="s">
        <v>54</v>
      </c>
      <c r="S1977">
        <v>-0.74802736057192398</v>
      </c>
      <c r="T1977" t="b">
        <v>0</v>
      </c>
      <c r="U1977" t="b">
        <v>0</v>
      </c>
      <c r="V1977" t="b">
        <f t="shared" si="60"/>
        <v>1</v>
      </c>
      <c r="W1977">
        <v>0</v>
      </c>
      <c r="Y1977">
        <f t="shared" si="61"/>
        <v>0</v>
      </c>
    </row>
    <row r="1978" spans="1:25" x14ac:dyDescent="0.3">
      <c r="A1978" t="s">
        <v>3871</v>
      </c>
      <c r="B1978" t="s">
        <v>922</v>
      </c>
      <c r="C1978">
        <v>173.13</v>
      </c>
      <c r="D1978" s="1">
        <v>45204.698969907404</v>
      </c>
      <c r="E1978" t="s">
        <v>57</v>
      </c>
      <c r="F1978" t="s">
        <v>58</v>
      </c>
      <c r="G1978" t="s">
        <v>979</v>
      </c>
      <c r="H1978" t="s">
        <v>2338</v>
      </c>
      <c r="I1978" t="s">
        <v>265</v>
      </c>
      <c r="J1978" t="s">
        <v>45</v>
      </c>
      <c r="K1978">
        <v>20</v>
      </c>
      <c r="L1978" t="s">
        <v>46</v>
      </c>
      <c r="M1978">
        <v>288</v>
      </c>
      <c r="N1978">
        <v>1</v>
      </c>
      <c r="O1978">
        <v>1490.34</v>
      </c>
      <c r="P1978" s="1">
        <v>45600.338472222225</v>
      </c>
      <c r="Q1978">
        <v>16</v>
      </c>
      <c r="R1978" t="s">
        <v>141</v>
      </c>
      <c r="S1978">
        <v>-0.42632430006371402</v>
      </c>
      <c r="T1978" t="b">
        <v>0</v>
      </c>
      <c r="U1978" t="b">
        <v>0</v>
      </c>
      <c r="V1978" t="b">
        <f t="shared" si="60"/>
        <v>1</v>
      </c>
      <c r="W1978">
        <v>0</v>
      </c>
      <c r="Y1978">
        <f t="shared" si="61"/>
        <v>0</v>
      </c>
    </row>
    <row r="1979" spans="1:25" x14ac:dyDescent="0.3">
      <c r="A1979" t="s">
        <v>3872</v>
      </c>
      <c r="B1979" t="s">
        <v>3345</v>
      </c>
      <c r="C1979">
        <v>335.7</v>
      </c>
      <c r="D1979" s="1">
        <v>44956.741446759261</v>
      </c>
      <c r="E1979" t="s">
        <v>25</v>
      </c>
      <c r="F1979" t="s">
        <v>519</v>
      </c>
      <c r="G1979" t="s">
        <v>402</v>
      </c>
      <c r="H1979" t="s">
        <v>2361</v>
      </c>
      <c r="I1979" t="s">
        <v>458</v>
      </c>
      <c r="J1979" t="s">
        <v>30</v>
      </c>
      <c r="K1979">
        <v>80</v>
      </c>
      <c r="L1979" t="s">
        <v>82</v>
      </c>
      <c r="M1979">
        <v>57</v>
      </c>
      <c r="N1979">
        <v>1</v>
      </c>
      <c r="O1979">
        <v>6601.44</v>
      </c>
      <c r="P1979" s="1">
        <v>45600.340405092589</v>
      </c>
      <c r="Q1979">
        <v>17</v>
      </c>
      <c r="R1979" t="s">
        <v>47</v>
      </c>
      <c r="S1979">
        <v>0.13052479008555701</v>
      </c>
      <c r="T1979" t="b">
        <v>0</v>
      </c>
      <c r="U1979" t="b">
        <v>0</v>
      </c>
      <c r="V1979" t="b">
        <f t="shared" si="60"/>
        <v>1</v>
      </c>
      <c r="W1979">
        <v>0</v>
      </c>
      <c r="Y1979">
        <f t="shared" si="61"/>
        <v>0</v>
      </c>
    </row>
    <row r="1980" spans="1:25" x14ac:dyDescent="0.3">
      <c r="A1980" t="s">
        <v>3873</v>
      </c>
      <c r="B1980" t="s">
        <v>1370</v>
      </c>
      <c r="C1980">
        <v>1225.5</v>
      </c>
      <c r="D1980" s="1">
        <v>45257.66814814815</v>
      </c>
      <c r="E1980" t="s">
        <v>57</v>
      </c>
      <c r="F1980" t="s">
        <v>159</v>
      </c>
      <c r="G1980" t="s">
        <v>1023</v>
      </c>
      <c r="H1980" t="s">
        <v>2514</v>
      </c>
      <c r="I1980" t="s">
        <v>399</v>
      </c>
      <c r="J1980" t="s">
        <v>45</v>
      </c>
      <c r="K1980">
        <v>50</v>
      </c>
      <c r="L1980" t="s">
        <v>31</v>
      </c>
      <c r="M1980">
        <v>109</v>
      </c>
      <c r="N1980">
        <v>1</v>
      </c>
      <c r="O1980">
        <v>8611.17</v>
      </c>
      <c r="P1980" s="1">
        <v>45600.341446759259</v>
      </c>
      <c r="Q1980">
        <v>16</v>
      </c>
      <c r="R1980" t="s">
        <v>47</v>
      </c>
      <c r="S1980">
        <v>3.17834616189353</v>
      </c>
      <c r="T1980" t="b">
        <v>1</v>
      </c>
      <c r="U1980" t="b">
        <v>0</v>
      </c>
      <c r="V1980" t="b">
        <f t="shared" si="60"/>
        <v>1</v>
      </c>
      <c r="W1980">
        <v>1</v>
      </c>
      <c r="Y1980">
        <f t="shared" si="61"/>
        <v>1</v>
      </c>
    </row>
    <row r="1981" spans="1:25" x14ac:dyDescent="0.3">
      <c r="A1981" t="s">
        <v>3874</v>
      </c>
      <c r="B1981" t="s">
        <v>538</v>
      </c>
      <c r="C1981">
        <v>422.81</v>
      </c>
      <c r="D1981" s="1">
        <v>45250.671759259261</v>
      </c>
      <c r="E1981" t="s">
        <v>25</v>
      </c>
      <c r="F1981" t="s">
        <v>153</v>
      </c>
      <c r="G1981" t="s">
        <v>2960</v>
      </c>
      <c r="H1981" t="s">
        <v>2447</v>
      </c>
      <c r="I1981" t="s">
        <v>321</v>
      </c>
      <c r="J1981" t="s">
        <v>81</v>
      </c>
      <c r="K1981">
        <v>28</v>
      </c>
      <c r="L1981" t="s">
        <v>46</v>
      </c>
      <c r="M1981">
        <v>193</v>
      </c>
      <c r="N1981">
        <v>1</v>
      </c>
      <c r="O1981">
        <v>1929.28</v>
      </c>
      <c r="P1981" s="1">
        <v>45600.340601851851</v>
      </c>
      <c r="Q1981">
        <v>16</v>
      </c>
      <c r="R1981" t="s">
        <v>47</v>
      </c>
      <c r="S1981">
        <v>0.42890163847642399</v>
      </c>
      <c r="T1981" t="b">
        <v>0</v>
      </c>
      <c r="U1981" t="b">
        <v>0</v>
      </c>
      <c r="V1981" t="b">
        <f t="shared" si="60"/>
        <v>1</v>
      </c>
      <c r="W1981">
        <v>0</v>
      </c>
      <c r="Y1981">
        <f t="shared" si="61"/>
        <v>0</v>
      </c>
    </row>
    <row r="1982" spans="1:25" x14ac:dyDescent="0.3">
      <c r="A1982" t="s">
        <v>3875</v>
      </c>
      <c r="B1982" t="s">
        <v>1213</v>
      </c>
      <c r="C1982">
        <v>135.43</v>
      </c>
      <c r="D1982" s="1">
        <v>45205.676979166667</v>
      </c>
      <c r="E1982" t="s">
        <v>25</v>
      </c>
      <c r="F1982" t="s">
        <v>236</v>
      </c>
      <c r="G1982" t="s">
        <v>820</v>
      </c>
      <c r="H1982" t="s">
        <v>149</v>
      </c>
      <c r="I1982" t="s">
        <v>1013</v>
      </c>
      <c r="J1982" t="s">
        <v>30</v>
      </c>
      <c r="K1982">
        <v>57</v>
      </c>
      <c r="L1982" t="s">
        <v>82</v>
      </c>
      <c r="M1982">
        <v>92</v>
      </c>
      <c r="N1982">
        <v>1</v>
      </c>
      <c r="O1982">
        <v>5315.83</v>
      </c>
      <c r="P1982" s="1">
        <v>45600.339548611111</v>
      </c>
      <c r="Q1982">
        <v>16</v>
      </c>
      <c r="R1982" t="s">
        <v>54</v>
      </c>
      <c r="S1982">
        <v>-0.55545766229922799</v>
      </c>
      <c r="T1982" t="b">
        <v>0</v>
      </c>
      <c r="U1982" t="b">
        <v>0</v>
      </c>
      <c r="V1982" t="b">
        <f t="shared" si="60"/>
        <v>1</v>
      </c>
      <c r="W1982">
        <v>0</v>
      </c>
      <c r="Y1982">
        <f t="shared" si="61"/>
        <v>0</v>
      </c>
    </row>
    <row r="1983" spans="1:25" x14ac:dyDescent="0.3">
      <c r="A1983" t="s">
        <v>3876</v>
      </c>
      <c r="B1983" t="s">
        <v>1668</v>
      </c>
      <c r="C1983">
        <v>584.88</v>
      </c>
      <c r="D1983" s="1">
        <v>45279.722071759257</v>
      </c>
      <c r="E1983" t="s">
        <v>25</v>
      </c>
      <c r="F1983" t="s">
        <v>256</v>
      </c>
      <c r="G1983" t="s">
        <v>2700</v>
      </c>
      <c r="H1983" t="s">
        <v>946</v>
      </c>
      <c r="I1983" t="s">
        <v>577</v>
      </c>
      <c r="J1983" t="s">
        <v>30</v>
      </c>
      <c r="K1983">
        <v>26</v>
      </c>
      <c r="L1983" t="s">
        <v>46</v>
      </c>
      <c r="M1983">
        <v>121</v>
      </c>
      <c r="N1983">
        <v>1</v>
      </c>
      <c r="O1983">
        <v>548.45000000000005</v>
      </c>
      <c r="P1983" s="1">
        <v>45600.341006944444</v>
      </c>
      <c r="Q1983">
        <v>17</v>
      </c>
      <c r="R1983" t="s">
        <v>32</v>
      </c>
      <c r="S1983">
        <v>0.98403808456421704</v>
      </c>
      <c r="T1983" t="b">
        <v>0</v>
      </c>
      <c r="U1983" t="b">
        <v>0</v>
      </c>
      <c r="V1983" t="b">
        <f t="shared" si="60"/>
        <v>1</v>
      </c>
      <c r="W1983">
        <v>0</v>
      </c>
      <c r="Y1983">
        <f t="shared" si="61"/>
        <v>0</v>
      </c>
    </row>
    <row r="1984" spans="1:25" x14ac:dyDescent="0.3">
      <c r="A1984" t="s">
        <v>3877</v>
      </c>
      <c r="B1984" t="s">
        <v>287</v>
      </c>
      <c r="C1984">
        <v>308.94</v>
      </c>
      <c r="D1984" s="1">
        <v>45019.691307870373</v>
      </c>
      <c r="E1984" t="s">
        <v>25</v>
      </c>
      <c r="F1984" t="s">
        <v>153</v>
      </c>
      <c r="G1984" t="s">
        <v>1737</v>
      </c>
      <c r="H1984" t="s">
        <v>247</v>
      </c>
      <c r="I1984" t="s">
        <v>199</v>
      </c>
      <c r="J1984" t="s">
        <v>45</v>
      </c>
      <c r="K1984">
        <v>25</v>
      </c>
      <c r="L1984" t="s">
        <v>46</v>
      </c>
      <c r="M1984">
        <v>167</v>
      </c>
      <c r="N1984">
        <v>1</v>
      </c>
      <c r="O1984">
        <v>1931.66</v>
      </c>
      <c r="P1984" s="1">
        <v>45600.338738425926</v>
      </c>
      <c r="Q1984">
        <v>16</v>
      </c>
      <c r="R1984" t="s">
        <v>47</v>
      </c>
      <c r="S1984">
        <v>3.8864079915203402E-2</v>
      </c>
      <c r="T1984" t="b">
        <v>0</v>
      </c>
      <c r="U1984" t="b">
        <v>0</v>
      </c>
      <c r="V1984" t="b">
        <f t="shared" si="60"/>
        <v>1</v>
      </c>
      <c r="W1984">
        <v>0</v>
      </c>
      <c r="Y1984">
        <f t="shared" si="61"/>
        <v>0</v>
      </c>
    </row>
    <row r="1985" spans="1:25" x14ac:dyDescent="0.3">
      <c r="A1985" t="s">
        <v>3878</v>
      </c>
      <c r="B1985" t="s">
        <v>3879</v>
      </c>
      <c r="C1985">
        <v>295.93</v>
      </c>
      <c r="D1985" s="1">
        <v>44977.726840277777</v>
      </c>
      <c r="E1985" t="s">
        <v>25</v>
      </c>
      <c r="F1985" t="s">
        <v>401</v>
      </c>
      <c r="G1985" t="s">
        <v>840</v>
      </c>
      <c r="H1985" t="s">
        <v>3360</v>
      </c>
      <c r="I1985" t="s">
        <v>1050</v>
      </c>
      <c r="J1985" t="s">
        <v>81</v>
      </c>
      <c r="K1985">
        <v>36</v>
      </c>
      <c r="L1985" t="s">
        <v>31</v>
      </c>
      <c r="M1985">
        <v>117</v>
      </c>
      <c r="N1985">
        <v>1</v>
      </c>
      <c r="O1985">
        <v>1050.6300000000001</v>
      </c>
      <c r="P1985" s="1">
        <v>45600.340231481481</v>
      </c>
      <c r="Q1985">
        <v>17</v>
      </c>
      <c r="R1985" t="s">
        <v>47</v>
      </c>
      <c r="S1985">
        <v>-5.6989185644792696E-3</v>
      </c>
      <c r="T1985" t="b">
        <v>0</v>
      </c>
      <c r="U1985" t="b">
        <v>0</v>
      </c>
      <c r="V1985" t="b">
        <f t="shared" si="60"/>
        <v>1</v>
      </c>
      <c r="W1985">
        <v>0</v>
      </c>
      <c r="Y1985">
        <f t="shared" si="61"/>
        <v>0</v>
      </c>
    </row>
    <row r="1986" spans="1:25" x14ac:dyDescent="0.3">
      <c r="A1986" t="s">
        <v>3880</v>
      </c>
      <c r="B1986" t="s">
        <v>460</v>
      </c>
      <c r="C1986">
        <v>1512.99</v>
      </c>
      <c r="D1986" s="1">
        <v>45146.719328703701</v>
      </c>
      <c r="E1986" t="s">
        <v>25</v>
      </c>
      <c r="F1986" t="s">
        <v>256</v>
      </c>
      <c r="G1986" t="s">
        <v>110</v>
      </c>
      <c r="H1986" t="s">
        <v>1201</v>
      </c>
      <c r="I1986" t="s">
        <v>371</v>
      </c>
      <c r="J1986" t="s">
        <v>45</v>
      </c>
      <c r="K1986">
        <v>19</v>
      </c>
      <c r="L1986" t="s">
        <v>46</v>
      </c>
      <c r="M1986">
        <v>50</v>
      </c>
      <c r="N1986">
        <v>1</v>
      </c>
      <c r="O1986">
        <v>9963.39</v>
      </c>
      <c r="P1986" s="1">
        <v>45600.340104166666</v>
      </c>
      <c r="Q1986">
        <v>17</v>
      </c>
      <c r="R1986" t="s">
        <v>32</v>
      </c>
      <c r="S1986">
        <v>4.1630822443627098</v>
      </c>
      <c r="T1986" t="b">
        <v>1</v>
      </c>
      <c r="U1986" t="b">
        <v>0</v>
      </c>
      <c r="V1986" t="b">
        <f t="shared" si="60"/>
        <v>1</v>
      </c>
      <c r="W1986">
        <v>1</v>
      </c>
      <c r="Y1986">
        <f t="shared" si="61"/>
        <v>1</v>
      </c>
    </row>
    <row r="1987" spans="1:25" x14ac:dyDescent="0.3">
      <c r="A1987" t="s">
        <v>3881</v>
      </c>
      <c r="B1987" t="s">
        <v>2792</v>
      </c>
      <c r="C1987">
        <v>77.44</v>
      </c>
      <c r="D1987" s="1">
        <v>45103.686793981484</v>
      </c>
      <c r="E1987" t="s">
        <v>25</v>
      </c>
      <c r="F1987" t="s">
        <v>466</v>
      </c>
      <c r="G1987" t="s">
        <v>1744</v>
      </c>
      <c r="H1987" t="s">
        <v>1201</v>
      </c>
      <c r="I1987" t="s">
        <v>1362</v>
      </c>
      <c r="J1987" t="s">
        <v>81</v>
      </c>
      <c r="K1987">
        <v>58</v>
      </c>
      <c r="L1987" t="s">
        <v>82</v>
      </c>
      <c r="M1987">
        <v>268</v>
      </c>
      <c r="N1987">
        <v>1</v>
      </c>
      <c r="O1987">
        <v>1950.63</v>
      </c>
      <c r="P1987" s="1">
        <v>45600.340960648151</v>
      </c>
      <c r="Q1987">
        <v>16</v>
      </c>
      <c r="R1987" t="s">
        <v>47</v>
      </c>
      <c r="S1987">
        <v>-0.75409012054955904</v>
      </c>
      <c r="T1987" t="b">
        <v>0</v>
      </c>
      <c r="U1987" t="b">
        <v>0</v>
      </c>
      <c r="V1987" t="b">
        <f t="shared" ref="V1987:V2050" si="62">ISLOGICAL(T1987)</f>
        <v>1</v>
      </c>
      <c r="W1987">
        <v>0</v>
      </c>
      <c r="Y1987">
        <f t="shared" ref="Y1987:Y2050" si="63">--T1987</f>
        <v>0</v>
      </c>
    </row>
    <row r="1988" spans="1:25" x14ac:dyDescent="0.3">
      <c r="A1988" t="s">
        <v>3882</v>
      </c>
      <c r="B1988" t="s">
        <v>1411</v>
      </c>
      <c r="C1988">
        <v>92.5</v>
      </c>
      <c r="D1988" s="1">
        <v>45194.682060185187</v>
      </c>
      <c r="E1988" t="s">
        <v>57</v>
      </c>
      <c r="F1988" t="s">
        <v>70</v>
      </c>
      <c r="G1988" t="s">
        <v>3883</v>
      </c>
      <c r="H1988" t="s">
        <v>2329</v>
      </c>
      <c r="I1988" t="s">
        <v>1027</v>
      </c>
      <c r="J1988" t="s">
        <v>45</v>
      </c>
      <c r="K1988">
        <v>40</v>
      </c>
      <c r="L1988" t="s">
        <v>89</v>
      </c>
      <c r="M1988">
        <v>70</v>
      </c>
      <c r="N1988">
        <v>1</v>
      </c>
      <c r="O1988">
        <v>6295.45</v>
      </c>
      <c r="P1988" s="1">
        <v>45600.339178240742</v>
      </c>
      <c r="Q1988">
        <v>16</v>
      </c>
      <c r="R1988" t="s">
        <v>47</v>
      </c>
      <c r="S1988">
        <v>-0.70250528141781199</v>
      </c>
      <c r="T1988" t="b">
        <v>0</v>
      </c>
      <c r="U1988" t="b">
        <v>0</v>
      </c>
      <c r="V1988" t="b">
        <f t="shared" si="62"/>
        <v>1</v>
      </c>
      <c r="W1988">
        <v>0</v>
      </c>
      <c r="Y1988">
        <f t="shared" si="63"/>
        <v>0</v>
      </c>
    </row>
    <row r="1989" spans="1:25" x14ac:dyDescent="0.3">
      <c r="A1989" t="s">
        <v>3884</v>
      </c>
      <c r="B1989" t="s">
        <v>814</v>
      </c>
      <c r="C1989">
        <v>97.74</v>
      </c>
      <c r="D1989" s="1">
        <v>45173.698946759258</v>
      </c>
      <c r="E1989" t="s">
        <v>57</v>
      </c>
      <c r="F1989" t="s">
        <v>153</v>
      </c>
      <c r="G1989" t="s">
        <v>2561</v>
      </c>
      <c r="H1989" t="s">
        <v>996</v>
      </c>
      <c r="I1989" t="s">
        <v>259</v>
      </c>
      <c r="J1989" t="s">
        <v>45</v>
      </c>
      <c r="K1989">
        <v>41</v>
      </c>
      <c r="L1989" t="s">
        <v>89</v>
      </c>
      <c r="M1989">
        <v>137</v>
      </c>
      <c r="N1989">
        <v>1</v>
      </c>
      <c r="O1989">
        <v>4113.63</v>
      </c>
      <c r="P1989" s="1">
        <v>45600.338368055556</v>
      </c>
      <c r="Q1989">
        <v>16</v>
      </c>
      <c r="R1989" t="s">
        <v>47</v>
      </c>
      <c r="S1989">
        <v>-0.68455677165351303</v>
      </c>
      <c r="T1989" t="b">
        <v>0</v>
      </c>
      <c r="U1989" t="b">
        <v>0</v>
      </c>
      <c r="V1989" t="b">
        <f t="shared" si="62"/>
        <v>1</v>
      </c>
      <c r="W1989">
        <v>0</v>
      </c>
      <c r="Y1989">
        <f t="shared" si="63"/>
        <v>0</v>
      </c>
    </row>
    <row r="1990" spans="1:25" x14ac:dyDescent="0.3">
      <c r="A1990" t="s">
        <v>3885</v>
      </c>
      <c r="B1990" t="s">
        <v>2445</v>
      </c>
      <c r="C1990">
        <v>291.68</v>
      </c>
      <c r="D1990" s="1">
        <v>45145.755520833336</v>
      </c>
      <c r="E1990" t="s">
        <v>25</v>
      </c>
      <c r="F1990" t="s">
        <v>137</v>
      </c>
      <c r="G1990" t="s">
        <v>614</v>
      </c>
      <c r="H1990" t="s">
        <v>1468</v>
      </c>
      <c r="I1990" t="s">
        <v>720</v>
      </c>
      <c r="J1990" t="s">
        <v>30</v>
      </c>
      <c r="K1990">
        <v>21</v>
      </c>
      <c r="L1990" t="s">
        <v>46</v>
      </c>
      <c r="M1990">
        <v>90</v>
      </c>
      <c r="N1990">
        <v>1</v>
      </c>
      <c r="O1990">
        <v>1451.02</v>
      </c>
      <c r="P1990" s="1">
        <v>45600.34165509259</v>
      </c>
      <c r="Q1990">
        <v>18</v>
      </c>
      <c r="R1990" t="s">
        <v>47</v>
      </c>
      <c r="S1990">
        <v>-2.02563930870505E-2</v>
      </c>
      <c r="T1990" t="b">
        <v>0</v>
      </c>
      <c r="U1990" t="b">
        <v>0</v>
      </c>
      <c r="V1990" t="b">
        <f t="shared" si="62"/>
        <v>1</v>
      </c>
      <c r="W1990">
        <v>0</v>
      </c>
      <c r="Y1990">
        <f t="shared" si="63"/>
        <v>0</v>
      </c>
    </row>
    <row r="1991" spans="1:25" x14ac:dyDescent="0.3">
      <c r="A1991" t="s">
        <v>3886</v>
      </c>
      <c r="B1991" t="s">
        <v>602</v>
      </c>
      <c r="C1991">
        <v>56.96</v>
      </c>
      <c r="D1991" s="1">
        <v>45103.735069444447</v>
      </c>
      <c r="E1991" t="s">
        <v>25</v>
      </c>
      <c r="F1991" t="s">
        <v>98</v>
      </c>
      <c r="G1991" t="s">
        <v>1925</v>
      </c>
      <c r="H1991" t="s">
        <v>1361</v>
      </c>
      <c r="I1991" t="s">
        <v>1362</v>
      </c>
      <c r="J1991" t="s">
        <v>30</v>
      </c>
      <c r="K1991">
        <v>22</v>
      </c>
      <c r="L1991" t="s">
        <v>46</v>
      </c>
      <c r="M1991">
        <v>135</v>
      </c>
      <c r="N1991">
        <v>1</v>
      </c>
      <c r="O1991">
        <v>1597.85</v>
      </c>
      <c r="P1991" s="1">
        <v>45600.338402777779</v>
      </c>
      <c r="Q1991">
        <v>17</v>
      </c>
      <c r="R1991" t="s">
        <v>47</v>
      </c>
      <c r="S1991">
        <v>-0.82424002130773799</v>
      </c>
      <c r="T1991" t="b">
        <v>0</v>
      </c>
      <c r="U1991" t="b">
        <v>0</v>
      </c>
      <c r="V1991" t="b">
        <f t="shared" si="62"/>
        <v>1</v>
      </c>
      <c r="W1991">
        <v>0</v>
      </c>
      <c r="Y1991">
        <f t="shared" si="63"/>
        <v>0</v>
      </c>
    </row>
    <row r="1992" spans="1:25" x14ac:dyDescent="0.3">
      <c r="A1992" t="s">
        <v>3887</v>
      </c>
      <c r="B1992" t="s">
        <v>3767</v>
      </c>
      <c r="C1992">
        <v>436.8</v>
      </c>
      <c r="D1992" s="1">
        <v>45110.677210648151</v>
      </c>
      <c r="E1992" t="s">
        <v>25</v>
      </c>
      <c r="F1992" t="s">
        <v>70</v>
      </c>
      <c r="G1992" t="s">
        <v>2915</v>
      </c>
      <c r="H1992" t="s">
        <v>2124</v>
      </c>
      <c r="I1992" t="s">
        <v>997</v>
      </c>
      <c r="J1992" t="s">
        <v>45</v>
      </c>
      <c r="K1992">
        <v>27</v>
      </c>
      <c r="L1992" t="s">
        <v>46</v>
      </c>
      <c r="M1992">
        <v>92</v>
      </c>
      <c r="N1992">
        <v>1</v>
      </c>
      <c r="O1992">
        <v>1256.33</v>
      </c>
      <c r="P1992" s="1">
        <v>45600.340277777781</v>
      </c>
      <c r="Q1992">
        <v>16</v>
      </c>
      <c r="R1992" t="s">
        <v>47</v>
      </c>
      <c r="S1992">
        <v>0.47682141931660499</v>
      </c>
      <c r="T1992" t="b">
        <v>0</v>
      </c>
      <c r="U1992" t="b">
        <v>0</v>
      </c>
      <c r="V1992" t="b">
        <f t="shared" si="62"/>
        <v>1</v>
      </c>
      <c r="W1992">
        <v>0</v>
      </c>
      <c r="Y1992">
        <f t="shared" si="63"/>
        <v>0</v>
      </c>
    </row>
    <row r="1993" spans="1:25" x14ac:dyDescent="0.3">
      <c r="A1993" t="s">
        <v>3888</v>
      </c>
      <c r="B1993" t="s">
        <v>1404</v>
      </c>
      <c r="C1993">
        <v>259.49</v>
      </c>
      <c r="D1993" s="1">
        <v>45086.688842592594</v>
      </c>
      <c r="E1993" t="s">
        <v>25</v>
      </c>
      <c r="F1993" t="s">
        <v>131</v>
      </c>
      <c r="G1993" t="s">
        <v>1240</v>
      </c>
      <c r="H1993" t="s">
        <v>1788</v>
      </c>
      <c r="I1993" t="s">
        <v>427</v>
      </c>
      <c r="J1993" t="s">
        <v>45</v>
      </c>
      <c r="K1993">
        <v>72</v>
      </c>
      <c r="L1993" t="s">
        <v>82</v>
      </c>
      <c r="M1993">
        <v>292</v>
      </c>
      <c r="N1993">
        <v>1</v>
      </c>
      <c r="O1993">
        <v>7320.61</v>
      </c>
      <c r="P1993" s="1">
        <v>45600.338553240741</v>
      </c>
      <c r="Q1993">
        <v>16</v>
      </c>
      <c r="R1993" t="s">
        <v>54</v>
      </c>
      <c r="S1993">
        <v>-0.13051641776506601</v>
      </c>
      <c r="T1993" t="b">
        <v>0</v>
      </c>
      <c r="U1993" t="b">
        <v>0</v>
      </c>
      <c r="V1993" t="b">
        <f t="shared" si="62"/>
        <v>1</v>
      </c>
      <c r="W1993">
        <v>0</v>
      </c>
      <c r="Y1993">
        <f t="shared" si="63"/>
        <v>0</v>
      </c>
    </row>
    <row r="1994" spans="1:25" x14ac:dyDescent="0.3">
      <c r="A1994" t="s">
        <v>3889</v>
      </c>
      <c r="B1994" t="s">
        <v>1082</v>
      </c>
      <c r="C1994">
        <v>726.26</v>
      </c>
      <c r="D1994" s="1">
        <v>44970.717928240738</v>
      </c>
      <c r="E1994" t="s">
        <v>25</v>
      </c>
      <c r="F1994" t="s">
        <v>309</v>
      </c>
      <c r="G1994" t="s">
        <v>1523</v>
      </c>
      <c r="H1994" t="s">
        <v>2300</v>
      </c>
      <c r="I1994" t="s">
        <v>88</v>
      </c>
      <c r="J1994" t="s">
        <v>45</v>
      </c>
      <c r="K1994">
        <v>57</v>
      </c>
      <c r="L1994" t="s">
        <v>82</v>
      </c>
      <c r="M1994">
        <v>147</v>
      </c>
      <c r="N1994">
        <v>1</v>
      </c>
      <c r="O1994">
        <v>2150.38</v>
      </c>
      <c r="P1994" s="1">
        <v>45600.338067129633</v>
      </c>
      <c r="Q1994">
        <v>17</v>
      </c>
      <c r="R1994" t="s">
        <v>47</v>
      </c>
      <c r="S1994">
        <v>1.46830531938801</v>
      </c>
      <c r="T1994" t="b">
        <v>0</v>
      </c>
      <c r="U1994" t="b">
        <v>0</v>
      </c>
      <c r="V1994" t="b">
        <f t="shared" si="62"/>
        <v>1</v>
      </c>
      <c r="W1994">
        <v>0</v>
      </c>
      <c r="Y1994">
        <f t="shared" si="63"/>
        <v>0</v>
      </c>
    </row>
    <row r="1995" spans="1:25" x14ac:dyDescent="0.3">
      <c r="A1995" t="s">
        <v>3890</v>
      </c>
      <c r="B1995" t="s">
        <v>3019</v>
      </c>
      <c r="C1995">
        <v>568.67999999999995</v>
      </c>
      <c r="D1995" s="1">
        <v>45041.782824074071</v>
      </c>
      <c r="E1995" t="s">
        <v>25</v>
      </c>
      <c r="F1995" t="s">
        <v>35</v>
      </c>
      <c r="G1995" t="s">
        <v>1315</v>
      </c>
      <c r="H1995" t="s">
        <v>1858</v>
      </c>
      <c r="I1995" t="s">
        <v>339</v>
      </c>
      <c r="J1995" t="s">
        <v>30</v>
      </c>
      <c r="K1995">
        <v>72</v>
      </c>
      <c r="L1995" t="s">
        <v>82</v>
      </c>
      <c r="M1995">
        <v>101</v>
      </c>
      <c r="N1995">
        <v>1</v>
      </c>
      <c r="O1995">
        <v>2940.04</v>
      </c>
      <c r="P1995" s="1">
        <v>45600.33934027778</v>
      </c>
      <c r="Q1995">
        <v>18</v>
      </c>
      <c r="R1995" t="s">
        <v>32</v>
      </c>
      <c r="S1995">
        <v>0.92854841697229795</v>
      </c>
      <c r="T1995" t="b">
        <v>0</v>
      </c>
      <c r="U1995" t="b">
        <v>0</v>
      </c>
      <c r="V1995" t="b">
        <f t="shared" si="62"/>
        <v>1</v>
      </c>
      <c r="W1995">
        <v>0</v>
      </c>
      <c r="Y1995">
        <f t="shared" si="63"/>
        <v>0</v>
      </c>
    </row>
    <row r="1996" spans="1:25" x14ac:dyDescent="0.3">
      <c r="A1996" t="s">
        <v>3891</v>
      </c>
      <c r="B1996" t="s">
        <v>673</v>
      </c>
      <c r="C1996">
        <v>77.569999999999993</v>
      </c>
      <c r="D1996" s="1">
        <v>45273.709965277776</v>
      </c>
      <c r="E1996" t="s">
        <v>25</v>
      </c>
      <c r="F1996" t="s">
        <v>58</v>
      </c>
      <c r="G1996" t="s">
        <v>1828</v>
      </c>
      <c r="H1996" t="s">
        <v>957</v>
      </c>
      <c r="I1996" t="s">
        <v>61</v>
      </c>
      <c r="J1996" t="s">
        <v>45</v>
      </c>
      <c r="K1996">
        <v>49</v>
      </c>
      <c r="L1996" t="s">
        <v>31</v>
      </c>
      <c r="M1996">
        <v>225</v>
      </c>
      <c r="N1996">
        <v>1</v>
      </c>
      <c r="O1996">
        <v>12801.93</v>
      </c>
      <c r="P1996" s="1">
        <v>45600.338819444441</v>
      </c>
      <c r="Q1996">
        <v>17</v>
      </c>
      <c r="R1996" t="s">
        <v>74</v>
      </c>
      <c r="S1996">
        <v>-0.753644833093574</v>
      </c>
      <c r="T1996" t="b">
        <v>0</v>
      </c>
      <c r="U1996" t="b">
        <v>0</v>
      </c>
      <c r="V1996" t="b">
        <f t="shared" si="62"/>
        <v>1</v>
      </c>
      <c r="W1996">
        <v>0</v>
      </c>
      <c r="Y1996">
        <f t="shared" si="63"/>
        <v>0</v>
      </c>
    </row>
    <row r="1997" spans="1:25" x14ac:dyDescent="0.3">
      <c r="A1997" t="s">
        <v>3892</v>
      </c>
      <c r="B1997" t="s">
        <v>380</v>
      </c>
      <c r="C1997">
        <v>999.28</v>
      </c>
      <c r="D1997" s="1">
        <v>45068.740162037036</v>
      </c>
      <c r="E1997" t="s">
        <v>25</v>
      </c>
      <c r="F1997" t="s">
        <v>401</v>
      </c>
      <c r="G1997" t="s">
        <v>110</v>
      </c>
      <c r="H1997" t="s">
        <v>391</v>
      </c>
      <c r="I1997" t="s">
        <v>1358</v>
      </c>
      <c r="J1997" t="s">
        <v>45</v>
      </c>
      <c r="K1997">
        <v>29</v>
      </c>
      <c r="L1997" t="s">
        <v>89</v>
      </c>
      <c r="M1997">
        <v>40</v>
      </c>
      <c r="N1997">
        <v>1</v>
      </c>
      <c r="O1997">
        <v>4272.41</v>
      </c>
      <c r="P1997" s="1">
        <v>45600.341840277775</v>
      </c>
      <c r="Q1997">
        <v>17</v>
      </c>
      <c r="R1997" t="s">
        <v>47</v>
      </c>
      <c r="S1997">
        <v>2.4034774827179799</v>
      </c>
      <c r="T1997" t="b">
        <v>1</v>
      </c>
      <c r="U1997" t="b">
        <v>0</v>
      </c>
      <c r="V1997" t="b">
        <f t="shared" si="62"/>
        <v>1</v>
      </c>
      <c r="W1997">
        <v>1</v>
      </c>
      <c r="Y1997">
        <f t="shared" si="63"/>
        <v>1</v>
      </c>
    </row>
    <row r="1998" spans="1:25" x14ac:dyDescent="0.3">
      <c r="A1998" t="s">
        <v>3893</v>
      </c>
      <c r="B1998" t="s">
        <v>465</v>
      </c>
      <c r="C1998">
        <v>14.16</v>
      </c>
      <c r="D1998" s="1">
        <v>44935.700775462959</v>
      </c>
      <c r="E1998" t="s">
        <v>57</v>
      </c>
      <c r="F1998" t="s">
        <v>64</v>
      </c>
      <c r="G1998" t="s">
        <v>1677</v>
      </c>
      <c r="H1998" t="s">
        <v>3894</v>
      </c>
      <c r="I1998" t="s">
        <v>605</v>
      </c>
      <c r="J1998" t="s">
        <v>81</v>
      </c>
      <c r="K1998">
        <v>74</v>
      </c>
      <c r="L1998" t="s">
        <v>82</v>
      </c>
      <c r="M1998">
        <v>290</v>
      </c>
      <c r="N1998">
        <v>1</v>
      </c>
      <c r="O1998">
        <v>5399.76</v>
      </c>
      <c r="P1998" s="1">
        <v>45600.340509259258</v>
      </c>
      <c r="Q1998">
        <v>16</v>
      </c>
      <c r="R1998" t="s">
        <v>47</v>
      </c>
      <c r="S1998">
        <v>-0.97084235297033705</v>
      </c>
      <c r="T1998" t="b">
        <v>0</v>
      </c>
      <c r="U1998" t="b">
        <v>0</v>
      </c>
      <c r="V1998" t="b">
        <f t="shared" si="62"/>
        <v>1</v>
      </c>
      <c r="W1998">
        <v>0</v>
      </c>
      <c r="Y1998">
        <f t="shared" si="63"/>
        <v>0</v>
      </c>
    </row>
    <row r="1999" spans="1:25" x14ac:dyDescent="0.3">
      <c r="A1999" t="s">
        <v>3895</v>
      </c>
      <c r="B1999" t="s">
        <v>1407</v>
      </c>
      <c r="C1999">
        <v>1142.83</v>
      </c>
      <c r="D1999" s="1">
        <v>45121.739155092589</v>
      </c>
      <c r="E1999" t="s">
        <v>57</v>
      </c>
      <c r="F1999" t="s">
        <v>309</v>
      </c>
      <c r="G1999" t="s">
        <v>2216</v>
      </c>
      <c r="H1999" t="s">
        <v>1490</v>
      </c>
      <c r="I1999" t="s">
        <v>178</v>
      </c>
      <c r="J1999" t="s">
        <v>81</v>
      </c>
      <c r="K1999">
        <v>61</v>
      </c>
      <c r="L1999" t="s">
        <v>82</v>
      </c>
      <c r="M1999">
        <v>48</v>
      </c>
      <c r="N1999">
        <v>1</v>
      </c>
      <c r="O1999">
        <v>2467.39</v>
      </c>
      <c r="P1999" s="1">
        <v>45600.341273148151</v>
      </c>
      <c r="Q1999">
        <v>17</v>
      </c>
      <c r="R1999" t="s">
        <v>54</v>
      </c>
      <c r="S1999">
        <v>2.8951775927685901</v>
      </c>
      <c r="T1999" t="b">
        <v>1</v>
      </c>
      <c r="U1999" t="b">
        <v>0</v>
      </c>
      <c r="V1999" t="b">
        <f t="shared" si="62"/>
        <v>1</v>
      </c>
      <c r="W1999">
        <v>1</v>
      </c>
      <c r="Y1999">
        <f t="shared" si="63"/>
        <v>1</v>
      </c>
    </row>
    <row r="2000" spans="1:25" x14ac:dyDescent="0.3">
      <c r="A2000" t="s">
        <v>3896</v>
      </c>
      <c r="B2000" t="s">
        <v>533</v>
      </c>
      <c r="C2000">
        <v>61.33</v>
      </c>
      <c r="D2000" s="1">
        <v>45189.762499999997</v>
      </c>
      <c r="E2000" t="s">
        <v>25</v>
      </c>
      <c r="F2000" t="s">
        <v>50</v>
      </c>
      <c r="G2000" t="s">
        <v>394</v>
      </c>
      <c r="H2000" t="s">
        <v>2391</v>
      </c>
      <c r="I2000" t="s">
        <v>775</v>
      </c>
      <c r="J2000" t="s">
        <v>30</v>
      </c>
      <c r="K2000">
        <v>27</v>
      </c>
      <c r="L2000" t="s">
        <v>89</v>
      </c>
      <c r="M2000">
        <v>129</v>
      </c>
      <c r="N2000">
        <v>1</v>
      </c>
      <c r="O2000">
        <v>7537.4</v>
      </c>
      <c r="P2000" s="1">
        <v>45600.337812500002</v>
      </c>
      <c r="Q2000">
        <v>18</v>
      </c>
      <c r="R2000" t="s">
        <v>74</v>
      </c>
      <c r="S2000">
        <v>-0.80927151221041105</v>
      </c>
      <c r="T2000" t="b">
        <v>0</v>
      </c>
      <c r="U2000" t="b">
        <v>0</v>
      </c>
      <c r="V2000" t="b">
        <f t="shared" si="62"/>
        <v>1</v>
      </c>
      <c r="W2000">
        <v>0</v>
      </c>
      <c r="Y2000">
        <f t="shared" si="63"/>
        <v>0</v>
      </c>
    </row>
    <row r="2001" spans="1:25" x14ac:dyDescent="0.3">
      <c r="A2001" t="s">
        <v>3897</v>
      </c>
      <c r="B2001" t="s">
        <v>1340</v>
      </c>
      <c r="C2001">
        <v>27.64</v>
      </c>
      <c r="D2001" s="1">
        <v>45086.718356481484</v>
      </c>
      <c r="E2001" t="s">
        <v>25</v>
      </c>
      <c r="F2001" t="s">
        <v>216</v>
      </c>
      <c r="G2001" t="s">
        <v>2460</v>
      </c>
      <c r="H2001" t="s">
        <v>3898</v>
      </c>
      <c r="I2001" t="s">
        <v>162</v>
      </c>
      <c r="J2001" t="s">
        <v>45</v>
      </c>
      <c r="K2001">
        <v>54</v>
      </c>
      <c r="L2001" t="s">
        <v>89</v>
      </c>
      <c r="M2001">
        <v>23</v>
      </c>
      <c r="N2001">
        <v>1</v>
      </c>
      <c r="O2001">
        <v>7498.51</v>
      </c>
      <c r="P2001" s="1">
        <v>45600.339143518519</v>
      </c>
      <c r="Q2001">
        <v>17</v>
      </c>
      <c r="R2001" t="s">
        <v>54</v>
      </c>
      <c r="S2001">
        <v>-0.92466946907286396</v>
      </c>
      <c r="T2001" t="b">
        <v>0</v>
      </c>
      <c r="U2001" t="b">
        <v>0</v>
      </c>
      <c r="V2001" t="b">
        <f t="shared" si="62"/>
        <v>1</v>
      </c>
      <c r="W2001">
        <v>0</v>
      </c>
      <c r="Y2001">
        <f t="shared" si="63"/>
        <v>0</v>
      </c>
    </row>
    <row r="2002" spans="1:25" x14ac:dyDescent="0.3">
      <c r="A2002" t="s">
        <v>3899</v>
      </c>
      <c r="B2002" t="s">
        <v>335</v>
      </c>
      <c r="C2002">
        <v>3.85</v>
      </c>
      <c r="D2002" s="1">
        <v>45033.685729166667</v>
      </c>
      <c r="E2002" t="s">
        <v>25</v>
      </c>
      <c r="F2002" t="s">
        <v>236</v>
      </c>
      <c r="G2002" t="s">
        <v>1980</v>
      </c>
      <c r="H2002" t="s">
        <v>1379</v>
      </c>
      <c r="I2002" t="s">
        <v>117</v>
      </c>
      <c r="J2002" t="s">
        <v>30</v>
      </c>
      <c r="K2002">
        <v>29</v>
      </c>
      <c r="L2002" t="s">
        <v>31</v>
      </c>
      <c r="M2002">
        <v>32</v>
      </c>
      <c r="N2002">
        <v>1</v>
      </c>
      <c r="O2002">
        <v>10506.41</v>
      </c>
      <c r="P2002" s="1">
        <v>45600.339479166665</v>
      </c>
      <c r="Q2002">
        <v>16</v>
      </c>
      <c r="R2002" t="s">
        <v>47</v>
      </c>
      <c r="S2002">
        <v>-1.0061570735180301</v>
      </c>
      <c r="T2002" t="b">
        <v>0</v>
      </c>
      <c r="U2002" t="b">
        <v>0</v>
      </c>
      <c r="V2002" t="b">
        <f t="shared" si="62"/>
        <v>1</v>
      </c>
      <c r="W2002">
        <v>0</v>
      </c>
      <c r="Y2002">
        <f t="shared" si="63"/>
        <v>0</v>
      </c>
    </row>
    <row r="2003" spans="1:25" x14ac:dyDescent="0.3">
      <c r="A2003" t="s">
        <v>3900</v>
      </c>
      <c r="B2003" t="s">
        <v>762</v>
      </c>
      <c r="C2003">
        <v>431.22</v>
      </c>
      <c r="D2003" s="1">
        <v>45037.684594907405</v>
      </c>
      <c r="E2003" t="s">
        <v>57</v>
      </c>
      <c r="F2003" t="s">
        <v>131</v>
      </c>
      <c r="G2003" t="s">
        <v>823</v>
      </c>
      <c r="H2003" t="s">
        <v>531</v>
      </c>
      <c r="I2003" t="s">
        <v>280</v>
      </c>
      <c r="J2003" t="s">
        <v>81</v>
      </c>
      <c r="K2003">
        <v>73</v>
      </c>
      <c r="L2003" t="s">
        <v>82</v>
      </c>
      <c r="M2003">
        <v>129</v>
      </c>
      <c r="N2003">
        <v>1</v>
      </c>
      <c r="O2003">
        <v>6505.98</v>
      </c>
      <c r="P2003" s="1">
        <v>45600.338541666664</v>
      </c>
      <c r="Q2003">
        <v>16</v>
      </c>
      <c r="R2003" t="s">
        <v>54</v>
      </c>
      <c r="S2003">
        <v>0.45770831159050002</v>
      </c>
      <c r="T2003" t="b">
        <v>0</v>
      </c>
      <c r="U2003" t="b">
        <v>0</v>
      </c>
      <c r="V2003" t="b">
        <f t="shared" si="62"/>
        <v>1</v>
      </c>
      <c r="W2003">
        <v>0</v>
      </c>
      <c r="Y2003">
        <f t="shared" si="63"/>
        <v>0</v>
      </c>
    </row>
    <row r="2004" spans="1:25" x14ac:dyDescent="0.3">
      <c r="A2004" t="s">
        <v>3901</v>
      </c>
      <c r="B2004" t="s">
        <v>2792</v>
      </c>
      <c r="C2004">
        <v>178.55</v>
      </c>
      <c r="D2004" s="1">
        <v>45275.678124999999</v>
      </c>
      <c r="E2004" t="s">
        <v>25</v>
      </c>
      <c r="F2004" t="s">
        <v>35</v>
      </c>
      <c r="G2004" t="s">
        <v>1613</v>
      </c>
      <c r="H2004" t="s">
        <v>3601</v>
      </c>
      <c r="I2004" t="s">
        <v>605</v>
      </c>
      <c r="J2004" t="s">
        <v>81</v>
      </c>
      <c r="K2004">
        <v>55</v>
      </c>
      <c r="L2004" t="s">
        <v>89</v>
      </c>
      <c r="M2004">
        <v>67</v>
      </c>
      <c r="N2004">
        <v>1</v>
      </c>
      <c r="O2004">
        <v>7568.4</v>
      </c>
      <c r="P2004" s="1">
        <v>45600.341909722221</v>
      </c>
      <c r="Q2004">
        <v>16</v>
      </c>
      <c r="R2004" t="s">
        <v>54</v>
      </c>
      <c r="S2004">
        <v>-0.40775923843728201</v>
      </c>
      <c r="T2004" t="b">
        <v>0</v>
      </c>
      <c r="U2004" t="b">
        <v>0</v>
      </c>
      <c r="V2004" t="b">
        <f t="shared" si="62"/>
        <v>1</v>
      </c>
      <c r="W2004">
        <v>0</v>
      </c>
      <c r="Y2004">
        <f t="shared" si="63"/>
        <v>0</v>
      </c>
    </row>
    <row r="2005" spans="1:25" x14ac:dyDescent="0.3">
      <c r="A2005" t="s">
        <v>3902</v>
      </c>
      <c r="B2005" t="s">
        <v>3903</v>
      </c>
      <c r="C2005">
        <v>248.76</v>
      </c>
      <c r="D2005" s="1">
        <v>45070.675208333334</v>
      </c>
      <c r="E2005" t="s">
        <v>25</v>
      </c>
      <c r="F2005" t="s">
        <v>126</v>
      </c>
      <c r="G2005" t="s">
        <v>2400</v>
      </c>
      <c r="H2005" t="s">
        <v>2568</v>
      </c>
      <c r="I2005" t="s">
        <v>61</v>
      </c>
      <c r="J2005" t="s">
        <v>30</v>
      </c>
      <c r="K2005">
        <v>18</v>
      </c>
      <c r="L2005" t="s">
        <v>46</v>
      </c>
      <c r="M2005">
        <v>56</v>
      </c>
      <c r="N2005">
        <v>1</v>
      </c>
      <c r="O2005">
        <v>546.46</v>
      </c>
      <c r="P2005" s="1">
        <v>45600.337881944448</v>
      </c>
      <c r="Q2005">
        <v>16</v>
      </c>
      <c r="R2005" t="s">
        <v>74</v>
      </c>
      <c r="S2005">
        <v>-0.16726975932440499</v>
      </c>
      <c r="T2005" t="b">
        <v>0</v>
      </c>
      <c r="U2005" t="b">
        <v>0</v>
      </c>
      <c r="V2005" t="b">
        <f t="shared" si="62"/>
        <v>1</v>
      </c>
      <c r="W2005">
        <v>0</v>
      </c>
      <c r="Y2005">
        <f t="shared" si="63"/>
        <v>0</v>
      </c>
    </row>
    <row r="2006" spans="1:25" x14ac:dyDescent="0.3">
      <c r="A2006" t="s">
        <v>3904</v>
      </c>
      <c r="B2006" t="s">
        <v>3905</v>
      </c>
      <c r="C2006">
        <v>76.16</v>
      </c>
      <c r="D2006" s="1">
        <v>45251.698252314818</v>
      </c>
      <c r="E2006" t="s">
        <v>25</v>
      </c>
      <c r="F2006" t="s">
        <v>225</v>
      </c>
      <c r="G2006" t="s">
        <v>1447</v>
      </c>
      <c r="H2006" t="s">
        <v>2841</v>
      </c>
      <c r="I2006" t="s">
        <v>419</v>
      </c>
      <c r="J2006" t="s">
        <v>30</v>
      </c>
      <c r="K2006">
        <v>23</v>
      </c>
      <c r="L2006" t="s">
        <v>46</v>
      </c>
      <c r="M2006">
        <v>99</v>
      </c>
      <c r="N2006">
        <v>1</v>
      </c>
      <c r="O2006">
        <v>1072.25</v>
      </c>
      <c r="P2006" s="1">
        <v>45600.34171296296</v>
      </c>
      <c r="Q2006">
        <v>16</v>
      </c>
      <c r="R2006" t="s">
        <v>32</v>
      </c>
      <c r="S2006">
        <v>-0.75847448934694495</v>
      </c>
      <c r="T2006" t="b">
        <v>0</v>
      </c>
      <c r="U2006" t="b">
        <v>0</v>
      </c>
      <c r="V2006" t="b">
        <f t="shared" si="62"/>
        <v>1</v>
      </c>
      <c r="W2006">
        <v>0</v>
      </c>
      <c r="Y2006">
        <f t="shared" si="63"/>
        <v>0</v>
      </c>
    </row>
    <row r="2007" spans="1:25" x14ac:dyDescent="0.3">
      <c r="A2007" t="s">
        <v>3906</v>
      </c>
      <c r="B2007" t="s">
        <v>607</v>
      </c>
      <c r="C2007">
        <v>347.25</v>
      </c>
      <c r="D2007" s="1">
        <v>44956.784629629627</v>
      </c>
      <c r="E2007" t="s">
        <v>25</v>
      </c>
      <c r="F2007" t="s">
        <v>77</v>
      </c>
      <c r="G2007" t="s">
        <v>2028</v>
      </c>
      <c r="H2007" t="s">
        <v>203</v>
      </c>
      <c r="I2007" t="s">
        <v>632</v>
      </c>
      <c r="J2007" t="s">
        <v>30</v>
      </c>
      <c r="K2007">
        <v>69</v>
      </c>
      <c r="L2007" t="s">
        <v>31</v>
      </c>
      <c r="M2007">
        <v>250</v>
      </c>
      <c r="N2007">
        <v>1</v>
      </c>
      <c r="O2007">
        <v>7273.55</v>
      </c>
      <c r="P2007" s="1">
        <v>45600.338900462964</v>
      </c>
      <c r="Q2007">
        <v>18</v>
      </c>
      <c r="R2007" t="s">
        <v>47</v>
      </c>
      <c r="S2007">
        <v>0.170086867905722</v>
      </c>
      <c r="T2007" t="b">
        <v>0</v>
      </c>
      <c r="U2007" t="b">
        <v>0</v>
      </c>
      <c r="V2007" t="b">
        <f t="shared" si="62"/>
        <v>1</v>
      </c>
      <c r="W2007">
        <v>0</v>
      </c>
      <c r="Y2007">
        <f t="shared" si="63"/>
        <v>0</v>
      </c>
    </row>
    <row r="2008" spans="1:25" x14ac:dyDescent="0.3">
      <c r="A2008" t="s">
        <v>3907</v>
      </c>
      <c r="B2008" t="s">
        <v>738</v>
      </c>
      <c r="C2008">
        <v>28.04</v>
      </c>
      <c r="D2008" s="1">
        <v>44972.692465277774</v>
      </c>
      <c r="E2008" t="s">
        <v>25</v>
      </c>
      <c r="F2008" t="s">
        <v>153</v>
      </c>
      <c r="G2008" t="s">
        <v>1271</v>
      </c>
      <c r="H2008" t="s">
        <v>139</v>
      </c>
      <c r="I2008" t="s">
        <v>194</v>
      </c>
      <c r="J2008" t="s">
        <v>30</v>
      </c>
      <c r="K2008">
        <v>57</v>
      </c>
      <c r="L2008" t="s">
        <v>31</v>
      </c>
      <c r="M2008">
        <v>146</v>
      </c>
      <c r="N2008">
        <v>5</v>
      </c>
      <c r="O2008">
        <v>11197.54</v>
      </c>
      <c r="P2008" s="1">
        <v>45600.341863425929</v>
      </c>
      <c r="Q2008">
        <v>16</v>
      </c>
      <c r="R2008" t="s">
        <v>74</v>
      </c>
      <c r="S2008">
        <v>-0.923299353823681</v>
      </c>
      <c r="T2008" t="b">
        <v>0</v>
      </c>
      <c r="U2008" t="b">
        <v>1</v>
      </c>
      <c r="V2008" t="b">
        <f t="shared" si="62"/>
        <v>1</v>
      </c>
      <c r="W2008">
        <v>1</v>
      </c>
      <c r="Y2008">
        <f t="shared" si="63"/>
        <v>0</v>
      </c>
    </row>
    <row r="2009" spans="1:25" x14ac:dyDescent="0.3">
      <c r="A2009" t="s">
        <v>3908</v>
      </c>
      <c r="B2009" t="s">
        <v>2494</v>
      </c>
      <c r="C2009">
        <v>325.98</v>
      </c>
      <c r="D2009" s="1">
        <v>45127.707395833335</v>
      </c>
      <c r="E2009" t="s">
        <v>25</v>
      </c>
      <c r="F2009" t="s">
        <v>466</v>
      </c>
      <c r="G2009" t="s">
        <v>197</v>
      </c>
      <c r="H2009" t="s">
        <v>1618</v>
      </c>
      <c r="I2009" t="s">
        <v>585</v>
      </c>
      <c r="J2009" t="s">
        <v>30</v>
      </c>
      <c r="K2009">
        <v>19</v>
      </c>
      <c r="L2009" t="s">
        <v>46</v>
      </c>
      <c r="M2009">
        <v>277</v>
      </c>
      <c r="N2009">
        <v>1</v>
      </c>
      <c r="O2009">
        <v>782.35</v>
      </c>
      <c r="P2009" s="1">
        <v>45600.339155092595</v>
      </c>
      <c r="Q2009">
        <v>16</v>
      </c>
      <c r="R2009" t="s">
        <v>141</v>
      </c>
      <c r="S2009">
        <v>9.7230989530406806E-2</v>
      </c>
      <c r="T2009" t="b">
        <v>0</v>
      </c>
      <c r="U2009" t="b">
        <v>0</v>
      </c>
      <c r="V2009" t="b">
        <f t="shared" si="62"/>
        <v>1</v>
      </c>
      <c r="W2009">
        <v>0</v>
      </c>
      <c r="Y2009">
        <f t="shared" si="63"/>
        <v>0</v>
      </c>
    </row>
    <row r="2010" spans="1:25" x14ac:dyDescent="0.3">
      <c r="A2010" t="s">
        <v>3909</v>
      </c>
      <c r="B2010" t="s">
        <v>2238</v>
      </c>
      <c r="C2010">
        <v>249.56</v>
      </c>
      <c r="D2010" s="1">
        <v>45250.67019675926</v>
      </c>
      <c r="E2010" t="s">
        <v>25</v>
      </c>
      <c r="F2010" t="s">
        <v>216</v>
      </c>
      <c r="G2010" t="s">
        <v>1857</v>
      </c>
      <c r="H2010" t="s">
        <v>3785</v>
      </c>
      <c r="I2010" t="s">
        <v>173</v>
      </c>
      <c r="J2010" t="s">
        <v>81</v>
      </c>
      <c r="K2010">
        <v>76</v>
      </c>
      <c r="L2010" t="s">
        <v>82</v>
      </c>
      <c r="M2010">
        <v>246</v>
      </c>
      <c r="N2010">
        <v>1</v>
      </c>
      <c r="O2010">
        <v>4444.95</v>
      </c>
      <c r="P2010" s="1">
        <v>45600.341064814813</v>
      </c>
      <c r="Q2010">
        <v>16</v>
      </c>
      <c r="R2010" t="s">
        <v>47</v>
      </c>
      <c r="S2010">
        <v>-0.164529528826038</v>
      </c>
      <c r="T2010" t="b">
        <v>0</v>
      </c>
      <c r="U2010" t="b">
        <v>0</v>
      </c>
      <c r="V2010" t="b">
        <f t="shared" si="62"/>
        <v>1</v>
      </c>
      <c r="W2010">
        <v>0</v>
      </c>
      <c r="Y2010">
        <f t="shared" si="63"/>
        <v>0</v>
      </c>
    </row>
    <row r="2011" spans="1:25" x14ac:dyDescent="0.3">
      <c r="A2011" t="s">
        <v>3910</v>
      </c>
      <c r="B2011" t="s">
        <v>1414</v>
      </c>
      <c r="C2011">
        <v>17.43</v>
      </c>
      <c r="D2011" s="1">
        <v>44980.681689814817</v>
      </c>
      <c r="E2011" t="s">
        <v>25</v>
      </c>
      <c r="F2011" t="s">
        <v>98</v>
      </c>
      <c r="G2011" t="s">
        <v>456</v>
      </c>
      <c r="H2011" t="s">
        <v>931</v>
      </c>
      <c r="I2011" t="s">
        <v>577</v>
      </c>
      <c r="J2011" t="s">
        <v>30</v>
      </c>
      <c r="K2011">
        <v>56</v>
      </c>
      <c r="L2011" t="s">
        <v>31</v>
      </c>
      <c r="M2011">
        <v>33</v>
      </c>
      <c r="N2011">
        <v>1</v>
      </c>
      <c r="O2011">
        <v>10658.88</v>
      </c>
      <c r="P2011" s="1">
        <v>45600.339305555557</v>
      </c>
      <c r="Q2011">
        <v>16</v>
      </c>
      <c r="R2011" t="s">
        <v>141</v>
      </c>
      <c r="S2011">
        <v>-0.95964166080826496</v>
      </c>
      <c r="T2011" t="b">
        <v>0</v>
      </c>
      <c r="U2011" t="b">
        <v>0</v>
      </c>
      <c r="V2011" t="b">
        <f t="shared" si="62"/>
        <v>1</v>
      </c>
      <c r="W2011">
        <v>0</v>
      </c>
      <c r="Y2011">
        <f t="shared" si="63"/>
        <v>0</v>
      </c>
    </row>
    <row r="2012" spans="1:25" x14ac:dyDescent="0.3">
      <c r="A2012" t="s">
        <v>3911</v>
      </c>
      <c r="B2012" t="s">
        <v>2365</v>
      </c>
      <c r="C2012">
        <v>198.01</v>
      </c>
      <c r="D2012" s="1">
        <v>45040.740752314814</v>
      </c>
      <c r="E2012" t="s">
        <v>57</v>
      </c>
      <c r="F2012" t="s">
        <v>131</v>
      </c>
      <c r="G2012" t="s">
        <v>342</v>
      </c>
      <c r="H2012" t="s">
        <v>1440</v>
      </c>
      <c r="I2012" t="s">
        <v>275</v>
      </c>
      <c r="J2012" t="s">
        <v>81</v>
      </c>
      <c r="K2012">
        <v>26</v>
      </c>
      <c r="L2012" t="s">
        <v>46</v>
      </c>
      <c r="M2012">
        <v>40</v>
      </c>
      <c r="N2012">
        <v>1</v>
      </c>
      <c r="O2012">
        <v>250.93</v>
      </c>
      <c r="P2012" s="1">
        <v>45600.340381944443</v>
      </c>
      <c r="Q2012">
        <v>17</v>
      </c>
      <c r="R2012" t="s">
        <v>47</v>
      </c>
      <c r="S2012">
        <v>-0.34110313156451999</v>
      </c>
      <c r="T2012" t="b">
        <v>0</v>
      </c>
      <c r="U2012" t="b">
        <v>0</v>
      </c>
      <c r="V2012" t="b">
        <f t="shared" si="62"/>
        <v>1</v>
      </c>
      <c r="W2012">
        <v>0</v>
      </c>
      <c r="Y2012">
        <f t="shared" si="63"/>
        <v>0</v>
      </c>
    </row>
    <row r="2013" spans="1:25" x14ac:dyDescent="0.3">
      <c r="A2013" t="s">
        <v>3912</v>
      </c>
      <c r="B2013" t="s">
        <v>1251</v>
      </c>
      <c r="C2013">
        <v>585.58000000000004</v>
      </c>
      <c r="D2013" s="1">
        <v>45173.676157407404</v>
      </c>
      <c r="E2013" t="s">
        <v>25</v>
      </c>
      <c r="F2013" t="s">
        <v>50</v>
      </c>
      <c r="G2013" t="s">
        <v>3913</v>
      </c>
      <c r="H2013" t="s">
        <v>1390</v>
      </c>
      <c r="I2013" t="s">
        <v>61</v>
      </c>
      <c r="J2013" t="s">
        <v>81</v>
      </c>
      <c r="K2013">
        <v>23</v>
      </c>
      <c r="L2013" t="s">
        <v>46</v>
      </c>
      <c r="M2013">
        <v>55</v>
      </c>
      <c r="N2013">
        <v>1</v>
      </c>
      <c r="O2013">
        <v>1729.02</v>
      </c>
      <c r="P2013" s="1">
        <v>45600.339768518519</v>
      </c>
      <c r="Q2013">
        <v>16</v>
      </c>
      <c r="R2013" t="s">
        <v>47</v>
      </c>
      <c r="S2013">
        <v>0.98643578625028705</v>
      </c>
      <c r="T2013" t="b">
        <v>0</v>
      </c>
      <c r="U2013" t="b">
        <v>0</v>
      </c>
      <c r="V2013" t="b">
        <f t="shared" si="62"/>
        <v>1</v>
      </c>
      <c r="W2013">
        <v>0</v>
      </c>
      <c r="Y2013">
        <f t="shared" si="63"/>
        <v>0</v>
      </c>
    </row>
    <row r="2014" spans="1:25" x14ac:dyDescent="0.3">
      <c r="A2014" t="s">
        <v>3914</v>
      </c>
      <c r="B2014" t="s">
        <v>654</v>
      </c>
      <c r="C2014">
        <v>434.67</v>
      </c>
      <c r="D2014" s="1">
        <v>45265.772939814815</v>
      </c>
      <c r="E2014" t="s">
        <v>57</v>
      </c>
      <c r="F2014" t="s">
        <v>314</v>
      </c>
      <c r="G2014" t="s">
        <v>3915</v>
      </c>
      <c r="H2014" t="s">
        <v>37</v>
      </c>
      <c r="I2014" t="s">
        <v>1222</v>
      </c>
      <c r="J2014" t="s">
        <v>45</v>
      </c>
      <c r="K2014">
        <v>27</v>
      </c>
      <c r="L2014" t="s">
        <v>46</v>
      </c>
      <c r="M2014">
        <v>124</v>
      </c>
      <c r="N2014">
        <v>1</v>
      </c>
      <c r="O2014">
        <v>1298.1300000000001</v>
      </c>
      <c r="P2014" s="1">
        <v>45600.340381944443</v>
      </c>
      <c r="Q2014">
        <v>18</v>
      </c>
      <c r="R2014" t="s">
        <v>32</v>
      </c>
      <c r="S2014">
        <v>0.46952555561470499</v>
      </c>
      <c r="T2014" t="b">
        <v>0</v>
      </c>
      <c r="U2014" t="b">
        <v>0</v>
      </c>
      <c r="V2014" t="b">
        <f t="shared" si="62"/>
        <v>1</v>
      </c>
      <c r="W2014">
        <v>0</v>
      </c>
      <c r="Y2014">
        <f t="shared" si="63"/>
        <v>0</v>
      </c>
    </row>
    <row r="2015" spans="1:25" x14ac:dyDescent="0.3">
      <c r="A2015" t="s">
        <v>3916</v>
      </c>
      <c r="B2015" t="s">
        <v>2011</v>
      </c>
      <c r="C2015">
        <v>510.7</v>
      </c>
      <c r="D2015" s="1">
        <v>45084.691284722219</v>
      </c>
      <c r="E2015" t="s">
        <v>57</v>
      </c>
      <c r="F2015" t="s">
        <v>92</v>
      </c>
      <c r="G2015" t="s">
        <v>991</v>
      </c>
      <c r="H2015" t="s">
        <v>2026</v>
      </c>
      <c r="I2015" t="s">
        <v>156</v>
      </c>
      <c r="J2015" t="s">
        <v>45</v>
      </c>
      <c r="K2015">
        <v>27</v>
      </c>
      <c r="L2015" t="s">
        <v>46</v>
      </c>
      <c r="M2015">
        <v>294</v>
      </c>
      <c r="N2015">
        <v>1</v>
      </c>
      <c r="O2015">
        <v>5828.48</v>
      </c>
      <c r="P2015" s="1">
        <v>45600.338854166665</v>
      </c>
      <c r="Q2015">
        <v>16</v>
      </c>
      <c r="R2015" t="s">
        <v>74</v>
      </c>
      <c r="S2015">
        <v>0.72995021160319695</v>
      </c>
      <c r="T2015" t="b">
        <v>0</v>
      </c>
      <c r="U2015" t="b">
        <v>0</v>
      </c>
      <c r="V2015" t="b">
        <f t="shared" si="62"/>
        <v>1</v>
      </c>
      <c r="W2015">
        <v>0</v>
      </c>
      <c r="Y2015">
        <f t="shared" si="63"/>
        <v>0</v>
      </c>
    </row>
    <row r="2016" spans="1:25" x14ac:dyDescent="0.3">
      <c r="A2016" t="s">
        <v>3917</v>
      </c>
      <c r="B2016" t="s">
        <v>3918</v>
      </c>
      <c r="C2016">
        <v>331.98</v>
      </c>
      <c r="D2016" s="1">
        <v>45166.694456018522</v>
      </c>
      <c r="E2016" t="s">
        <v>25</v>
      </c>
      <c r="F2016" t="s">
        <v>126</v>
      </c>
      <c r="G2016" t="s">
        <v>3467</v>
      </c>
      <c r="H2016" t="s">
        <v>418</v>
      </c>
      <c r="I2016" t="s">
        <v>491</v>
      </c>
      <c r="J2016" t="s">
        <v>30</v>
      </c>
      <c r="K2016">
        <v>74</v>
      </c>
      <c r="L2016" t="s">
        <v>82</v>
      </c>
      <c r="M2016">
        <v>12</v>
      </c>
      <c r="N2016">
        <v>1</v>
      </c>
      <c r="O2016">
        <v>7600.99</v>
      </c>
      <c r="P2016" s="1">
        <v>45600.339884259258</v>
      </c>
      <c r="Q2016">
        <v>16</v>
      </c>
      <c r="R2016" t="s">
        <v>47</v>
      </c>
      <c r="S2016">
        <v>0.11778271826815399</v>
      </c>
      <c r="T2016" t="b">
        <v>0</v>
      </c>
      <c r="U2016" t="b">
        <v>0</v>
      </c>
      <c r="V2016" t="b">
        <f t="shared" si="62"/>
        <v>1</v>
      </c>
      <c r="W2016">
        <v>0</v>
      </c>
      <c r="Y2016">
        <f t="shared" si="63"/>
        <v>0</v>
      </c>
    </row>
    <row r="2017" spans="1:25" x14ac:dyDescent="0.3">
      <c r="A2017" t="s">
        <v>3919</v>
      </c>
      <c r="B2017" t="s">
        <v>1253</v>
      </c>
      <c r="C2017">
        <v>199.54</v>
      </c>
      <c r="D2017" s="1">
        <v>45209.725381944445</v>
      </c>
      <c r="E2017" t="s">
        <v>25</v>
      </c>
      <c r="F2017" t="s">
        <v>608</v>
      </c>
      <c r="G2017" t="s">
        <v>846</v>
      </c>
      <c r="H2017" t="s">
        <v>3601</v>
      </c>
      <c r="I2017" t="s">
        <v>285</v>
      </c>
      <c r="J2017" t="s">
        <v>45</v>
      </c>
      <c r="K2017">
        <v>56</v>
      </c>
      <c r="L2017" t="s">
        <v>89</v>
      </c>
      <c r="M2017">
        <v>268</v>
      </c>
      <c r="N2017">
        <v>1</v>
      </c>
      <c r="O2017">
        <v>9603.73</v>
      </c>
      <c r="P2017" s="1">
        <v>45600.340844907405</v>
      </c>
      <c r="Q2017">
        <v>17</v>
      </c>
      <c r="R2017" t="s">
        <v>32</v>
      </c>
      <c r="S2017">
        <v>-0.33586244073639498</v>
      </c>
      <c r="T2017" t="b">
        <v>0</v>
      </c>
      <c r="U2017" t="b">
        <v>0</v>
      </c>
      <c r="V2017" t="b">
        <f t="shared" si="62"/>
        <v>1</v>
      </c>
      <c r="W2017">
        <v>0</v>
      </c>
      <c r="Y2017">
        <f t="shared" si="63"/>
        <v>0</v>
      </c>
    </row>
    <row r="2018" spans="1:25" x14ac:dyDescent="0.3">
      <c r="A2018" t="s">
        <v>3920</v>
      </c>
      <c r="B2018" t="s">
        <v>3060</v>
      </c>
      <c r="C2018">
        <v>212.97</v>
      </c>
      <c r="D2018" s="1">
        <v>45244.705949074072</v>
      </c>
      <c r="E2018" t="s">
        <v>25</v>
      </c>
      <c r="F2018" t="s">
        <v>58</v>
      </c>
      <c r="G2018" t="s">
        <v>3921</v>
      </c>
      <c r="H2018" t="s">
        <v>1255</v>
      </c>
      <c r="I2018" t="s">
        <v>375</v>
      </c>
      <c r="J2018" t="s">
        <v>45</v>
      </c>
      <c r="K2018">
        <v>59</v>
      </c>
      <c r="L2018" t="s">
        <v>89</v>
      </c>
      <c r="M2018">
        <v>178</v>
      </c>
      <c r="N2018">
        <v>1</v>
      </c>
      <c r="O2018">
        <v>4180.3999999999996</v>
      </c>
      <c r="P2018" s="1">
        <v>45600.340763888889</v>
      </c>
      <c r="Q2018">
        <v>16</v>
      </c>
      <c r="R2018" t="s">
        <v>32</v>
      </c>
      <c r="S2018">
        <v>-0.28986082124506901</v>
      </c>
      <c r="T2018" t="b">
        <v>0</v>
      </c>
      <c r="U2018" t="b">
        <v>0</v>
      </c>
      <c r="V2018" t="b">
        <f t="shared" si="62"/>
        <v>1</v>
      </c>
      <c r="W2018">
        <v>0</v>
      </c>
      <c r="Y2018">
        <f t="shared" si="63"/>
        <v>0</v>
      </c>
    </row>
    <row r="2019" spans="1:25" x14ac:dyDescent="0.3">
      <c r="A2019" t="s">
        <v>3922</v>
      </c>
      <c r="B2019" t="s">
        <v>169</v>
      </c>
      <c r="C2019">
        <v>270.56</v>
      </c>
      <c r="D2019" s="1">
        <v>44974.706620370373</v>
      </c>
      <c r="E2019" t="s">
        <v>25</v>
      </c>
      <c r="F2019" t="s">
        <v>256</v>
      </c>
      <c r="G2019" t="s">
        <v>941</v>
      </c>
      <c r="H2019" t="s">
        <v>1388</v>
      </c>
      <c r="I2019" t="s">
        <v>871</v>
      </c>
      <c r="J2019" t="s">
        <v>45</v>
      </c>
      <c r="K2019">
        <v>23</v>
      </c>
      <c r="L2019" t="s">
        <v>46</v>
      </c>
      <c r="M2019">
        <v>139</v>
      </c>
      <c r="N2019">
        <v>1</v>
      </c>
      <c r="O2019">
        <v>1268.44</v>
      </c>
      <c r="P2019" s="1">
        <v>45600.338946759257</v>
      </c>
      <c r="Q2019">
        <v>16</v>
      </c>
      <c r="R2019" t="s">
        <v>54</v>
      </c>
      <c r="S2019">
        <v>-9.25984782439222E-2</v>
      </c>
      <c r="T2019" t="b">
        <v>0</v>
      </c>
      <c r="U2019" t="b">
        <v>0</v>
      </c>
      <c r="V2019" t="b">
        <f t="shared" si="62"/>
        <v>1</v>
      </c>
      <c r="W2019">
        <v>0</v>
      </c>
      <c r="Y2019">
        <f t="shared" si="63"/>
        <v>0</v>
      </c>
    </row>
    <row r="2020" spans="1:25" x14ac:dyDescent="0.3">
      <c r="A2020" t="s">
        <v>3923</v>
      </c>
      <c r="B2020" t="s">
        <v>209</v>
      </c>
      <c r="C2020">
        <v>306.37</v>
      </c>
      <c r="D2020" s="1">
        <v>45104.768148148149</v>
      </c>
      <c r="E2020" t="s">
        <v>25</v>
      </c>
      <c r="F2020" t="s">
        <v>534</v>
      </c>
      <c r="G2020" t="s">
        <v>1128</v>
      </c>
      <c r="H2020" t="s">
        <v>3465</v>
      </c>
      <c r="I2020" t="s">
        <v>29</v>
      </c>
      <c r="J2020" t="s">
        <v>30</v>
      </c>
      <c r="K2020">
        <v>26</v>
      </c>
      <c r="L2020" t="s">
        <v>89</v>
      </c>
      <c r="M2020">
        <v>120</v>
      </c>
      <c r="N2020">
        <v>1</v>
      </c>
      <c r="O2020">
        <v>9609.67</v>
      </c>
      <c r="P2020" s="1">
        <v>45600.338692129626</v>
      </c>
      <c r="Q2020">
        <v>18</v>
      </c>
      <c r="R2020" t="s">
        <v>32</v>
      </c>
      <c r="S2020">
        <v>3.0061089439201601E-2</v>
      </c>
      <c r="T2020" t="b">
        <v>0</v>
      </c>
      <c r="U2020" t="b">
        <v>0</v>
      </c>
      <c r="V2020" t="b">
        <f t="shared" si="62"/>
        <v>1</v>
      </c>
      <c r="W2020">
        <v>0</v>
      </c>
      <c r="Y2020">
        <f t="shared" si="63"/>
        <v>0</v>
      </c>
    </row>
    <row r="2021" spans="1:25" x14ac:dyDescent="0.3">
      <c r="A2021" t="s">
        <v>3924</v>
      </c>
      <c r="B2021" t="s">
        <v>839</v>
      </c>
      <c r="C2021">
        <v>643.02</v>
      </c>
      <c r="D2021" s="1">
        <v>45201.74119212963</v>
      </c>
      <c r="E2021" t="s">
        <v>57</v>
      </c>
      <c r="F2021" t="s">
        <v>85</v>
      </c>
      <c r="G2021" t="s">
        <v>1044</v>
      </c>
      <c r="H2021" t="s">
        <v>520</v>
      </c>
      <c r="I2021" t="s">
        <v>162</v>
      </c>
      <c r="J2021" t="s">
        <v>30</v>
      </c>
      <c r="K2021">
        <v>38</v>
      </c>
      <c r="L2021" t="s">
        <v>31</v>
      </c>
      <c r="M2021">
        <v>85</v>
      </c>
      <c r="N2021">
        <v>1</v>
      </c>
      <c r="O2021">
        <v>11989.39</v>
      </c>
      <c r="P2021" s="1">
        <v>45600.338206018518</v>
      </c>
      <c r="Q2021">
        <v>17</v>
      </c>
      <c r="R2021" t="s">
        <v>47</v>
      </c>
      <c r="S2021">
        <v>1.1831843360329899</v>
      </c>
      <c r="T2021" t="b">
        <v>0</v>
      </c>
      <c r="U2021" t="b">
        <v>0</v>
      </c>
      <c r="V2021" t="b">
        <f t="shared" si="62"/>
        <v>1</v>
      </c>
      <c r="W2021">
        <v>0</v>
      </c>
      <c r="Y2021">
        <f t="shared" si="63"/>
        <v>0</v>
      </c>
    </row>
    <row r="2022" spans="1:25" x14ac:dyDescent="0.3">
      <c r="A2022" t="s">
        <v>3925</v>
      </c>
      <c r="B2022" t="s">
        <v>196</v>
      </c>
      <c r="C2022">
        <v>98.48</v>
      </c>
      <c r="D2022" s="1">
        <v>44973.718530092592</v>
      </c>
      <c r="E2022" t="s">
        <v>25</v>
      </c>
      <c r="F2022" t="s">
        <v>185</v>
      </c>
      <c r="G2022" t="s">
        <v>964</v>
      </c>
      <c r="H2022" t="s">
        <v>690</v>
      </c>
      <c r="I2022" t="s">
        <v>290</v>
      </c>
      <c r="J2022" t="s">
        <v>81</v>
      </c>
      <c r="K2022">
        <v>47</v>
      </c>
      <c r="L2022" t="s">
        <v>89</v>
      </c>
      <c r="M2022">
        <v>12</v>
      </c>
      <c r="N2022">
        <v>1</v>
      </c>
      <c r="O2022">
        <v>9538.92</v>
      </c>
      <c r="P2022" s="1">
        <v>45600.341307870367</v>
      </c>
      <c r="Q2022">
        <v>17</v>
      </c>
      <c r="R2022" t="s">
        <v>141</v>
      </c>
      <c r="S2022">
        <v>-0.68202205844252395</v>
      </c>
      <c r="T2022" t="b">
        <v>0</v>
      </c>
      <c r="U2022" t="b">
        <v>0</v>
      </c>
      <c r="V2022" t="b">
        <f t="shared" si="62"/>
        <v>1</v>
      </c>
      <c r="W2022">
        <v>0</v>
      </c>
      <c r="Y2022">
        <f t="shared" si="63"/>
        <v>0</v>
      </c>
    </row>
    <row r="2023" spans="1:25" x14ac:dyDescent="0.3">
      <c r="A2023" t="s">
        <v>3926</v>
      </c>
      <c r="B2023" t="s">
        <v>981</v>
      </c>
      <c r="C2023">
        <v>889.01</v>
      </c>
      <c r="D2023" s="1">
        <v>45167.746608796297</v>
      </c>
      <c r="E2023" t="s">
        <v>25</v>
      </c>
      <c r="F2023" t="s">
        <v>314</v>
      </c>
      <c r="G2023" t="s">
        <v>2771</v>
      </c>
      <c r="H2023" t="s">
        <v>348</v>
      </c>
      <c r="I2023" t="s">
        <v>107</v>
      </c>
      <c r="J2023" t="s">
        <v>45</v>
      </c>
      <c r="K2023">
        <v>36</v>
      </c>
      <c r="L2023" t="s">
        <v>89</v>
      </c>
      <c r="M2023">
        <v>169</v>
      </c>
      <c r="N2023">
        <v>1</v>
      </c>
      <c r="O2023">
        <v>4826.88</v>
      </c>
      <c r="P2023" s="1">
        <v>45600.341238425928</v>
      </c>
      <c r="Q2023">
        <v>17</v>
      </c>
      <c r="R2023" t="s">
        <v>32</v>
      </c>
      <c r="S2023">
        <v>2.0257709613994099</v>
      </c>
      <c r="T2023" t="b">
        <v>0</v>
      </c>
      <c r="U2023" t="b">
        <v>0</v>
      </c>
      <c r="V2023" t="b">
        <f t="shared" si="62"/>
        <v>1</v>
      </c>
      <c r="W2023">
        <v>0</v>
      </c>
      <c r="Y2023">
        <f t="shared" si="63"/>
        <v>0</v>
      </c>
    </row>
    <row r="2024" spans="1:25" x14ac:dyDescent="0.3">
      <c r="A2024" t="s">
        <v>3927</v>
      </c>
      <c r="B2024" t="s">
        <v>272</v>
      </c>
      <c r="C2024">
        <v>537.86</v>
      </c>
      <c r="D2024" s="1">
        <v>45188.697465277779</v>
      </c>
      <c r="E2024" t="s">
        <v>25</v>
      </c>
      <c r="F2024" t="s">
        <v>304</v>
      </c>
      <c r="G2024" t="s">
        <v>2173</v>
      </c>
      <c r="H2024" t="s">
        <v>2938</v>
      </c>
      <c r="I2024" t="s">
        <v>366</v>
      </c>
      <c r="J2024" t="s">
        <v>45</v>
      </c>
      <c r="K2024">
        <v>27</v>
      </c>
      <c r="L2024" t="s">
        <v>46</v>
      </c>
      <c r="M2024">
        <v>134</v>
      </c>
      <c r="N2024">
        <v>1</v>
      </c>
      <c r="O2024">
        <v>293.06</v>
      </c>
      <c r="P2024" s="1">
        <v>45600.339895833335</v>
      </c>
      <c r="Q2024">
        <v>16</v>
      </c>
      <c r="R2024" t="s">
        <v>32</v>
      </c>
      <c r="S2024">
        <v>0.82298103702273495</v>
      </c>
      <c r="T2024" t="b">
        <v>0</v>
      </c>
      <c r="U2024" t="b">
        <v>0</v>
      </c>
      <c r="V2024" t="b">
        <f t="shared" si="62"/>
        <v>1</v>
      </c>
      <c r="W2024">
        <v>0</v>
      </c>
      <c r="Y2024">
        <f t="shared" si="63"/>
        <v>0</v>
      </c>
    </row>
    <row r="2025" spans="1:25" x14ac:dyDescent="0.3">
      <c r="A2025" t="s">
        <v>3928</v>
      </c>
      <c r="B2025" t="s">
        <v>476</v>
      </c>
      <c r="C2025">
        <v>241.18</v>
      </c>
      <c r="D2025" s="1">
        <v>45076.770312499997</v>
      </c>
      <c r="E2025" t="s">
        <v>25</v>
      </c>
      <c r="F2025" t="s">
        <v>41</v>
      </c>
      <c r="G2025" t="s">
        <v>448</v>
      </c>
      <c r="H2025" t="s">
        <v>3894</v>
      </c>
      <c r="I2025" t="s">
        <v>117</v>
      </c>
      <c r="J2025" t="s">
        <v>30</v>
      </c>
      <c r="K2025">
        <v>25</v>
      </c>
      <c r="L2025" t="s">
        <v>46</v>
      </c>
      <c r="M2025">
        <v>162</v>
      </c>
      <c r="N2025">
        <v>1</v>
      </c>
      <c r="O2025">
        <v>1445.53</v>
      </c>
      <c r="P2025" s="1">
        <v>45600.338148148148</v>
      </c>
      <c r="Q2025">
        <v>18</v>
      </c>
      <c r="R2025" t="s">
        <v>32</v>
      </c>
      <c r="S2025">
        <v>-0.193233443296426</v>
      </c>
      <c r="T2025" t="b">
        <v>0</v>
      </c>
      <c r="U2025" t="b">
        <v>0</v>
      </c>
      <c r="V2025" t="b">
        <f t="shared" si="62"/>
        <v>1</v>
      </c>
      <c r="W2025">
        <v>0</v>
      </c>
      <c r="Y2025">
        <f t="shared" si="63"/>
        <v>0</v>
      </c>
    </row>
    <row r="2026" spans="1:25" x14ac:dyDescent="0.3">
      <c r="A2026" t="s">
        <v>3929</v>
      </c>
      <c r="B2026" t="s">
        <v>714</v>
      </c>
      <c r="C2026">
        <v>130.54</v>
      </c>
      <c r="D2026" s="1">
        <v>45021.722638888888</v>
      </c>
      <c r="E2026" t="s">
        <v>25</v>
      </c>
      <c r="F2026" t="s">
        <v>58</v>
      </c>
      <c r="G2026" t="s">
        <v>587</v>
      </c>
      <c r="H2026" t="s">
        <v>270</v>
      </c>
      <c r="I2026" t="s">
        <v>239</v>
      </c>
      <c r="J2026" t="s">
        <v>30</v>
      </c>
      <c r="K2026">
        <v>64</v>
      </c>
      <c r="L2026" t="s">
        <v>31</v>
      </c>
      <c r="M2026">
        <v>94</v>
      </c>
      <c r="N2026">
        <v>1</v>
      </c>
      <c r="O2026">
        <v>11204.62</v>
      </c>
      <c r="P2026" s="1">
        <v>45600.340162037035</v>
      </c>
      <c r="Q2026">
        <v>17</v>
      </c>
      <c r="R2026" t="s">
        <v>74</v>
      </c>
      <c r="S2026">
        <v>-0.572207321220492</v>
      </c>
      <c r="T2026" t="b">
        <v>0</v>
      </c>
      <c r="U2026" t="b">
        <v>0</v>
      </c>
      <c r="V2026" t="b">
        <f t="shared" si="62"/>
        <v>1</v>
      </c>
      <c r="W2026">
        <v>0</v>
      </c>
      <c r="Y2026">
        <f t="shared" si="63"/>
        <v>0</v>
      </c>
    </row>
    <row r="2027" spans="1:25" x14ac:dyDescent="0.3">
      <c r="A2027" t="s">
        <v>3930</v>
      </c>
      <c r="B2027" t="s">
        <v>184</v>
      </c>
      <c r="C2027">
        <v>800.29</v>
      </c>
      <c r="D2027" s="1">
        <v>45264.684340277781</v>
      </c>
      <c r="E2027" t="s">
        <v>57</v>
      </c>
      <c r="F2027" t="s">
        <v>26</v>
      </c>
      <c r="G2027" t="s">
        <v>554</v>
      </c>
      <c r="H2027" t="s">
        <v>3931</v>
      </c>
      <c r="I2027" t="s">
        <v>463</v>
      </c>
      <c r="J2027" t="s">
        <v>81</v>
      </c>
      <c r="K2027">
        <v>20</v>
      </c>
      <c r="L2027" t="s">
        <v>46</v>
      </c>
      <c r="M2027">
        <v>84</v>
      </c>
      <c r="N2027">
        <v>1</v>
      </c>
      <c r="O2027">
        <v>693.4</v>
      </c>
      <c r="P2027" s="1">
        <v>45600.341458333336</v>
      </c>
      <c r="Q2027">
        <v>16</v>
      </c>
      <c r="R2027" t="s">
        <v>47</v>
      </c>
      <c r="S2027">
        <v>1.7218793991305801</v>
      </c>
      <c r="T2027" t="b">
        <v>0</v>
      </c>
      <c r="U2027" t="b">
        <v>0</v>
      </c>
      <c r="V2027" t="b">
        <f t="shared" si="62"/>
        <v>1</v>
      </c>
      <c r="W2027">
        <v>0</v>
      </c>
      <c r="Y2027">
        <f t="shared" si="63"/>
        <v>0</v>
      </c>
    </row>
    <row r="2028" spans="1:25" x14ac:dyDescent="0.3">
      <c r="A2028" t="s">
        <v>3932</v>
      </c>
      <c r="B2028" t="s">
        <v>76</v>
      </c>
      <c r="C2028">
        <v>8.81</v>
      </c>
      <c r="D2028" s="1">
        <v>45068.706597222219</v>
      </c>
      <c r="E2028" t="s">
        <v>25</v>
      </c>
      <c r="F2028" t="s">
        <v>336</v>
      </c>
      <c r="G2028" t="s">
        <v>332</v>
      </c>
      <c r="H2028" t="s">
        <v>207</v>
      </c>
      <c r="I2028" t="s">
        <v>259</v>
      </c>
      <c r="J2028" t="s">
        <v>45</v>
      </c>
      <c r="K2028">
        <v>57</v>
      </c>
      <c r="L2028" t="s">
        <v>31</v>
      </c>
      <c r="M2028">
        <v>165</v>
      </c>
      <c r="N2028">
        <v>1</v>
      </c>
      <c r="O2028">
        <v>13523.65</v>
      </c>
      <c r="P2028" s="1">
        <v>45600.340046296296</v>
      </c>
      <c r="Q2028">
        <v>16</v>
      </c>
      <c r="R2028" t="s">
        <v>47</v>
      </c>
      <c r="S2028">
        <v>-0.98916764442816196</v>
      </c>
      <c r="T2028" t="b">
        <v>0</v>
      </c>
      <c r="U2028" t="b">
        <v>0</v>
      </c>
      <c r="V2028" t="b">
        <f t="shared" si="62"/>
        <v>1</v>
      </c>
      <c r="W2028">
        <v>0</v>
      </c>
      <c r="Y2028">
        <f t="shared" si="63"/>
        <v>0</v>
      </c>
    </row>
    <row r="2029" spans="1:25" x14ac:dyDescent="0.3">
      <c r="A2029" t="s">
        <v>3933</v>
      </c>
      <c r="B2029" t="s">
        <v>889</v>
      </c>
      <c r="C2029">
        <v>28.52</v>
      </c>
      <c r="D2029" s="1">
        <v>45079.704305555555</v>
      </c>
      <c r="E2029" t="s">
        <v>25</v>
      </c>
      <c r="F2029" t="s">
        <v>85</v>
      </c>
      <c r="G2029" t="s">
        <v>906</v>
      </c>
      <c r="H2029" t="s">
        <v>1745</v>
      </c>
      <c r="I2029" t="s">
        <v>1050</v>
      </c>
      <c r="J2029" t="s">
        <v>30</v>
      </c>
      <c r="K2029">
        <v>20</v>
      </c>
      <c r="L2029" t="s">
        <v>46</v>
      </c>
      <c r="M2029">
        <v>163</v>
      </c>
      <c r="N2029">
        <v>1</v>
      </c>
      <c r="O2029">
        <v>662.51</v>
      </c>
      <c r="P2029" s="1">
        <v>45600.339212962965</v>
      </c>
      <c r="Q2029">
        <v>16</v>
      </c>
      <c r="R2029" t="s">
        <v>54</v>
      </c>
      <c r="S2029">
        <v>-0.92165521552466101</v>
      </c>
      <c r="T2029" t="b">
        <v>0</v>
      </c>
      <c r="U2029" t="b">
        <v>0</v>
      </c>
      <c r="V2029" t="b">
        <f t="shared" si="62"/>
        <v>1</v>
      </c>
      <c r="W2029">
        <v>0</v>
      </c>
      <c r="Y2029">
        <f t="shared" si="63"/>
        <v>0</v>
      </c>
    </row>
    <row r="2030" spans="1:25" x14ac:dyDescent="0.3">
      <c r="A2030" t="s">
        <v>3934</v>
      </c>
      <c r="B2030" t="s">
        <v>3367</v>
      </c>
      <c r="C2030">
        <v>431.31</v>
      </c>
      <c r="D2030" s="1">
        <v>45047.679351851853</v>
      </c>
      <c r="E2030" t="s">
        <v>57</v>
      </c>
      <c r="F2030" t="s">
        <v>58</v>
      </c>
      <c r="G2030" t="s">
        <v>422</v>
      </c>
      <c r="H2030" t="s">
        <v>3419</v>
      </c>
      <c r="I2030" t="s">
        <v>1050</v>
      </c>
      <c r="J2030" t="s">
        <v>45</v>
      </c>
      <c r="K2030">
        <v>23</v>
      </c>
      <c r="L2030" t="s">
        <v>46</v>
      </c>
      <c r="M2030">
        <v>99</v>
      </c>
      <c r="N2030">
        <v>1</v>
      </c>
      <c r="O2030">
        <v>342.73</v>
      </c>
      <c r="P2030" s="1">
        <v>45600.339918981481</v>
      </c>
      <c r="Q2030">
        <v>16</v>
      </c>
      <c r="R2030" t="s">
        <v>47</v>
      </c>
      <c r="S2030">
        <v>0.45801658752156599</v>
      </c>
      <c r="T2030" t="b">
        <v>0</v>
      </c>
      <c r="U2030" t="b">
        <v>0</v>
      </c>
      <c r="V2030" t="b">
        <f t="shared" si="62"/>
        <v>1</v>
      </c>
      <c r="W2030">
        <v>0</v>
      </c>
      <c r="Y2030">
        <f t="shared" si="63"/>
        <v>0</v>
      </c>
    </row>
    <row r="2031" spans="1:25" x14ac:dyDescent="0.3">
      <c r="A2031" t="s">
        <v>3935</v>
      </c>
      <c r="B2031" t="s">
        <v>868</v>
      </c>
      <c r="C2031">
        <v>885.33</v>
      </c>
      <c r="D2031" s="1">
        <v>45160.779050925928</v>
      </c>
      <c r="E2031" t="s">
        <v>57</v>
      </c>
      <c r="F2031" t="s">
        <v>50</v>
      </c>
      <c r="G2031" t="s">
        <v>705</v>
      </c>
      <c r="H2031" t="s">
        <v>395</v>
      </c>
      <c r="I2031" t="s">
        <v>117</v>
      </c>
      <c r="J2031" t="s">
        <v>30</v>
      </c>
      <c r="K2031">
        <v>47</v>
      </c>
      <c r="L2031" t="s">
        <v>89</v>
      </c>
      <c r="M2031">
        <v>59</v>
      </c>
      <c r="N2031">
        <v>1</v>
      </c>
      <c r="O2031">
        <v>7764.16</v>
      </c>
      <c r="P2031" s="1">
        <v>45600.340312499997</v>
      </c>
      <c r="Q2031">
        <v>18</v>
      </c>
      <c r="R2031" t="s">
        <v>32</v>
      </c>
      <c r="S2031">
        <v>2.0131659011069298</v>
      </c>
      <c r="T2031" t="b">
        <v>0</v>
      </c>
      <c r="U2031" t="b">
        <v>0</v>
      </c>
      <c r="V2031" t="b">
        <f t="shared" si="62"/>
        <v>1</v>
      </c>
      <c r="W2031">
        <v>0</v>
      </c>
      <c r="Y2031">
        <f t="shared" si="63"/>
        <v>0</v>
      </c>
    </row>
    <row r="2032" spans="1:25" x14ac:dyDescent="0.3">
      <c r="A2032" t="s">
        <v>3936</v>
      </c>
      <c r="B2032" t="s">
        <v>3937</v>
      </c>
      <c r="C2032">
        <v>199.23</v>
      </c>
      <c r="D2032" s="1">
        <v>45173.669756944444</v>
      </c>
      <c r="E2032" t="s">
        <v>25</v>
      </c>
      <c r="F2032" t="s">
        <v>268</v>
      </c>
      <c r="G2032" t="s">
        <v>949</v>
      </c>
      <c r="H2032" t="s">
        <v>87</v>
      </c>
      <c r="I2032" t="s">
        <v>38</v>
      </c>
      <c r="J2032" t="s">
        <v>30</v>
      </c>
      <c r="K2032">
        <v>29</v>
      </c>
      <c r="L2032" t="s">
        <v>89</v>
      </c>
      <c r="M2032">
        <v>54</v>
      </c>
      <c r="N2032">
        <v>1</v>
      </c>
      <c r="O2032">
        <v>9834</v>
      </c>
      <c r="P2032" s="1">
        <v>45600.338726851849</v>
      </c>
      <c r="Q2032">
        <v>16</v>
      </c>
      <c r="R2032" t="s">
        <v>47</v>
      </c>
      <c r="S2032">
        <v>-0.33692428005451203</v>
      </c>
      <c r="T2032" t="b">
        <v>0</v>
      </c>
      <c r="U2032" t="b">
        <v>0</v>
      </c>
      <c r="V2032" t="b">
        <f t="shared" si="62"/>
        <v>1</v>
      </c>
      <c r="W2032">
        <v>0</v>
      </c>
      <c r="Y2032">
        <f t="shared" si="63"/>
        <v>0</v>
      </c>
    </row>
    <row r="2033" spans="1:25" x14ac:dyDescent="0.3">
      <c r="A2033" t="s">
        <v>3938</v>
      </c>
      <c r="B2033" t="s">
        <v>1346</v>
      </c>
      <c r="C2033">
        <v>42.26</v>
      </c>
      <c r="D2033" s="1">
        <v>45225.680150462962</v>
      </c>
      <c r="E2033" t="s">
        <v>25</v>
      </c>
      <c r="F2033" t="s">
        <v>50</v>
      </c>
      <c r="G2033" t="s">
        <v>952</v>
      </c>
      <c r="H2033" t="s">
        <v>161</v>
      </c>
      <c r="I2033" t="s">
        <v>1027</v>
      </c>
      <c r="J2033" t="s">
        <v>30</v>
      </c>
      <c r="K2033">
        <v>44</v>
      </c>
      <c r="L2033" t="s">
        <v>31</v>
      </c>
      <c r="M2033">
        <v>171</v>
      </c>
      <c r="N2033">
        <v>1</v>
      </c>
      <c r="O2033">
        <v>268.77</v>
      </c>
      <c r="P2033" s="1">
        <v>45600.339988425927</v>
      </c>
      <c r="Q2033">
        <v>16</v>
      </c>
      <c r="R2033" t="s">
        <v>141</v>
      </c>
      <c r="S2033">
        <v>-0.87459175671521905</v>
      </c>
      <c r="T2033" t="b">
        <v>0</v>
      </c>
      <c r="U2033" t="b">
        <v>0</v>
      </c>
      <c r="V2033" t="b">
        <f t="shared" si="62"/>
        <v>1</v>
      </c>
      <c r="W2033">
        <v>0</v>
      </c>
      <c r="Y2033">
        <f t="shared" si="63"/>
        <v>0</v>
      </c>
    </row>
    <row r="2034" spans="1:25" x14ac:dyDescent="0.3">
      <c r="A2034" t="s">
        <v>3939</v>
      </c>
      <c r="B2034" t="s">
        <v>350</v>
      </c>
      <c r="C2034">
        <v>166.06</v>
      </c>
      <c r="D2034" s="1">
        <v>45121.670902777776</v>
      </c>
      <c r="E2034" t="s">
        <v>25</v>
      </c>
      <c r="F2034" t="s">
        <v>77</v>
      </c>
      <c r="G2034" t="s">
        <v>1658</v>
      </c>
      <c r="H2034" t="s">
        <v>1129</v>
      </c>
      <c r="I2034" t="s">
        <v>80</v>
      </c>
      <c r="J2034" t="s">
        <v>30</v>
      </c>
      <c r="K2034">
        <v>30</v>
      </c>
      <c r="L2034" t="s">
        <v>89</v>
      </c>
      <c r="M2034">
        <v>172</v>
      </c>
      <c r="N2034">
        <v>1</v>
      </c>
      <c r="O2034">
        <v>5397.68</v>
      </c>
      <c r="P2034" s="1">
        <v>45600.338240740741</v>
      </c>
      <c r="Q2034">
        <v>16</v>
      </c>
      <c r="R2034" t="s">
        <v>54</v>
      </c>
      <c r="S2034">
        <v>-0.45054108709302598</v>
      </c>
      <c r="T2034" t="b">
        <v>0</v>
      </c>
      <c r="U2034" t="b">
        <v>0</v>
      </c>
      <c r="V2034" t="b">
        <f t="shared" si="62"/>
        <v>1</v>
      </c>
      <c r="W2034">
        <v>0</v>
      </c>
      <c r="Y2034">
        <f t="shared" si="63"/>
        <v>0</v>
      </c>
    </row>
    <row r="2035" spans="1:25" x14ac:dyDescent="0.3">
      <c r="A2035" t="s">
        <v>3940</v>
      </c>
      <c r="B2035" t="s">
        <v>3315</v>
      </c>
      <c r="C2035">
        <v>357.72</v>
      </c>
      <c r="D2035" s="1">
        <v>45145.729027777779</v>
      </c>
      <c r="E2035" t="s">
        <v>25</v>
      </c>
      <c r="F2035" t="s">
        <v>185</v>
      </c>
      <c r="G2035" t="s">
        <v>2400</v>
      </c>
      <c r="H2035" t="s">
        <v>1436</v>
      </c>
      <c r="I2035" t="s">
        <v>997</v>
      </c>
      <c r="J2035" t="s">
        <v>30</v>
      </c>
      <c r="K2035">
        <v>53</v>
      </c>
      <c r="L2035" t="s">
        <v>82</v>
      </c>
      <c r="M2035">
        <v>25</v>
      </c>
      <c r="N2035">
        <v>1</v>
      </c>
      <c r="O2035">
        <v>7659.5</v>
      </c>
      <c r="P2035" s="1">
        <v>45600.341192129628</v>
      </c>
      <c r="Q2035">
        <v>17</v>
      </c>
      <c r="R2035" t="s">
        <v>47</v>
      </c>
      <c r="S2035">
        <v>0.20594963455309101</v>
      </c>
      <c r="T2035" t="b">
        <v>0</v>
      </c>
      <c r="U2035" t="b">
        <v>0</v>
      </c>
      <c r="V2035" t="b">
        <f t="shared" si="62"/>
        <v>1</v>
      </c>
      <c r="W2035">
        <v>0</v>
      </c>
      <c r="Y2035">
        <f t="shared" si="63"/>
        <v>0</v>
      </c>
    </row>
    <row r="2036" spans="1:25" x14ac:dyDescent="0.3">
      <c r="A2036" t="s">
        <v>3941</v>
      </c>
      <c r="B2036" t="s">
        <v>3942</v>
      </c>
      <c r="C2036">
        <v>588.37</v>
      </c>
      <c r="D2036" s="1">
        <v>44931.742002314815</v>
      </c>
      <c r="E2036" t="s">
        <v>25</v>
      </c>
      <c r="F2036" t="s">
        <v>336</v>
      </c>
      <c r="G2036" t="s">
        <v>1083</v>
      </c>
      <c r="H2036" t="s">
        <v>247</v>
      </c>
      <c r="I2036" t="s">
        <v>753</v>
      </c>
      <c r="J2036" t="s">
        <v>45</v>
      </c>
      <c r="K2036">
        <v>28</v>
      </c>
      <c r="L2036" t="s">
        <v>46</v>
      </c>
      <c r="M2036">
        <v>284</v>
      </c>
      <c r="N2036">
        <v>1</v>
      </c>
      <c r="O2036">
        <v>1926.08</v>
      </c>
      <c r="P2036" s="1">
        <v>45600.338645833333</v>
      </c>
      <c r="Q2036">
        <v>17</v>
      </c>
      <c r="R2036" t="s">
        <v>141</v>
      </c>
      <c r="S2036">
        <v>0.99599234011334004</v>
      </c>
      <c r="T2036" t="b">
        <v>0</v>
      </c>
      <c r="U2036" t="b">
        <v>0</v>
      </c>
      <c r="V2036" t="b">
        <f t="shared" si="62"/>
        <v>1</v>
      </c>
      <c r="W2036">
        <v>0</v>
      </c>
      <c r="Y2036">
        <f t="shared" si="63"/>
        <v>0</v>
      </c>
    </row>
    <row r="2037" spans="1:25" x14ac:dyDescent="0.3">
      <c r="A2037" t="s">
        <v>3943</v>
      </c>
      <c r="B2037" t="s">
        <v>2520</v>
      </c>
      <c r="C2037">
        <v>72.819999999999993</v>
      </c>
      <c r="D2037" s="1">
        <v>45240.701793981483</v>
      </c>
      <c r="E2037" t="s">
        <v>25</v>
      </c>
      <c r="F2037" t="s">
        <v>35</v>
      </c>
      <c r="G2037" t="s">
        <v>470</v>
      </c>
      <c r="H2037" t="s">
        <v>1572</v>
      </c>
      <c r="I2037" t="s">
        <v>383</v>
      </c>
      <c r="J2037" t="s">
        <v>45</v>
      </c>
      <c r="K2037">
        <v>68</v>
      </c>
      <c r="L2037" t="s">
        <v>31</v>
      </c>
      <c r="M2037">
        <v>127</v>
      </c>
      <c r="N2037">
        <v>1</v>
      </c>
      <c r="O2037">
        <v>6911.62</v>
      </c>
      <c r="P2037" s="1">
        <v>45600.338067129633</v>
      </c>
      <c r="Q2037">
        <v>16</v>
      </c>
      <c r="R2037" t="s">
        <v>54</v>
      </c>
      <c r="S2037">
        <v>-0.76991495167762503</v>
      </c>
      <c r="T2037" t="b">
        <v>0</v>
      </c>
      <c r="U2037" t="b">
        <v>0</v>
      </c>
      <c r="V2037" t="b">
        <f t="shared" si="62"/>
        <v>1</v>
      </c>
      <c r="W2037">
        <v>0</v>
      </c>
      <c r="Y2037">
        <f t="shared" si="63"/>
        <v>0</v>
      </c>
    </row>
    <row r="2038" spans="1:25" x14ac:dyDescent="0.3">
      <c r="A2038" t="s">
        <v>3944</v>
      </c>
      <c r="B2038" t="s">
        <v>346</v>
      </c>
      <c r="C2038">
        <v>162.36000000000001</v>
      </c>
      <c r="D2038" s="1">
        <v>45252.673981481479</v>
      </c>
      <c r="E2038" t="s">
        <v>25</v>
      </c>
      <c r="F2038" t="s">
        <v>268</v>
      </c>
      <c r="G2038" t="s">
        <v>956</v>
      </c>
      <c r="H2038" t="s">
        <v>391</v>
      </c>
      <c r="I2038" t="s">
        <v>866</v>
      </c>
      <c r="J2038" t="s">
        <v>45</v>
      </c>
      <c r="K2038">
        <v>36</v>
      </c>
      <c r="L2038" t="s">
        <v>89</v>
      </c>
      <c r="M2038">
        <v>147</v>
      </c>
      <c r="N2038">
        <v>1</v>
      </c>
      <c r="O2038">
        <v>7527.04</v>
      </c>
      <c r="P2038" s="1">
        <v>45600.339606481481</v>
      </c>
      <c r="Q2038">
        <v>16</v>
      </c>
      <c r="R2038" t="s">
        <v>74</v>
      </c>
      <c r="S2038">
        <v>-0.463214653147971</v>
      </c>
      <c r="T2038" t="b">
        <v>0</v>
      </c>
      <c r="U2038" t="b">
        <v>0</v>
      </c>
      <c r="V2038" t="b">
        <f t="shared" si="62"/>
        <v>1</v>
      </c>
      <c r="W2038">
        <v>0</v>
      </c>
      <c r="Y2038">
        <f t="shared" si="63"/>
        <v>0</v>
      </c>
    </row>
    <row r="2039" spans="1:25" x14ac:dyDescent="0.3">
      <c r="A2039" t="s">
        <v>3945</v>
      </c>
      <c r="B2039" t="s">
        <v>2501</v>
      </c>
      <c r="C2039">
        <v>584.82000000000005</v>
      </c>
      <c r="D2039" s="1">
        <v>45216.67460648148</v>
      </c>
      <c r="E2039" t="s">
        <v>57</v>
      </c>
      <c r="F2039" t="s">
        <v>92</v>
      </c>
      <c r="G2039" t="s">
        <v>3493</v>
      </c>
      <c r="H2039" t="s">
        <v>1066</v>
      </c>
      <c r="I2039" t="s">
        <v>112</v>
      </c>
      <c r="J2039" t="s">
        <v>45</v>
      </c>
      <c r="K2039">
        <v>43</v>
      </c>
      <c r="L2039" t="s">
        <v>31</v>
      </c>
      <c r="M2039">
        <v>109</v>
      </c>
      <c r="N2039">
        <v>1</v>
      </c>
      <c r="O2039">
        <v>12071.1</v>
      </c>
      <c r="P2039" s="1">
        <v>45600.340127314812</v>
      </c>
      <c r="Q2039">
        <v>16</v>
      </c>
      <c r="R2039" t="s">
        <v>32</v>
      </c>
      <c r="S2039">
        <v>0.98383256727683899</v>
      </c>
      <c r="T2039" t="b">
        <v>0</v>
      </c>
      <c r="U2039" t="b">
        <v>0</v>
      </c>
      <c r="V2039" t="b">
        <f t="shared" si="62"/>
        <v>1</v>
      </c>
      <c r="W2039">
        <v>0</v>
      </c>
      <c r="Y2039">
        <f t="shared" si="63"/>
        <v>0</v>
      </c>
    </row>
    <row r="2040" spans="1:25" x14ac:dyDescent="0.3">
      <c r="A2040" t="s">
        <v>3946</v>
      </c>
      <c r="B2040" t="s">
        <v>3367</v>
      </c>
      <c r="C2040">
        <v>38.15</v>
      </c>
      <c r="D2040" s="1">
        <v>45205.692546296297</v>
      </c>
      <c r="E2040" t="s">
        <v>57</v>
      </c>
      <c r="F2040" t="s">
        <v>64</v>
      </c>
      <c r="G2040" t="s">
        <v>2308</v>
      </c>
      <c r="H2040" t="s">
        <v>800</v>
      </c>
      <c r="I2040" t="s">
        <v>162</v>
      </c>
      <c r="J2040" t="s">
        <v>45</v>
      </c>
      <c r="K2040">
        <v>72</v>
      </c>
      <c r="L2040" t="s">
        <v>82</v>
      </c>
      <c r="M2040">
        <v>129</v>
      </c>
      <c r="N2040">
        <v>1</v>
      </c>
      <c r="O2040">
        <v>1425.47</v>
      </c>
      <c r="P2040" s="1">
        <v>45600.341932870368</v>
      </c>
      <c r="Q2040">
        <v>16</v>
      </c>
      <c r="R2040" t="s">
        <v>54</v>
      </c>
      <c r="S2040">
        <v>-0.88866969090057601</v>
      </c>
      <c r="T2040" t="b">
        <v>0</v>
      </c>
      <c r="U2040" t="b">
        <v>0</v>
      </c>
      <c r="V2040" t="b">
        <f t="shared" si="62"/>
        <v>1</v>
      </c>
      <c r="W2040">
        <v>0</v>
      </c>
      <c r="Y2040">
        <f t="shared" si="63"/>
        <v>0</v>
      </c>
    </row>
    <row r="2041" spans="1:25" x14ac:dyDescent="0.3">
      <c r="A2041" t="s">
        <v>3947</v>
      </c>
      <c r="B2041" t="s">
        <v>1695</v>
      </c>
      <c r="C2041">
        <v>477.54</v>
      </c>
      <c r="D2041" s="1">
        <v>45159.722280092596</v>
      </c>
      <c r="E2041" t="s">
        <v>57</v>
      </c>
      <c r="F2041" t="s">
        <v>225</v>
      </c>
      <c r="G2041" t="s">
        <v>1523</v>
      </c>
      <c r="H2041" t="s">
        <v>1026</v>
      </c>
      <c r="I2041" t="s">
        <v>383</v>
      </c>
      <c r="J2041" t="s">
        <v>30</v>
      </c>
      <c r="K2041">
        <v>23</v>
      </c>
      <c r="L2041" t="s">
        <v>46</v>
      </c>
      <c r="M2041">
        <v>52</v>
      </c>
      <c r="N2041">
        <v>1</v>
      </c>
      <c r="O2041">
        <v>1598.63</v>
      </c>
      <c r="P2041" s="1">
        <v>45600.338055555556</v>
      </c>
      <c r="Q2041">
        <v>17</v>
      </c>
      <c r="R2041" t="s">
        <v>47</v>
      </c>
      <c r="S2041">
        <v>0.61636765744591204</v>
      </c>
      <c r="T2041" t="b">
        <v>0</v>
      </c>
      <c r="U2041" t="b">
        <v>0</v>
      </c>
      <c r="V2041" t="b">
        <f t="shared" si="62"/>
        <v>1</v>
      </c>
      <c r="W2041">
        <v>0</v>
      </c>
      <c r="Y2041">
        <f t="shared" si="63"/>
        <v>0</v>
      </c>
    </row>
    <row r="2042" spans="1:25" x14ac:dyDescent="0.3">
      <c r="A2042" t="s">
        <v>3948</v>
      </c>
      <c r="B2042" t="s">
        <v>1794</v>
      </c>
      <c r="C2042">
        <v>639.57000000000005</v>
      </c>
      <c r="D2042" s="1">
        <v>45278.684236111112</v>
      </c>
      <c r="E2042" t="s">
        <v>25</v>
      </c>
      <c r="F2042" t="s">
        <v>256</v>
      </c>
      <c r="G2042" t="s">
        <v>3615</v>
      </c>
      <c r="H2042" t="s">
        <v>2640</v>
      </c>
      <c r="I2042" t="s">
        <v>772</v>
      </c>
      <c r="J2042" t="s">
        <v>81</v>
      </c>
      <c r="K2042">
        <v>60</v>
      </c>
      <c r="L2042" t="s">
        <v>31</v>
      </c>
      <c r="M2042">
        <v>43</v>
      </c>
      <c r="N2042">
        <v>1</v>
      </c>
      <c r="O2042">
        <v>11726.47</v>
      </c>
      <c r="P2042" s="1">
        <v>45600.341689814813</v>
      </c>
      <c r="Q2042">
        <v>16</v>
      </c>
      <c r="R2042" t="s">
        <v>47</v>
      </c>
      <c r="S2042">
        <v>1.17136709200878</v>
      </c>
      <c r="T2042" t="b">
        <v>0</v>
      </c>
      <c r="U2042" t="b">
        <v>0</v>
      </c>
      <c r="V2042" t="b">
        <f t="shared" si="62"/>
        <v>1</v>
      </c>
      <c r="W2042">
        <v>0</v>
      </c>
      <c r="Y2042">
        <f t="shared" si="63"/>
        <v>0</v>
      </c>
    </row>
    <row r="2043" spans="1:25" x14ac:dyDescent="0.3">
      <c r="A2043" t="s">
        <v>3949</v>
      </c>
      <c r="B2043" t="s">
        <v>2433</v>
      </c>
      <c r="C2043">
        <v>58.23</v>
      </c>
      <c r="D2043" s="1">
        <v>45133.725960648146</v>
      </c>
      <c r="E2043" t="s">
        <v>25</v>
      </c>
      <c r="F2043" t="s">
        <v>438</v>
      </c>
      <c r="G2043" t="s">
        <v>1327</v>
      </c>
      <c r="H2043" t="s">
        <v>832</v>
      </c>
      <c r="I2043" t="s">
        <v>1537</v>
      </c>
      <c r="J2043" t="s">
        <v>45</v>
      </c>
      <c r="K2043">
        <v>28</v>
      </c>
      <c r="L2043" t="s">
        <v>46</v>
      </c>
      <c r="M2043">
        <v>34</v>
      </c>
      <c r="N2043">
        <v>1</v>
      </c>
      <c r="O2043">
        <v>9189.76</v>
      </c>
      <c r="P2043" s="1">
        <v>45600.340266203704</v>
      </c>
      <c r="Q2043">
        <v>17</v>
      </c>
      <c r="R2043" t="s">
        <v>74</v>
      </c>
      <c r="S2043">
        <v>-0.81988990539158102</v>
      </c>
      <c r="T2043" t="b">
        <v>0</v>
      </c>
      <c r="U2043" t="b">
        <v>0</v>
      </c>
      <c r="V2043" t="b">
        <f t="shared" si="62"/>
        <v>1</v>
      </c>
      <c r="W2043">
        <v>0</v>
      </c>
      <c r="Y2043">
        <f t="shared" si="63"/>
        <v>0</v>
      </c>
    </row>
    <row r="2044" spans="1:25" x14ac:dyDescent="0.3">
      <c r="A2044" t="s">
        <v>3950</v>
      </c>
      <c r="B2044" t="s">
        <v>2999</v>
      </c>
      <c r="C2044">
        <v>776.21</v>
      </c>
      <c r="D2044" s="1">
        <v>44979.718981481485</v>
      </c>
      <c r="E2044" t="s">
        <v>57</v>
      </c>
      <c r="F2044" t="s">
        <v>50</v>
      </c>
      <c r="G2044" t="s">
        <v>3951</v>
      </c>
      <c r="H2044" t="s">
        <v>100</v>
      </c>
      <c r="I2044" t="s">
        <v>321</v>
      </c>
      <c r="J2044" t="s">
        <v>45</v>
      </c>
      <c r="K2044">
        <v>78</v>
      </c>
      <c r="L2044" t="s">
        <v>82</v>
      </c>
      <c r="M2044">
        <v>99</v>
      </c>
      <c r="N2044">
        <v>1</v>
      </c>
      <c r="O2044">
        <v>4895.87</v>
      </c>
      <c r="P2044" s="1">
        <v>45600.337939814817</v>
      </c>
      <c r="Q2044">
        <v>17</v>
      </c>
      <c r="R2044" t="s">
        <v>74</v>
      </c>
      <c r="S2044">
        <v>1.6393984611297501</v>
      </c>
      <c r="T2044" t="b">
        <v>0</v>
      </c>
      <c r="U2044" t="b">
        <v>0</v>
      </c>
      <c r="V2044" t="b">
        <f t="shared" si="62"/>
        <v>1</v>
      </c>
      <c r="W2044">
        <v>0</v>
      </c>
      <c r="Y2044">
        <f t="shared" si="63"/>
        <v>0</v>
      </c>
    </row>
    <row r="2045" spans="1:25" x14ac:dyDescent="0.3">
      <c r="A2045" t="s">
        <v>3952</v>
      </c>
      <c r="B2045" t="s">
        <v>2005</v>
      </c>
      <c r="C2045">
        <v>248.76</v>
      </c>
      <c r="D2045" s="1">
        <v>45005.786030092589</v>
      </c>
      <c r="E2045" t="s">
        <v>25</v>
      </c>
      <c r="F2045" t="s">
        <v>608</v>
      </c>
      <c r="G2045" t="s">
        <v>3953</v>
      </c>
      <c r="H2045" t="s">
        <v>3954</v>
      </c>
      <c r="I2045" t="s">
        <v>285</v>
      </c>
      <c r="J2045" t="s">
        <v>81</v>
      </c>
      <c r="K2045">
        <v>21</v>
      </c>
      <c r="L2045" t="s">
        <v>46</v>
      </c>
      <c r="M2045">
        <v>117</v>
      </c>
      <c r="N2045">
        <v>1</v>
      </c>
      <c r="O2045">
        <v>6178.77</v>
      </c>
      <c r="P2045" s="1">
        <v>45600.33966435185</v>
      </c>
      <c r="Q2045">
        <v>18</v>
      </c>
      <c r="R2045" t="s">
        <v>47</v>
      </c>
      <c r="S2045">
        <v>-0.16726975932440499</v>
      </c>
      <c r="T2045" t="b">
        <v>0</v>
      </c>
      <c r="U2045" t="b">
        <v>0</v>
      </c>
      <c r="V2045" t="b">
        <f t="shared" si="62"/>
        <v>1</v>
      </c>
      <c r="W2045">
        <v>0</v>
      </c>
      <c r="Y2045">
        <f t="shared" si="63"/>
        <v>0</v>
      </c>
    </row>
    <row r="2046" spans="1:25" x14ac:dyDescent="0.3">
      <c r="A2046" t="s">
        <v>3955</v>
      </c>
      <c r="B2046" t="s">
        <v>175</v>
      </c>
      <c r="C2046">
        <v>188.61</v>
      </c>
      <c r="D2046" s="1">
        <v>45292.719710648147</v>
      </c>
      <c r="E2046" t="s">
        <v>25</v>
      </c>
      <c r="F2046" t="s">
        <v>401</v>
      </c>
      <c r="G2046" t="s">
        <v>1492</v>
      </c>
      <c r="H2046" t="s">
        <v>2332</v>
      </c>
      <c r="I2046" t="s">
        <v>173</v>
      </c>
      <c r="J2046" t="s">
        <v>45</v>
      </c>
      <c r="K2046">
        <v>67</v>
      </c>
      <c r="L2046" t="s">
        <v>82</v>
      </c>
      <c r="M2046">
        <v>26</v>
      </c>
      <c r="N2046">
        <v>1</v>
      </c>
      <c r="O2046">
        <v>7167.57</v>
      </c>
      <c r="P2046" s="1">
        <v>45600.337766203702</v>
      </c>
      <c r="Q2046">
        <v>17</v>
      </c>
      <c r="R2046" t="s">
        <v>47</v>
      </c>
      <c r="S2046">
        <v>-0.37330083992032498</v>
      </c>
      <c r="T2046" t="b">
        <v>0</v>
      </c>
      <c r="U2046" t="b">
        <v>0</v>
      </c>
      <c r="V2046" t="b">
        <f t="shared" si="62"/>
        <v>1</v>
      </c>
      <c r="W2046">
        <v>0</v>
      </c>
      <c r="Y2046">
        <f t="shared" si="63"/>
        <v>0</v>
      </c>
    </row>
    <row r="2047" spans="1:25" x14ac:dyDescent="0.3">
      <c r="A2047" t="s">
        <v>3956</v>
      </c>
      <c r="B2047" t="s">
        <v>1101</v>
      </c>
      <c r="C2047">
        <v>675.37</v>
      </c>
      <c r="D2047" s="1">
        <v>45289.69798611111</v>
      </c>
      <c r="E2047" t="s">
        <v>57</v>
      </c>
      <c r="F2047" t="s">
        <v>405</v>
      </c>
      <c r="G2047" t="s">
        <v>1092</v>
      </c>
      <c r="H2047" t="s">
        <v>2249</v>
      </c>
      <c r="I2047" t="s">
        <v>366</v>
      </c>
      <c r="J2047" t="s">
        <v>45</v>
      </c>
      <c r="K2047">
        <v>56</v>
      </c>
      <c r="L2047" t="s">
        <v>82</v>
      </c>
      <c r="M2047">
        <v>31</v>
      </c>
      <c r="N2047">
        <v>1</v>
      </c>
      <c r="O2047">
        <v>4704.91</v>
      </c>
      <c r="P2047" s="1">
        <v>45600.341099537036</v>
      </c>
      <c r="Q2047">
        <v>16</v>
      </c>
      <c r="R2047" t="s">
        <v>54</v>
      </c>
      <c r="S2047">
        <v>1.2939924068106801</v>
      </c>
      <c r="T2047" t="b">
        <v>0</v>
      </c>
      <c r="U2047" t="b">
        <v>0</v>
      </c>
      <c r="V2047" t="b">
        <f t="shared" si="62"/>
        <v>1</v>
      </c>
      <c r="W2047">
        <v>0</v>
      </c>
      <c r="Y2047">
        <f t="shared" si="63"/>
        <v>0</v>
      </c>
    </row>
    <row r="2048" spans="1:25" x14ac:dyDescent="0.3">
      <c r="A2048" t="s">
        <v>3957</v>
      </c>
      <c r="B2048" t="s">
        <v>1723</v>
      </c>
      <c r="C2048">
        <v>94.82</v>
      </c>
      <c r="D2048" s="1">
        <v>45006.692013888889</v>
      </c>
      <c r="E2048" t="s">
        <v>57</v>
      </c>
      <c r="F2048" t="s">
        <v>137</v>
      </c>
      <c r="G2048" t="s">
        <v>1615</v>
      </c>
      <c r="H2048" t="s">
        <v>503</v>
      </c>
      <c r="I2048" t="s">
        <v>1362</v>
      </c>
      <c r="J2048" t="s">
        <v>81</v>
      </c>
      <c r="K2048">
        <v>67</v>
      </c>
      <c r="L2048" t="s">
        <v>82</v>
      </c>
      <c r="M2048">
        <v>56</v>
      </c>
      <c r="N2048">
        <v>1</v>
      </c>
      <c r="O2048">
        <v>1267.72</v>
      </c>
      <c r="P2048" s="1">
        <v>45600.341863425929</v>
      </c>
      <c r="Q2048">
        <v>16</v>
      </c>
      <c r="R2048" t="s">
        <v>32</v>
      </c>
      <c r="S2048">
        <v>-0.69455861297254995</v>
      </c>
      <c r="T2048" t="b">
        <v>0</v>
      </c>
      <c r="U2048" t="b">
        <v>0</v>
      </c>
      <c r="V2048" t="b">
        <f t="shared" si="62"/>
        <v>1</v>
      </c>
      <c r="W2048">
        <v>0</v>
      </c>
      <c r="Y2048">
        <f t="shared" si="63"/>
        <v>0</v>
      </c>
    </row>
    <row r="2049" spans="1:25" x14ac:dyDescent="0.3">
      <c r="A2049" t="s">
        <v>3958</v>
      </c>
      <c r="B2049" t="s">
        <v>1119</v>
      </c>
      <c r="C2049">
        <v>425.18</v>
      </c>
      <c r="D2049" s="1">
        <v>44977.678229166668</v>
      </c>
      <c r="E2049" t="s">
        <v>57</v>
      </c>
      <c r="F2049" t="s">
        <v>571</v>
      </c>
      <c r="G2049" t="s">
        <v>1142</v>
      </c>
      <c r="H2049" t="s">
        <v>3377</v>
      </c>
      <c r="I2049" t="s">
        <v>112</v>
      </c>
      <c r="J2049" t="s">
        <v>45</v>
      </c>
      <c r="K2049">
        <v>59</v>
      </c>
      <c r="L2049" t="s">
        <v>89</v>
      </c>
      <c r="M2049">
        <v>135</v>
      </c>
      <c r="N2049">
        <v>1</v>
      </c>
      <c r="O2049">
        <v>5790.55</v>
      </c>
      <c r="P2049" s="1">
        <v>45600.341273148151</v>
      </c>
      <c r="Q2049">
        <v>16</v>
      </c>
      <c r="R2049" t="s">
        <v>47</v>
      </c>
      <c r="S2049">
        <v>0.43701957132783398</v>
      </c>
      <c r="T2049" t="b">
        <v>0</v>
      </c>
      <c r="U2049" t="b">
        <v>0</v>
      </c>
      <c r="V2049" t="b">
        <f t="shared" si="62"/>
        <v>1</v>
      </c>
      <c r="W2049">
        <v>0</v>
      </c>
      <c r="Y2049">
        <f t="shared" si="63"/>
        <v>0</v>
      </c>
    </row>
    <row r="2050" spans="1:25" x14ac:dyDescent="0.3">
      <c r="A2050" t="s">
        <v>3959</v>
      </c>
      <c r="B2050" t="s">
        <v>180</v>
      </c>
      <c r="C2050">
        <v>50.28</v>
      </c>
      <c r="D2050" s="1">
        <v>44959.680879629632</v>
      </c>
      <c r="E2050" t="s">
        <v>25</v>
      </c>
      <c r="F2050" t="s">
        <v>64</v>
      </c>
      <c r="G2050" t="s">
        <v>587</v>
      </c>
      <c r="H2050" t="s">
        <v>1497</v>
      </c>
      <c r="I2050" t="s">
        <v>112</v>
      </c>
      <c r="J2050" t="s">
        <v>81</v>
      </c>
      <c r="K2050">
        <v>60</v>
      </c>
      <c r="L2050" t="s">
        <v>89</v>
      </c>
      <c r="M2050">
        <v>65</v>
      </c>
      <c r="N2050">
        <v>1</v>
      </c>
      <c r="O2050">
        <v>5729.1</v>
      </c>
      <c r="P2050" s="1">
        <v>45600.33803240741</v>
      </c>
      <c r="Q2050">
        <v>16</v>
      </c>
      <c r="R2050" t="s">
        <v>141</v>
      </c>
      <c r="S2050">
        <v>-0.84712094596909704</v>
      </c>
      <c r="T2050" t="b">
        <v>0</v>
      </c>
      <c r="U2050" t="b">
        <v>0</v>
      </c>
      <c r="V2050" t="b">
        <f t="shared" si="62"/>
        <v>1</v>
      </c>
      <c r="W2050">
        <v>0</v>
      </c>
      <c r="Y2050">
        <f t="shared" si="63"/>
        <v>0</v>
      </c>
    </row>
    <row r="2051" spans="1:25" x14ac:dyDescent="0.3">
      <c r="A2051" t="s">
        <v>3960</v>
      </c>
      <c r="B2051" t="s">
        <v>130</v>
      </c>
      <c r="C2051">
        <v>864.72</v>
      </c>
      <c r="D2051" s="1">
        <v>45163.691423611112</v>
      </c>
      <c r="E2051" t="s">
        <v>57</v>
      </c>
      <c r="F2051" t="s">
        <v>85</v>
      </c>
      <c r="G2051" t="s">
        <v>498</v>
      </c>
      <c r="H2051" t="s">
        <v>757</v>
      </c>
      <c r="I2051" t="s">
        <v>775</v>
      </c>
      <c r="J2051" t="s">
        <v>81</v>
      </c>
      <c r="K2051">
        <v>34</v>
      </c>
      <c r="L2051" t="s">
        <v>89</v>
      </c>
      <c r="M2051">
        <v>58</v>
      </c>
      <c r="N2051">
        <v>1</v>
      </c>
      <c r="O2051">
        <v>7379.38</v>
      </c>
      <c r="P2051" s="1">
        <v>45600.341087962966</v>
      </c>
      <c r="Q2051">
        <v>16</v>
      </c>
      <c r="R2051" t="s">
        <v>54</v>
      </c>
      <c r="S2051">
        <v>1.9425707128927601</v>
      </c>
      <c r="T2051" t="b">
        <v>0</v>
      </c>
      <c r="U2051" t="b">
        <v>0</v>
      </c>
      <c r="V2051" t="b">
        <f t="shared" ref="V2051:V2114" si="64">ISLOGICAL(T2051)</f>
        <v>1</v>
      </c>
      <c r="W2051">
        <v>0</v>
      </c>
      <c r="Y2051">
        <f t="shared" ref="Y2051:Y2114" si="65">--T2051</f>
        <v>0</v>
      </c>
    </row>
    <row r="2052" spans="1:25" x14ac:dyDescent="0.3">
      <c r="A2052" t="s">
        <v>3961</v>
      </c>
      <c r="B2052" t="s">
        <v>1541</v>
      </c>
      <c r="C2052">
        <v>70.680000000000007</v>
      </c>
      <c r="D2052" s="1">
        <v>45252.709120370368</v>
      </c>
      <c r="E2052" t="s">
        <v>25</v>
      </c>
      <c r="F2052" t="s">
        <v>519</v>
      </c>
      <c r="G2052" t="s">
        <v>2414</v>
      </c>
      <c r="H2052" t="s">
        <v>1004</v>
      </c>
      <c r="I2052" t="s">
        <v>1823</v>
      </c>
      <c r="J2052" t="s">
        <v>45</v>
      </c>
      <c r="K2052">
        <v>25</v>
      </c>
      <c r="L2052" t="s">
        <v>46</v>
      </c>
      <c r="M2052">
        <v>105</v>
      </c>
      <c r="N2052">
        <v>1</v>
      </c>
      <c r="O2052">
        <v>1478.41</v>
      </c>
      <c r="P2052" s="1">
        <v>45600.340914351851</v>
      </c>
      <c r="Q2052">
        <v>17</v>
      </c>
      <c r="R2052" t="s">
        <v>74</v>
      </c>
      <c r="S2052">
        <v>-0.77724506826075501</v>
      </c>
      <c r="T2052" t="b">
        <v>0</v>
      </c>
      <c r="U2052" t="b">
        <v>0</v>
      </c>
      <c r="V2052" t="b">
        <f t="shared" si="64"/>
        <v>1</v>
      </c>
      <c r="W2052">
        <v>0</v>
      </c>
      <c r="Y2052">
        <f t="shared" si="65"/>
        <v>0</v>
      </c>
    </row>
    <row r="2053" spans="1:25" x14ac:dyDescent="0.3">
      <c r="A2053" t="s">
        <v>3962</v>
      </c>
      <c r="B2053" t="s">
        <v>893</v>
      </c>
      <c r="C2053">
        <v>261.77</v>
      </c>
      <c r="D2053" s="1">
        <v>44938.755104166667</v>
      </c>
      <c r="E2053" t="s">
        <v>25</v>
      </c>
      <c r="F2053" t="s">
        <v>278</v>
      </c>
      <c r="G2053" t="s">
        <v>3542</v>
      </c>
      <c r="H2053" t="s">
        <v>1077</v>
      </c>
      <c r="I2053" t="s">
        <v>445</v>
      </c>
      <c r="J2053" t="s">
        <v>45</v>
      </c>
      <c r="K2053">
        <v>28</v>
      </c>
      <c r="L2053" t="s">
        <v>46</v>
      </c>
      <c r="M2053">
        <v>46</v>
      </c>
      <c r="N2053">
        <v>1</v>
      </c>
      <c r="O2053">
        <v>824.71</v>
      </c>
      <c r="P2053" s="1">
        <v>45600.341527777775</v>
      </c>
      <c r="Q2053">
        <v>18</v>
      </c>
      <c r="R2053" t="s">
        <v>141</v>
      </c>
      <c r="S2053">
        <v>-0.122706760844722</v>
      </c>
      <c r="T2053" t="b">
        <v>0</v>
      </c>
      <c r="U2053" t="b">
        <v>0</v>
      </c>
      <c r="V2053" t="b">
        <f t="shared" si="64"/>
        <v>1</v>
      </c>
      <c r="W2053">
        <v>0</v>
      </c>
      <c r="Y2053">
        <f t="shared" si="65"/>
        <v>0</v>
      </c>
    </row>
    <row r="2054" spans="1:25" x14ac:dyDescent="0.3">
      <c r="A2054" t="s">
        <v>3963</v>
      </c>
      <c r="B2054" t="s">
        <v>261</v>
      </c>
      <c r="C2054">
        <v>183.22</v>
      </c>
      <c r="D2054" s="1">
        <v>45204.777951388889</v>
      </c>
      <c r="E2054" t="s">
        <v>25</v>
      </c>
      <c r="F2054" t="s">
        <v>191</v>
      </c>
      <c r="G2054" t="s">
        <v>2783</v>
      </c>
      <c r="H2054" t="s">
        <v>1785</v>
      </c>
      <c r="I2054" t="s">
        <v>527</v>
      </c>
      <c r="J2054" t="s">
        <v>30</v>
      </c>
      <c r="K2054">
        <v>27</v>
      </c>
      <c r="L2054" t="s">
        <v>46</v>
      </c>
      <c r="M2054">
        <v>63</v>
      </c>
      <c r="N2054">
        <v>1</v>
      </c>
      <c r="O2054">
        <v>1024.42</v>
      </c>
      <c r="P2054" s="1">
        <v>45600.338506944441</v>
      </c>
      <c r="Q2054">
        <v>18</v>
      </c>
      <c r="R2054" t="s">
        <v>141</v>
      </c>
      <c r="S2054">
        <v>-0.39176314290306802</v>
      </c>
      <c r="T2054" t="b">
        <v>0</v>
      </c>
      <c r="U2054" t="b">
        <v>0</v>
      </c>
      <c r="V2054" t="b">
        <f t="shared" si="64"/>
        <v>1</v>
      </c>
      <c r="W2054">
        <v>0</v>
      </c>
      <c r="Y2054">
        <f t="shared" si="65"/>
        <v>0</v>
      </c>
    </row>
    <row r="2055" spans="1:25" x14ac:dyDescent="0.3">
      <c r="A2055" t="s">
        <v>3964</v>
      </c>
      <c r="B2055" t="s">
        <v>769</v>
      </c>
      <c r="C2055">
        <v>58.32</v>
      </c>
      <c r="D2055" s="1">
        <v>45138.681423611109</v>
      </c>
      <c r="E2055" t="s">
        <v>57</v>
      </c>
      <c r="F2055" t="s">
        <v>120</v>
      </c>
      <c r="G2055" t="s">
        <v>2466</v>
      </c>
      <c r="H2055" t="s">
        <v>1764</v>
      </c>
      <c r="I2055" t="s">
        <v>1362</v>
      </c>
      <c r="J2055" t="s">
        <v>81</v>
      </c>
      <c r="K2055">
        <v>29</v>
      </c>
      <c r="L2055" t="s">
        <v>89</v>
      </c>
      <c r="M2055">
        <v>275</v>
      </c>
      <c r="N2055">
        <v>4</v>
      </c>
      <c r="O2055">
        <v>6027.49</v>
      </c>
      <c r="P2055" s="1">
        <v>45600.338171296295</v>
      </c>
      <c r="Q2055">
        <v>16</v>
      </c>
      <c r="R2055" t="s">
        <v>47</v>
      </c>
      <c r="S2055">
        <v>-0.81958162946051505</v>
      </c>
      <c r="T2055" t="b">
        <v>0</v>
      </c>
      <c r="U2055" t="b">
        <v>1</v>
      </c>
      <c r="V2055" t="b">
        <f t="shared" si="64"/>
        <v>1</v>
      </c>
      <c r="W2055">
        <v>1</v>
      </c>
      <c r="Y2055">
        <f t="shared" si="65"/>
        <v>0</v>
      </c>
    </row>
    <row r="2056" spans="1:25" x14ac:dyDescent="0.3">
      <c r="A2056" t="s">
        <v>3965</v>
      </c>
      <c r="B2056" t="s">
        <v>3574</v>
      </c>
      <c r="C2056">
        <v>156.86000000000001</v>
      </c>
      <c r="D2056" s="1">
        <v>44956.692974537036</v>
      </c>
      <c r="E2056" t="s">
        <v>25</v>
      </c>
      <c r="F2056" t="s">
        <v>262</v>
      </c>
      <c r="G2056" t="s">
        <v>2584</v>
      </c>
      <c r="H2056" t="s">
        <v>1938</v>
      </c>
      <c r="I2056" t="s">
        <v>527</v>
      </c>
      <c r="J2056" t="s">
        <v>30</v>
      </c>
      <c r="K2056">
        <v>51</v>
      </c>
      <c r="L2056" t="s">
        <v>31</v>
      </c>
      <c r="M2056">
        <v>102</v>
      </c>
      <c r="N2056">
        <v>1</v>
      </c>
      <c r="O2056">
        <v>14453.35</v>
      </c>
      <c r="P2056" s="1">
        <v>45600.340590277781</v>
      </c>
      <c r="Q2056">
        <v>16</v>
      </c>
      <c r="R2056" t="s">
        <v>47</v>
      </c>
      <c r="S2056">
        <v>-0.48205373782423899</v>
      </c>
      <c r="T2056" t="b">
        <v>0</v>
      </c>
      <c r="U2056" t="b">
        <v>0</v>
      </c>
      <c r="V2056" t="b">
        <f t="shared" si="64"/>
        <v>1</v>
      </c>
      <c r="W2056">
        <v>0</v>
      </c>
      <c r="Y2056">
        <f t="shared" si="65"/>
        <v>0</v>
      </c>
    </row>
    <row r="2057" spans="1:25" x14ac:dyDescent="0.3">
      <c r="A2057" t="s">
        <v>3966</v>
      </c>
      <c r="B2057" t="s">
        <v>1465</v>
      </c>
      <c r="C2057">
        <v>120.67</v>
      </c>
      <c r="D2057" s="1">
        <v>45285.761562500003</v>
      </c>
      <c r="E2057" t="s">
        <v>25</v>
      </c>
      <c r="F2057" t="s">
        <v>534</v>
      </c>
      <c r="G2057" t="s">
        <v>1822</v>
      </c>
      <c r="H2057" t="s">
        <v>1357</v>
      </c>
      <c r="I2057" t="s">
        <v>156</v>
      </c>
      <c r="J2057" t="s">
        <v>30</v>
      </c>
      <c r="K2057">
        <v>42</v>
      </c>
      <c r="L2057" t="s">
        <v>31</v>
      </c>
      <c r="M2057">
        <v>233</v>
      </c>
      <c r="N2057">
        <v>1</v>
      </c>
      <c r="O2057">
        <v>5374.54</v>
      </c>
      <c r="P2057" s="1">
        <v>45600.34175925926</v>
      </c>
      <c r="Q2057">
        <v>18</v>
      </c>
      <c r="R2057" t="s">
        <v>47</v>
      </c>
      <c r="S2057">
        <v>-0.606014914994087</v>
      </c>
      <c r="T2057" t="b">
        <v>0</v>
      </c>
      <c r="U2057" t="b">
        <v>0</v>
      </c>
      <c r="V2057" t="b">
        <f t="shared" si="64"/>
        <v>1</v>
      </c>
      <c r="W2057">
        <v>0</v>
      </c>
      <c r="Y2057">
        <f t="shared" si="65"/>
        <v>0</v>
      </c>
    </row>
    <row r="2058" spans="1:25" x14ac:dyDescent="0.3">
      <c r="A2058" t="s">
        <v>3967</v>
      </c>
      <c r="B2058" t="s">
        <v>1918</v>
      </c>
      <c r="C2058">
        <v>308.62</v>
      </c>
      <c r="D2058" s="1">
        <v>45205.791041666664</v>
      </c>
      <c r="E2058" t="s">
        <v>57</v>
      </c>
      <c r="F2058" t="s">
        <v>298</v>
      </c>
      <c r="G2058" t="s">
        <v>1083</v>
      </c>
      <c r="H2058" t="s">
        <v>804</v>
      </c>
      <c r="I2058" t="s">
        <v>491</v>
      </c>
      <c r="J2058" t="s">
        <v>81</v>
      </c>
      <c r="K2058">
        <v>59</v>
      </c>
      <c r="L2058" t="s">
        <v>89</v>
      </c>
      <c r="M2058">
        <v>101</v>
      </c>
      <c r="N2058">
        <v>1</v>
      </c>
      <c r="O2058">
        <v>9148.08</v>
      </c>
      <c r="P2058" s="1">
        <v>45600.338043981479</v>
      </c>
      <c r="Q2058">
        <v>18</v>
      </c>
      <c r="R2058" t="s">
        <v>54</v>
      </c>
      <c r="S2058">
        <v>3.7767987715856897E-2</v>
      </c>
      <c r="T2058" t="b">
        <v>0</v>
      </c>
      <c r="U2058" t="b">
        <v>0</v>
      </c>
      <c r="V2058" t="b">
        <f t="shared" si="64"/>
        <v>1</v>
      </c>
      <c r="W2058">
        <v>0</v>
      </c>
      <c r="Y2058">
        <f t="shared" si="65"/>
        <v>0</v>
      </c>
    </row>
    <row r="2059" spans="1:25" x14ac:dyDescent="0.3">
      <c r="A2059" t="s">
        <v>3968</v>
      </c>
      <c r="B2059" t="s">
        <v>3969</v>
      </c>
      <c r="C2059">
        <v>506.81</v>
      </c>
      <c r="D2059" s="1">
        <v>45280.678749999999</v>
      </c>
      <c r="E2059" t="s">
        <v>25</v>
      </c>
      <c r="F2059" t="s">
        <v>191</v>
      </c>
      <c r="G2059" t="s">
        <v>1737</v>
      </c>
      <c r="H2059" t="s">
        <v>2598</v>
      </c>
      <c r="I2059" t="s">
        <v>61</v>
      </c>
      <c r="J2059" t="s">
        <v>30</v>
      </c>
      <c r="K2059">
        <v>59</v>
      </c>
      <c r="L2059" t="s">
        <v>89</v>
      </c>
      <c r="M2059">
        <v>41</v>
      </c>
      <c r="N2059">
        <v>1</v>
      </c>
      <c r="O2059">
        <v>2757.23</v>
      </c>
      <c r="P2059" s="1">
        <v>45600.338888888888</v>
      </c>
      <c r="Q2059">
        <v>16</v>
      </c>
      <c r="R2059" t="s">
        <v>74</v>
      </c>
      <c r="S2059">
        <v>0.71662584080489</v>
      </c>
      <c r="T2059" t="b">
        <v>0</v>
      </c>
      <c r="U2059" t="b">
        <v>0</v>
      </c>
      <c r="V2059" t="b">
        <f t="shared" si="64"/>
        <v>1</v>
      </c>
      <c r="W2059">
        <v>0</v>
      </c>
      <c r="Y2059">
        <f t="shared" si="65"/>
        <v>0</v>
      </c>
    </row>
    <row r="2060" spans="1:25" x14ac:dyDescent="0.3">
      <c r="A2060" t="s">
        <v>3970</v>
      </c>
      <c r="B2060" t="s">
        <v>940</v>
      </c>
      <c r="C2060">
        <v>328.39</v>
      </c>
      <c r="D2060" s="1">
        <v>45239.699317129627</v>
      </c>
      <c r="E2060" t="s">
        <v>25</v>
      </c>
      <c r="F2060" t="s">
        <v>216</v>
      </c>
      <c r="G2060" t="s">
        <v>3971</v>
      </c>
      <c r="H2060" t="s">
        <v>764</v>
      </c>
      <c r="I2060" t="s">
        <v>772</v>
      </c>
      <c r="J2060" t="s">
        <v>30</v>
      </c>
      <c r="K2060">
        <v>41</v>
      </c>
      <c r="L2060" t="s">
        <v>89</v>
      </c>
      <c r="M2060">
        <v>108</v>
      </c>
      <c r="N2060">
        <v>1</v>
      </c>
      <c r="O2060">
        <v>2523.83</v>
      </c>
      <c r="P2060" s="1">
        <v>45600.341631944444</v>
      </c>
      <c r="Q2060">
        <v>16</v>
      </c>
      <c r="R2060" t="s">
        <v>141</v>
      </c>
      <c r="S2060">
        <v>0.105485933906735</v>
      </c>
      <c r="T2060" t="b">
        <v>0</v>
      </c>
      <c r="U2060" t="b">
        <v>0</v>
      </c>
      <c r="V2060" t="b">
        <f t="shared" si="64"/>
        <v>1</v>
      </c>
      <c r="W2060">
        <v>0</v>
      </c>
      <c r="Y2060">
        <f t="shared" si="65"/>
        <v>0</v>
      </c>
    </row>
    <row r="2061" spans="1:25" x14ac:dyDescent="0.3">
      <c r="A2061" t="s">
        <v>3972</v>
      </c>
      <c r="B2061" t="s">
        <v>228</v>
      </c>
      <c r="C2061">
        <v>796.3</v>
      </c>
      <c r="D2061" s="1">
        <v>45007.668761574074</v>
      </c>
      <c r="E2061" t="s">
        <v>25</v>
      </c>
      <c r="F2061" t="s">
        <v>131</v>
      </c>
      <c r="G2061" t="s">
        <v>1874</v>
      </c>
      <c r="H2061" t="s">
        <v>2851</v>
      </c>
      <c r="I2061" t="s">
        <v>632</v>
      </c>
      <c r="J2061" t="s">
        <v>81</v>
      </c>
      <c r="K2061">
        <v>67</v>
      </c>
      <c r="L2061" t="s">
        <v>82</v>
      </c>
      <c r="M2061">
        <v>64</v>
      </c>
      <c r="N2061">
        <v>1</v>
      </c>
      <c r="O2061">
        <v>1498.79</v>
      </c>
      <c r="P2061" s="1">
        <v>45600.339259259257</v>
      </c>
      <c r="Q2061">
        <v>16</v>
      </c>
      <c r="R2061" t="s">
        <v>74</v>
      </c>
      <c r="S2061">
        <v>1.7082124995199801</v>
      </c>
      <c r="T2061" t="b">
        <v>0</v>
      </c>
      <c r="U2061" t="b">
        <v>0</v>
      </c>
      <c r="V2061" t="b">
        <f t="shared" si="64"/>
        <v>1</v>
      </c>
      <c r="W2061">
        <v>0</v>
      </c>
      <c r="Y2061">
        <f t="shared" si="65"/>
        <v>0</v>
      </c>
    </row>
    <row r="2062" spans="1:25" x14ac:dyDescent="0.3">
      <c r="A2062" t="s">
        <v>3973</v>
      </c>
      <c r="B2062" t="s">
        <v>1317</v>
      </c>
      <c r="C2062">
        <v>72.47</v>
      </c>
      <c r="D2062" s="1">
        <v>45216.751886574071</v>
      </c>
      <c r="E2062" t="s">
        <v>25</v>
      </c>
      <c r="F2062" t="s">
        <v>401</v>
      </c>
      <c r="G2062" t="s">
        <v>1941</v>
      </c>
      <c r="H2062" t="s">
        <v>3499</v>
      </c>
      <c r="I2062" t="s">
        <v>173</v>
      </c>
      <c r="J2062" t="s">
        <v>45</v>
      </c>
      <c r="K2062">
        <v>29</v>
      </c>
      <c r="L2062" t="s">
        <v>31</v>
      </c>
      <c r="M2062">
        <v>72</v>
      </c>
      <c r="N2062">
        <v>1</v>
      </c>
      <c r="O2062">
        <v>1305.56</v>
      </c>
      <c r="P2062" s="1">
        <v>45600.341087962966</v>
      </c>
      <c r="Q2062">
        <v>18</v>
      </c>
      <c r="R2062" t="s">
        <v>32</v>
      </c>
      <c r="S2062">
        <v>-0.77111380252065997</v>
      </c>
      <c r="T2062" t="b">
        <v>0</v>
      </c>
      <c r="U2062" t="b">
        <v>0</v>
      </c>
      <c r="V2062" t="b">
        <f t="shared" si="64"/>
        <v>1</v>
      </c>
      <c r="W2062">
        <v>0</v>
      </c>
      <c r="Y2062">
        <f t="shared" si="65"/>
        <v>0</v>
      </c>
    </row>
    <row r="2063" spans="1:25" x14ac:dyDescent="0.3">
      <c r="A2063" t="s">
        <v>3974</v>
      </c>
      <c r="B2063" t="s">
        <v>358</v>
      </c>
      <c r="C2063">
        <v>279.60000000000002</v>
      </c>
      <c r="D2063" s="1">
        <v>45077.686180555553</v>
      </c>
      <c r="E2063" t="s">
        <v>25</v>
      </c>
      <c r="F2063" t="s">
        <v>170</v>
      </c>
      <c r="G2063" t="s">
        <v>1717</v>
      </c>
      <c r="H2063" t="s">
        <v>2078</v>
      </c>
      <c r="I2063" t="s">
        <v>361</v>
      </c>
      <c r="J2063" t="s">
        <v>30</v>
      </c>
      <c r="K2063">
        <v>25</v>
      </c>
      <c r="L2063" t="s">
        <v>46</v>
      </c>
      <c r="M2063">
        <v>131</v>
      </c>
      <c r="N2063">
        <v>1</v>
      </c>
      <c r="O2063">
        <v>1910.9</v>
      </c>
      <c r="P2063" s="1">
        <v>45600.338113425925</v>
      </c>
      <c r="Q2063">
        <v>16</v>
      </c>
      <c r="R2063" t="s">
        <v>74</v>
      </c>
      <c r="S2063">
        <v>-6.1633873612382303E-2</v>
      </c>
      <c r="T2063" t="b">
        <v>0</v>
      </c>
      <c r="U2063" t="b">
        <v>0</v>
      </c>
      <c r="V2063" t="b">
        <f t="shared" si="64"/>
        <v>1</v>
      </c>
      <c r="W2063">
        <v>0</v>
      </c>
      <c r="Y2063">
        <f t="shared" si="65"/>
        <v>0</v>
      </c>
    </row>
    <row r="2064" spans="1:25" x14ac:dyDescent="0.3">
      <c r="A2064" t="s">
        <v>3975</v>
      </c>
      <c r="B2064" t="s">
        <v>3561</v>
      </c>
      <c r="C2064">
        <v>304.2</v>
      </c>
      <c r="D2064" s="1">
        <v>45085.670983796299</v>
      </c>
      <c r="E2064" t="s">
        <v>25</v>
      </c>
      <c r="F2064" t="s">
        <v>77</v>
      </c>
      <c r="G2064" t="s">
        <v>968</v>
      </c>
      <c r="H2064" t="s">
        <v>2003</v>
      </c>
      <c r="I2064" t="s">
        <v>173</v>
      </c>
      <c r="J2064" t="s">
        <v>45</v>
      </c>
      <c r="K2064">
        <v>25</v>
      </c>
      <c r="L2064" t="s">
        <v>46</v>
      </c>
      <c r="M2064">
        <v>102</v>
      </c>
      <c r="N2064">
        <v>1</v>
      </c>
      <c r="O2064">
        <v>423.64</v>
      </c>
      <c r="P2064" s="1">
        <v>45600.340497685182</v>
      </c>
      <c r="Q2064">
        <v>16</v>
      </c>
      <c r="R2064" t="s">
        <v>141</v>
      </c>
      <c r="S2064">
        <v>2.26282142123828E-2</v>
      </c>
      <c r="T2064" t="b">
        <v>0</v>
      </c>
      <c r="U2064" t="b">
        <v>0</v>
      </c>
      <c r="V2064" t="b">
        <f t="shared" si="64"/>
        <v>1</v>
      </c>
      <c r="W2064">
        <v>0</v>
      </c>
      <c r="Y2064">
        <f t="shared" si="65"/>
        <v>0</v>
      </c>
    </row>
    <row r="2065" spans="1:25" x14ac:dyDescent="0.3">
      <c r="A2065" t="s">
        <v>3976</v>
      </c>
      <c r="B2065" t="s">
        <v>404</v>
      </c>
      <c r="C2065">
        <v>351.38</v>
      </c>
      <c r="D2065" s="1">
        <v>45103.779108796298</v>
      </c>
      <c r="E2065" t="s">
        <v>25</v>
      </c>
      <c r="F2065" t="s">
        <v>216</v>
      </c>
      <c r="G2065" t="s">
        <v>3311</v>
      </c>
      <c r="H2065" t="s">
        <v>1304</v>
      </c>
      <c r="I2065" t="s">
        <v>620</v>
      </c>
      <c r="J2065" t="s">
        <v>81</v>
      </c>
      <c r="K2065">
        <v>64</v>
      </c>
      <c r="L2065" t="s">
        <v>82</v>
      </c>
      <c r="M2065">
        <v>21</v>
      </c>
      <c r="N2065">
        <v>1</v>
      </c>
      <c r="O2065">
        <v>7606.63</v>
      </c>
      <c r="P2065" s="1">
        <v>45600.337870370371</v>
      </c>
      <c r="Q2065">
        <v>18</v>
      </c>
      <c r="R2065" t="s">
        <v>47</v>
      </c>
      <c r="S2065">
        <v>0.184233307853538</v>
      </c>
      <c r="T2065" t="b">
        <v>0</v>
      </c>
      <c r="U2065" t="b">
        <v>0</v>
      </c>
      <c r="V2065" t="b">
        <f t="shared" si="64"/>
        <v>1</v>
      </c>
      <c r="W2065">
        <v>0</v>
      </c>
      <c r="Y2065">
        <f t="shared" si="65"/>
        <v>0</v>
      </c>
    </row>
    <row r="2066" spans="1:25" x14ac:dyDescent="0.3">
      <c r="A2066" t="s">
        <v>3977</v>
      </c>
      <c r="B2066" t="s">
        <v>346</v>
      </c>
      <c r="C2066">
        <v>86.07</v>
      </c>
      <c r="D2066" s="1">
        <v>45250.778298611112</v>
      </c>
      <c r="E2066" t="s">
        <v>25</v>
      </c>
      <c r="F2066" t="s">
        <v>336</v>
      </c>
      <c r="G2066" t="s">
        <v>3978</v>
      </c>
      <c r="H2066" t="s">
        <v>3979</v>
      </c>
      <c r="I2066" t="s">
        <v>316</v>
      </c>
      <c r="J2066" t="s">
        <v>81</v>
      </c>
      <c r="K2066">
        <v>31</v>
      </c>
      <c r="L2066" t="s">
        <v>31</v>
      </c>
      <c r="M2066">
        <v>23</v>
      </c>
      <c r="N2066">
        <v>1</v>
      </c>
      <c r="O2066">
        <v>842.56</v>
      </c>
      <c r="P2066" s="1">
        <v>45600.341886574075</v>
      </c>
      <c r="Q2066">
        <v>18</v>
      </c>
      <c r="R2066" t="s">
        <v>47</v>
      </c>
      <c r="S2066">
        <v>-0.72452988404843199</v>
      </c>
      <c r="T2066" t="b">
        <v>0</v>
      </c>
      <c r="U2066" t="b">
        <v>0</v>
      </c>
      <c r="V2066" t="b">
        <f t="shared" si="64"/>
        <v>1</v>
      </c>
      <c r="W2066">
        <v>0</v>
      </c>
      <c r="Y2066">
        <f t="shared" si="65"/>
        <v>0</v>
      </c>
    </row>
    <row r="2067" spans="1:25" x14ac:dyDescent="0.3">
      <c r="A2067" t="s">
        <v>3980</v>
      </c>
      <c r="B2067" t="s">
        <v>2890</v>
      </c>
      <c r="C2067">
        <v>604.5</v>
      </c>
      <c r="D2067" s="1">
        <v>45146.777361111112</v>
      </c>
      <c r="E2067" t="s">
        <v>25</v>
      </c>
      <c r="F2067" t="s">
        <v>608</v>
      </c>
      <c r="G2067" t="s">
        <v>1597</v>
      </c>
      <c r="H2067" t="s">
        <v>870</v>
      </c>
      <c r="I2067" t="s">
        <v>101</v>
      </c>
      <c r="J2067" t="s">
        <v>30</v>
      </c>
      <c r="K2067">
        <v>28</v>
      </c>
      <c r="L2067" t="s">
        <v>46</v>
      </c>
      <c r="M2067">
        <v>80</v>
      </c>
      <c r="N2067">
        <v>1</v>
      </c>
      <c r="O2067">
        <v>709.42</v>
      </c>
      <c r="P2067" s="1">
        <v>45600.337870370371</v>
      </c>
      <c r="Q2067">
        <v>18</v>
      </c>
      <c r="R2067" t="s">
        <v>32</v>
      </c>
      <c r="S2067">
        <v>1.0512422375366499</v>
      </c>
      <c r="T2067" t="b">
        <v>0</v>
      </c>
      <c r="U2067" t="b">
        <v>0</v>
      </c>
      <c r="V2067" t="b">
        <f t="shared" si="64"/>
        <v>1</v>
      </c>
      <c r="W2067">
        <v>0</v>
      </c>
      <c r="Y2067">
        <f t="shared" si="65"/>
        <v>0</v>
      </c>
    </row>
    <row r="2068" spans="1:25" x14ac:dyDescent="0.3">
      <c r="A2068" t="s">
        <v>3981</v>
      </c>
      <c r="B2068" t="s">
        <v>480</v>
      </c>
      <c r="C2068">
        <v>258.7</v>
      </c>
      <c r="D2068" s="1">
        <v>44979.716840277775</v>
      </c>
      <c r="E2068" t="s">
        <v>25</v>
      </c>
      <c r="F2068" t="s">
        <v>262</v>
      </c>
      <c r="G2068" t="s">
        <v>354</v>
      </c>
      <c r="H2068" t="s">
        <v>757</v>
      </c>
      <c r="I2068" t="s">
        <v>88</v>
      </c>
      <c r="J2068" t="s">
        <v>30</v>
      </c>
      <c r="K2068">
        <v>27</v>
      </c>
      <c r="L2068" t="s">
        <v>46</v>
      </c>
      <c r="M2068">
        <v>123</v>
      </c>
      <c r="N2068">
        <v>1</v>
      </c>
      <c r="O2068">
        <v>1358.37</v>
      </c>
      <c r="P2068" s="1">
        <v>45600.337916666664</v>
      </c>
      <c r="Q2068">
        <v>17</v>
      </c>
      <c r="R2068" t="s">
        <v>74</v>
      </c>
      <c r="S2068">
        <v>-0.13322239538220301</v>
      </c>
      <c r="T2068" t="b">
        <v>0</v>
      </c>
      <c r="U2068" t="b">
        <v>0</v>
      </c>
      <c r="V2068" t="b">
        <f t="shared" si="64"/>
        <v>1</v>
      </c>
      <c r="W2068">
        <v>0</v>
      </c>
      <c r="Y2068">
        <f t="shared" si="65"/>
        <v>0</v>
      </c>
    </row>
    <row r="2069" spans="1:25" x14ac:dyDescent="0.3">
      <c r="A2069" t="s">
        <v>3982</v>
      </c>
      <c r="B2069" t="s">
        <v>2480</v>
      </c>
      <c r="C2069">
        <v>994.63</v>
      </c>
      <c r="D2069" s="1">
        <v>45098.666747685187</v>
      </c>
      <c r="E2069" t="s">
        <v>25</v>
      </c>
      <c r="F2069" t="s">
        <v>131</v>
      </c>
      <c r="G2069" t="s">
        <v>2695</v>
      </c>
      <c r="H2069" t="s">
        <v>841</v>
      </c>
      <c r="I2069" t="s">
        <v>107</v>
      </c>
      <c r="J2069" t="s">
        <v>45</v>
      </c>
      <c r="K2069">
        <v>61</v>
      </c>
      <c r="L2069" t="s">
        <v>31</v>
      </c>
      <c r="M2069">
        <v>158</v>
      </c>
      <c r="N2069">
        <v>1</v>
      </c>
      <c r="O2069">
        <v>13538.14</v>
      </c>
      <c r="P2069" s="1">
        <v>45600.339872685188</v>
      </c>
      <c r="Q2069">
        <v>16</v>
      </c>
      <c r="R2069" t="s">
        <v>74</v>
      </c>
      <c r="S2069">
        <v>2.3875498929462302</v>
      </c>
      <c r="T2069" t="b">
        <v>1</v>
      </c>
      <c r="U2069" t="b">
        <v>0</v>
      </c>
      <c r="V2069" t="b">
        <f t="shared" si="64"/>
        <v>1</v>
      </c>
      <c r="W2069">
        <v>1</v>
      </c>
      <c r="Y2069">
        <f t="shared" si="65"/>
        <v>1</v>
      </c>
    </row>
    <row r="2070" spans="1:25" x14ac:dyDescent="0.3">
      <c r="A2070" t="s">
        <v>3983</v>
      </c>
      <c r="B2070" t="s">
        <v>794</v>
      </c>
      <c r="C2070">
        <v>11.46</v>
      </c>
      <c r="D2070" s="1">
        <v>44957.718425925923</v>
      </c>
      <c r="E2070" t="s">
        <v>57</v>
      </c>
      <c r="F2070" t="s">
        <v>131</v>
      </c>
      <c r="G2070" t="s">
        <v>197</v>
      </c>
      <c r="H2070" t="s">
        <v>311</v>
      </c>
      <c r="I2070" t="s">
        <v>1575</v>
      </c>
      <c r="J2070" t="s">
        <v>81</v>
      </c>
      <c r="K2070">
        <v>75</v>
      </c>
      <c r="L2070" t="s">
        <v>82</v>
      </c>
      <c r="M2070">
        <v>64</v>
      </c>
      <c r="N2070">
        <v>1</v>
      </c>
      <c r="O2070">
        <v>7258.33</v>
      </c>
      <c r="P2070" s="1">
        <v>45600.339004629626</v>
      </c>
      <c r="Q2070">
        <v>17</v>
      </c>
      <c r="R2070" t="s">
        <v>32</v>
      </c>
      <c r="S2070">
        <v>-0.98009063090232396</v>
      </c>
      <c r="T2070" t="b">
        <v>0</v>
      </c>
      <c r="U2070" t="b">
        <v>0</v>
      </c>
      <c r="V2070" t="b">
        <f t="shared" si="64"/>
        <v>1</v>
      </c>
      <c r="W2070">
        <v>0</v>
      </c>
      <c r="Y2070">
        <f t="shared" si="65"/>
        <v>0</v>
      </c>
    </row>
    <row r="2071" spans="1:25" x14ac:dyDescent="0.3">
      <c r="A2071" t="s">
        <v>3984</v>
      </c>
      <c r="B2071" t="s">
        <v>1549</v>
      </c>
      <c r="C2071">
        <v>63.76</v>
      </c>
      <c r="D2071" s="1">
        <v>45104.739166666666</v>
      </c>
      <c r="E2071" t="s">
        <v>25</v>
      </c>
      <c r="F2071" t="s">
        <v>250</v>
      </c>
      <c r="G2071" t="s">
        <v>2561</v>
      </c>
      <c r="H2071" t="s">
        <v>513</v>
      </c>
      <c r="I2071" t="s">
        <v>53</v>
      </c>
      <c r="J2071" t="s">
        <v>30</v>
      </c>
      <c r="K2071">
        <v>69</v>
      </c>
      <c r="L2071" t="s">
        <v>82</v>
      </c>
      <c r="M2071">
        <v>100</v>
      </c>
      <c r="N2071">
        <v>1</v>
      </c>
      <c r="O2071">
        <v>4980.26</v>
      </c>
      <c r="P2071" s="1">
        <v>45600.340532407405</v>
      </c>
      <c r="Q2071">
        <v>17</v>
      </c>
      <c r="R2071" t="s">
        <v>32</v>
      </c>
      <c r="S2071">
        <v>-0.80094806207162395</v>
      </c>
      <c r="T2071" t="b">
        <v>0</v>
      </c>
      <c r="U2071" t="b">
        <v>0</v>
      </c>
      <c r="V2071" t="b">
        <f t="shared" si="64"/>
        <v>1</v>
      </c>
      <c r="W2071">
        <v>0</v>
      </c>
      <c r="Y2071">
        <f t="shared" si="65"/>
        <v>0</v>
      </c>
    </row>
    <row r="2072" spans="1:25" x14ac:dyDescent="0.3">
      <c r="A2072" t="s">
        <v>3985</v>
      </c>
      <c r="B2072" t="s">
        <v>1812</v>
      </c>
      <c r="C2072">
        <v>446.83</v>
      </c>
      <c r="D2072" s="1">
        <v>45103.785775462966</v>
      </c>
      <c r="E2072" t="s">
        <v>57</v>
      </c>
      <c r="F2072" t="s">
        <v>185</v>
      </c>
      <c r="G2072" t="s">
        <v>1894</v>
      </c>
      <c r="H2072" t="s">
        <v>2447</v>
      </c>
      <c r="I2072" t="s">
        <v>280</v>
      </c>
      <c r="J2072" t="s">
        <v>81</v>
      </c>
      <c r="K2072">
        <v>55</v>
      </c>
      <c r="L2072" t="s">
        <v>82</v>
      </c>
      <c r="M2072">
        <v>143</v>
      </c>
      <c r="N2072">
        <v>1</v>
      </c>
      <c r="O2072">
        <v>1623.5</v>
      </c>
      <c r="P2072" s="1">
        <v>45600.339965277781</v>
      </c>
      <c r="Q2072">
        <v>18</v>
      </c>
      <c r="R2072" t="s">
        <v>47</v>
      </c>
      <c r="S2072">
        <v>0.511177059189873</v>
      </c>
      <c r="T2072" t="b">
        <v>0</v>
      </c>
      <c r="U2072" t="b">
        <v>0</v>
      </c>
      <c r="V2072" t="b">
        <f t="shared" si="64"/>
        <v>1</v>
      </c>
      <c r="W2072">
        <v>0</v>
      </c>
      <c r="Y2072">
        <f t="shared" si="65"/>
        <v>0</v>
      </c>
    </row>
    <row r="2073" spans="1:25" x14ac:dyDescent="0.3">
      <c r="A2073" t="s">
        <v>3986</v>
      </c>
      <c r="B2073" t="s">
        <v>1138</v>
      </c>
      <c r="C2073">
        <v>63.54</v>
      </c>
      <c r="D2073" s="1">
        <v>45068.766180555554</v>
      </c>
      <c r="E2073" t="s">
        <v>25</v>
      </c>
      <c r="F2073" t="s">
        <v>336</v>
      </c>
      <c r="G2073" t="s">
        <v>1658</v>
      </c>
      <c r="H2073" t="s">
        <v>568</v>
      </c>
      <c r="I2073" t="s">
        <v>427</v>
      </c>
      <c r="J2073" t="s">
        <v>30</v>
      </c>
      <c r="K2073">
        <v>26</v>
      </c>
      <c r="L2073" t="s">
        <v>89</v>
      </c>
      <c r="M2073">
        <v>136</v>
      </c>
      <c r="N2073">
        <v>1</v>
      </c>
      <c r="O2073">
        <v>4401.78</v>
      </c>
      <c r="P2073" s="1">
        <v>45600.338553240741</v>
      </c>
      <c r="Q2073">
        <v>18</v>
      </c>
      <c r="R2073" t="s">
        <v>47</v>
      </c>
      <c r="S2073">
        <v>-0.80170162545867396</v>
      </c>
      <c r="T2073" t="b">
        <v>0</v>
      </c>
      <c r="U2073" t="b">
        <v>0</v>
      </c>
      <c r="V2073" t="b">
        <f t="shared" si="64"/>
        <v>1</v>
      </c>
      <c r="W2073">
        <v>0</v>
      </c>
      <c r="Y2073">
        <f t="shared" si="65"/>
        <v>0</v>
      </c>
    </row>
    <row r="2074" spans="1:25" x14ac:dyDescent="0.3">
      <c r="A2074" t="s">
        <v>3987</v>
      </c>
      <c r="B2074" t="s">
        <v>733</v>
      </c>
      <c r="C2074">
        <v>81.11</v>
      </c>
      <c r="D2074" s="1">
        <v>45215.755162037036</v>
      </c>
      <c r="E2074" t="s">
        <v>25</v>
      </c>
      <c r="F2074" t="s">
        <v>262</v>
      </c>
      <c r="G2074" t="s">
        <v>1353</v>
      </c>
      <c r="H2074" t="s">
        <v>2862</v>
      </c>
      <c r="I2074" t="s">
        <v>265</v>
      </c>
      <c r="J2074" t="s">
        <v>45</v>
      </c>
      <c r="K2074">
        <v>48</v>
      </c>
      <c r="L2074" t="s">
        <v>89</v>
      </c>
      <c r="M2074">
        <v>110</v>
      </c>
      <c r="N2074">
        <v>1</v>
      </c>
      <c r="O2074">
        <v>2051.37</v>
      </c>
      <c r="P2074" s="1">
        <v>45600.338726851849</v>
      </c>
      <c r="Q2074">
        <v>18</v>
      </c>
      <c r="R2074" t="s">
        <v>47</v>
      </c>
      <c r="S2074">
        <v>-0.74151931313830299</v>
      </c>
      <c r="T2074" t="b">
        <v>0</v>
      </c>
      <c r="U2074" t="b">
        <v>0</v>
      </c>
      <c r="V2074" t="b">
        <f t="shared" si="64"/>
        <v>1</v>
      </c>
      <c r="W2074">
        <v>0</v>
      </c>
      <c r="Y2074">
        <f t="shared" si="65"/>
        <v>0</v>
      </c>
    </row>
    <row r="2075" spans="1:25" x14ac:dyDescent="0.3">
      <c r="A2075" t="s">
        <v>3988</v>
      </c>
      <c r="B2075" t="s">
        <v>2703</v>
      </c>
      <c r="C2075">
        <v>441.26</v>
      </c>
      <c r="D2075" s="1">
        <v>44984.672060185185</v>
      </c>
      <c r="E2075" t="s">
        <v>57</v>
      </c>
      <c r="F2075" t="s">
        <v>268</v>
      </c>
      <c r="G2075" t="s">
        <v>3814</v>
      </c>
      <c r="H2075" t="s">
        <v>2293</v>
      </c>
      <c r="I2075" t="s">
        <v>239</v>
      </c>
      <c r="J2075" t="s">
        <v>81</v>
      </c>
      <c r="K2075">
        <v>58</v>
      </c>
      <c r="L2075" t="s">
        <v>31</v>
      </c>
      <c r="M2075">
        <v>87</v>
      </c>
      <c r="N2075">
        <v>5</v>
      </c>
      <c r="O2075">
        <v>13704.92</v>
      </c>
      <c r="P2075" s="1">
        <v>45600.341446759259</v>
      </c>
      <c r="Q2075">
        <v>16</v>
      </c>
      <c r="R2075" t="s">
        <v>47</v>
      </c>
      <c r="S2075">
        <v>0.49209820434499701</v>
      </c>
      <c r="T2075" t="b">
        <v>0</v>
      </c>
      <c r="U2075" t="b">
        <v>1</v>
      </c>
      <c r="V2075" t="b">
        <f t="shared" si="64"/>
        <v>1</v>
      </c>
      <c r="W2075">
        <v>1</v>
      </c>
      <c r="Y2075">
        <f t="shared" si="65"/>
        <v>0</v>
      </c>
    </row>
    <row r="2076" spans="1:25" x14ac:dyDescent="0.3">
      <c r="A2076" t="s">
        <v>3989</v>
      </c>
      <c r="B2076" t="s">
        <v>1997</v>
      </c>
      <c r="C2076">
        <v>170.96</v>
      </c>
      <c r="D2076" s="1">
        <v>45288.699143518519</v>
      </c>
      <c r="E2076" t="s">
        <v>25</v>
      </c>
      <c r="F2076" t="s">
        <v>466</v>
      </c>
      <c r="G2076" t="s">
        <v>2370</v>
      </c>
      <c r="H2076" t="s">
        <v>1776</v>
      </c>
      <c r="I2076" t="s">
        <v>173</v>
      </c>
      <c r="J2076" t="s">
        <v>81</v>
      </c>
      <c r="K2076">
        <v>64</v>
      </c>
      <c r="L2076" t="s">
        <v>31</v>
      </c>
      <c r="M2076">
        <v>69</v>
      </c>
      <c r="N2076">
        <v>1</v>
      </c>
      <c r="O2076">
        <v>13374.89</v>
      </c>
      <c r="P2076" s="1">
        <v>45600.338113425925</v>
      </c>
      <c r="Q2076">
        <v>16</v>
      </c>
      <c r="R2076" t="s">
        <v>141</v>
      </c>
      <c r="S2076">
        <v>-0.43375717529053198</v>
      </c>
      <c r="T2076" t="b">
        <v>0</v>
      </c>
      <c r="U2076" t="b">
        <v>0</v>
      </c>
      <c r="V2076" t="b">
        <f t="shared" si="64"/>
        <v>1</v>
      </c>
      <c r="W2076">
        <v>0</v>
      </c>
      <c r="Y2076">
        <f t="shared" si="65"/>
        <v>0</v>
      </c>
    </row>
    <row r="2077" spans="1:25" x14ac:dyDescent="0.3">
      <c r="A2077" t="s">
        <v>3990</v>
      </c>
      <c r="B2077" t="s">
        <v>346</v>
      </c>
      <c r="C2077">
        <v>48.51</v>
      </c>
      <c r="D2077" s="1">
        <v>44935.723819444444</v>
      </c>
      <c r="E2077" t="s">
        <v>25</v>
      </c>
      <c r="F2077" t="s">
        <v>131</v>
      </c>
      <c r="G2077" t="s">
        <v>1200</v>
      </c>
      <c r="H2077" t="s">
        <v>2738</v>
      </c>
      <c r="I2077" t="s">
        <v>44</v>
      </c>
      <c r="J2077" t="s">
        <v>81</v>
      </c>
      <c r="K2077">
        <v>22</v>
      </c>
      <c r="L2077" t="s">
        <v>46</v>
      </c>
      <c r="M2077">
        <v>69</v>
      </c>
      <c r="N2077">
        <v>1</v>
      </c>
      <c r="O2077">
        <v>3363.23</v>
      </c>
      <c r="P2077" s="1">
        <v>45600.340891203705</v>
      </c>
      <c r="Q2077">
        <v>17</v>
      </c>
      <c r="R2077" t="s">
        <v>47</v>
      </c>
      <c r="S2077">
        <v>-0.85318370594673199</v>
      </c>
      <c r="T2077" t="b">
        <v>0</v>
      </c>
      <c r="U2077" t="b">
        <v>0</v>
      </c>
      <c r="V2077" t="b">
        <f t="shared" si="64"/>
        <v>1</v>
      </c>
      <c r="W2077">
        <v>0</v>
      </c>
      <c r="Y2077">
        <f t="shared" si="65"/>
        <v>0</v>
      </c>
    </row>
    <row r="2078" spans="1:25" x14ac:dyDescent="0.3">
      <c r="A2078" t="s">
        <v>3991</v>
      </c>
      <c r="B2078" t="s">
        <v>442</v>
      </c>
      <c r="C2078">
        <v>325.02999999999997</v>
      </c>
      <c r="D2078" s="1">
        <v>44937.711331018516</v>
      </c>
      <c r="E2078" t="s">
        <v>25</v>
      </c>
      <c r="F2078" t="s">
        <v>405</v>
      </c>
      <c r="G2078" t="s">
        <v>3276</v>
      </c>
      <c r="H2078" t="s">
        <v>531</v>
      </c>
      <c r="I2078" t="s">
        <v>647</v>
      </c>
      <c r="J2078" t="s">
        <v>81</v>
      </c>
      <c r="K2078">
        <v>60</v>
      </c>
      <c r="L2078" t="s">
        <v>31</v>
      </c>
      <c r="M2078">
        <v>106</v>
      </c>
      <c r="N2078">
        <v>1</v>
      </c>
      <c r="O2078">
        <v>13521.76</v>
      </c>
      <c r="P2078" s="1">
        <v>45600.340370370373</v>
      </c>
      <c r="Q2078">
        <v>17</v>
      </c>
      <c r="R2078" t="s">
        <v>74</v>
      </c>
      <c r="S2078">
        <v>9.3976965813596602E-2</v>
      </c>
      <c r="T2078" t="b">
        <v>0</v>
      </c>
      <c r="U2078" t="b">
        <v>0</v>
      </c>
      <c r="V2078" t="b">
        <f t="shared" si="64"/>
        <v>1</v>
      </c>
      <c r="W2078">
        <v>0</v>
      </c>
      <c r="Y2078">
        <f t="shared" si="65"/>
        <v>0</v>
      </c>
    </row>
    <row r="2079" spans="1:25" x14ac:dyDescent="0.3">
      <c r="A2079" t="s">
        <v>3992</v>
      </c>
      <c r="B2079" t="s">
        <v>1887</v>
      </c>
      <c r="C2079">
        <v>125.83</v>
      </c>
      <c r="D2079" s="1">
        <v>45075.718090277776</v>
      </c>
      <c r="E2079" t="s">
        <v>25</v>
      </c>
      <c r="F2079" t="s">
        <v>153</v>
      </c>
      <c r="G2079" t="s">
        <v>2372</v>
      </c>
      <c r="H2079" t="s">
        <v>2329</v>
      </c>
      <c r="I2079" t="s">
        <v>366</v>
      </c>
      <c r="J2079" t="s">
        <v>30</v>
      </c>
      <c r="K2079">
        <v>57</v>
      </c>
      <c r="L2079" t="s">
        <v>82</v>
      </c>
      <c r="M2079">
        <v>138</v>
      </c>
      <c r="N2079">
        <v>1</v>
      </c>
      <c r="O2079">
        <v>6109.86</v>
      </c>
      <c r="P2079" s="1">
        <v>45600.341319444444</v>
      </c>
      <c r="Q2079">
        <v>17</v>
      </c>
      <c r="R2079" t="s">
        <v>47</v>
      </c>
      <c r="S2079">
        <v>-0.58834042827962396</v>
      </c>
      <c r="T2079" t="b">
        <v>0</v>
      </c>
      <c r="U2079" t="b">
        <v>0</v>
      </c>
      <c r="V2079" t="b">
        <f t="shared" si="64"/>
        <v>1</v>
      </c>
      <c r="W2079">
        <v>0</v>
      </c>
      <c r="Y2079">
        <f t="shared" si="65"/>
        <v>0</v>
      </c>
    </row>
    <row r="2080" spans="1:25" x14ac:dyDescent="0.3">
      <c r="A2080" t="s">
        <v>3993</v>
      </c>
      <c r="B2080" t="s">
        <v>1668</v>
      </c>
      <c r="C2080">
        <v>506.83</v>
      </c>
      <c r="D2080" s="1">
        <v>45040.727222222224</v>
      </c>
      <c r="E2080" t="s">
        <v>25</v>
      </c>
      <c r="F2080" t="s">
        <v>77</v>
      </c>
      <c r="G2080" t="s">
        <v>398</v>
      </c>
      <c r="H2080" t="s">
        <v>2540</v>
      </c>
      <c r="I2080" t="s">
        <v>344</v>
      </c>
      <c r="J2080" t="s">
        <v>81</v>
      </c>
      <c r="K2080">
        <v>37</v>
      </c>
      <c r="L2080" t="s">
        <v>89</v>
      </c>
      <c r="M2080">
        <v>45</v>
      </c>
      <c r="N2080">
        <v>1</v>
      </c>
      <c r="O2080">
        <v>9975.7900000000009</v>
      </c>
      <c r="P2080" s="1">
        <v>45600.338553240741</v>
      </c>
      <c r="Q2080">
        <v>17</v>
      </c>
      <c r="R2080" t="s">
        <v>47</v>
      </c>
      <c r="S2080">
        <v>0.71669434656734998</v>
      </c>
      <c r="T2080" t="b">
        <v>0</v>
      </c>
      <c r="U2080" t="b">
        <v>0</v>
      </c>
      <c r="V2080" t="b">
        <f t="shared" si="64"/>
        <v>1</v>
      </c>
      <c r="W2080">
        <v>0</v>
      </c>
      <c r="Y2080">
        <f t="shared" si="65"/>
        <v>0</v>
      </c>
    </row>
    <row r="2081" spans="1:25" x14ac:dyDescent="0.3">
      <c r="A2081" t="s">
        <v>3994</v>
      </c>
      <c r="B2081" t="s">
        <v>1644</v>
      </c>
      <c r="C2081">
        <v>738.94</v>
      </c>
      <c r="D2081" s="1">
        <v>45208.787743055553</v>
      </c>
      <c r="E2081" t="s">
        <v>25</v>
      </c>
      <c r="F2081" t="s">
        <v>256</v>
      </c>
      <c r="G2081" t="s">
        <v>1734</v>
      </c>
      <c r="H2081" t="s">
        <v>2199</v>
      </c>
      <c r="I2081" t="s">
        <v>687</v>
      </c>
      <c r="J2081" t="s">
        <v>81</v>
      </c>
      <c r="K2081">
        <v>41</v>
      </c>
      <c r="L2081" t="s">
        <v>31</v>
      </c>
      <c r="M2081">
        <v>173</v>
      </c>
      <c r="N2081">
        <v>1</v>
      </c>
      <c r="O2081">
        <v>13856.18</v>
      </c>
      <c r="P2081" s="1">
        <v>45600.339479166665</v>
      </c>
      <c r="Q2081">
        <v>18</v>
      </c>
      <c r="R2081" t="s">
        <v>47</v>
      </c>
      <c r="S2081">
        <v>1.5117379727871101</v>
      </c>
      <c r="T2081" t="b">
        <v>0</v>
      </c>
      <c r="U2081" t="b">
        <v>0</v>
      </c>
      <c r="V2081" t="b">
        <f t="shared" si="64"/>
        <v>1</v>
      </c>
      <c r="W2081">
        <v>0</v>
      </c>
      <c r="Y2081">
        <f t="shared" si="65"/>
        <v>0</v>
      </c>
    </row>
    <row r="2082" spans="1:25" x14ac:dyDescent="0.3">
      <c r="A2082" t="s">
        <v>3995</v>
      </c>
      <c r="B2082" t="s">
        <v>733</v>
      </c>
      <c r="C2082">
        <v>180.36</v>
      </c>
      <c r="D2082" s="1">
        <v>45076.675115740742</v>
      </c>
      <c r="E2082" t="s">
        <v>57</v>
      </c>
      <c r="F2082" t="s">
        <v>64</v>
      </c>
      <c r="G2082" t="s">
        <v>1492</v>
      </c>
      <c r="H2082" t="s">
        <v>2366</v>
      </c>
      <c r="I2082" t="s">
        <v>1050</v>
      </c>
      <c r="J2082" t="s">
        <v>45</v>
      </c>
      <c r="K2082">
        <v>33</v>
      </c>
      <c r="L2082" t="s">
        <v>89</v>
      </c>
      <c r="M2082">
        <v>55</v>
      </c>
      <c r="N2082">
        <v>1</v>
      </c>
      <c r="O2082">
        <v>9905.23</v>
      </c>
      <c r="P2082" s="1">
        <v>45600.337962962964</v>
      </c>
      <c r="Q2082">
        <v>16</v>
      </c>
      <c r="R2082" t="s">
        <v>32</v>
      </c>
      <c r="S2082">
        <v>-0.40155946693472799</v>
      </c>
      <c r="T2082" t="b">
        <v>0</v>
      </c>
      <c r="U2082" t="b">
        <v>0</v>
      </c>
      <c r="V2082" t="b">
        <f t="shared" si="64"/>
        <v>1</v>
      </c>
      <c r="W2082">
        <v>0</v>
      </c>
      <c r="Y2082">
        <f t="shared" si="65"/>
        <v>0</v>
      </c>
    </row>
    <row r="2083" spans="1:25" x14ac:dyDescent="0.3">
      <c r="A2083" t="s">
        <v>3996</v>
      </c>
      <c r="B2083" t="s">
        <v>582</v>
      </c>
      <c r="C2083">
        <v>225.1</v>
      </c>
      <c r="D2083" s="1">
        <v>45271.72828703704</v>
      </c>
      <c r="E2083" t="s">
        <v>25</v>
      </c>
      <c r="F2083" t="s">
        <v>401</v>
      </c>
      <c r="G2083" t="s">
        <v>3412</v>
      </c>
      <c r="H2083" t="s">
        <v>2706</v>
      </c>
      <c r="I2083" t="s">
        <v>997</v>
      </c>
      <c r="J2083" t="s">
        <v>30</v>
      </c>
      <c r="K2083">
        <v>28</v>
      </c>
      <c r="L2083" t="s">
        <v>46</v>
      </c>
      <c r="M2083">
        <v>35</v>
      </c>
      <c r="N2083">
        <v>1</v>
      </c>
      <c r="O2083">
        <v>1547.71</v>
      </c>
      <c r="P2083" s="1">
        <v>45600.338287037041</v>
      </c>
      <c r="Q2083">
        <v>17</v>
      </c>
      <c r="R2083" t="s">
        <v>47</v>
      </c>
      <c r="S2083">
        <v>-0.24831207631359001</v>
      </c>
      <c r="T2083" t="b">
        <v>0</v>
      </c>
      <c r="U2083" t="b">
        <v>0</v>
      </c>
      <c r="V2083" t="b">
        <f t="shared" si="64"/>
        <v>1</v>
      </c>
      <c r="W2083">
        <v>0</v>
      </c>
      <c r="Y2083">
        <f t="shared" si="65"/>
        <v>0</v>
      </c>
    </row>
    <row r="2084" spans="1:25" x14ac:dyDescent="0.3">
      <c r="A2084" t="s">
        <v>3997</v>
      </c>
      <c r="B2084" t="s">
        <v>856</v>
      </c>
      <c r="C2084">
        <v>359.51</v>
      </c>
      <c r="D2084" s="1">
        <v>45260.756006944444</v>
      </c>
      <c r="E2084" t="s">
        <v>25</v>
      </c>
      <c r="F2084" t="s">
        <v>262</v>
      </c>
      <c r="G2084" t="s">
        <v>2864</v>
      </c>
      <c r="H2084" t="s">
        <v>94</v>
      </c>
      <c r="I2084" t="s">
        <v>765</v>
      </c>
      <c r="J2084" t="s">
        <v>45</v>
      </c>
      <c r="K2084">
        <v>79</v>
      </c>
      <c r="L2084" t="s">
        <v>82</v>
      </c>
      <c r="M2084">
        <v>157</v>
      </c>
      <c r="N2084">
        <v>1</v>
      </c>
      <c r="O2084">
        <v>7153.72</v>
      </c>
      <c r="P2084" s="1">
        <v>45600.341793981483</v>
      </c>
      <c r="Q2084">
        <v>18</v>
      </c>
      <c r="R2084" t="s">
        <v>141</v>
      </c>
      <c r="S2084">
        <v>0.21208090029318599</v>
      </c>
      <c r="T2084" t="b">
        <v>0</v>
      </c>
      <c r="U2084" t="b">
        <v>0</v>
      </c>
      <c r="V2084" t="b">
        <f t="shared" si="64"/>
        <v>1</v>
      </c>
      <c r="W2084">
        <v>0</v>
      </c>
      <c r="Y2084">
        <f t="shared" si="65"/>
        <v>0</v>
      </c>
    </row>
    <row r="2085" spans="1:25" x14ac:dyDescent="0.3">
      <c r="A2085" t="s">
        <v>3998</v>
      </c>
      <c r="B2085" t="s">
        <v>2663</v>
      </c>
      <c r="C2085">
        <v>720.46</v>
      </c>
      <c r="D2085" s="1">
        <v>45267.674074074072</v>
      </c>
      <c r="E2085" t="s">
        <v>25</v>
      </c>
      <c r="F2085" t="s">
        <v>268</v>
      </c>
      <c r="G2085" t="s">
        <v>1282</v>
      </c>
      <c r="H2085" t="s">
        <v>2340</v>
      </c>
      <c r="I2085" t="s">
        <v>1537</v>
      </c>
      <c r="J2085" t="s">
        <v>81</v>
      </c>
      <c r="K2085">
        <v>54</v>
      </c>
      <c r="L2085" t="s">
        <v>82</v>
      </c>
      <c r="M2085">
        <v>44</v>
      </c>
      <c r="N2085">
        <v>1</v>
      </c>
      <c r="O2085">
        <v>3101.54</v>
      </c>
      <c r="P2085" s="1">
        <v>45600.33929398148</v>
      </c>
      <c r="Q2085">
        <v>16</v>
      </c>
      <c r="R2085" t="s">
        <v>141</v>
      </c>
      <c r="S2085">
        <v>1.4484386482748499</v>
      </c>
      <c r="T2085" t="b">
        <v>0</v>
      </c>
      <c r="U2085" t="b">
        <v>0</v>
      </c>
      <c r="V2085" t="b">
        <f t="shared" si="64"/>
        <v>1</v>
      </c>
      <c r="W2085">
        <v>0</v>
      </c>
      <c r="Y2085">
        <f t="shared" si="65"/>
        <v>0</v>
      </c>
    </row>
    <row r="2086" spans="1:25" x14ac:dyDescent="0.3">
      <c r="A2086" t="s">
        <v>3999</v>
      </c>
      <c r="B2086" t="s">
        <v>2920</v>
      </c>
      <c r="C2086">
        <v>1116.57</v>
      </c>
      <c r="D2086" s="1">
        <v>44980.704270833332</v>
      </c>
      <c r="E2086" t="s">
        <v>25</v>
      </c>
      <c r="F2086" t="s">
        <v>268</v>
      </c>
      <c r="G2086" t="s">
        <v>3405</v>
      </c>
      <c r="H2086" t="s">
        <v>2163</v>
      </c>
      <c r="I2086" t="s">
        <v>275</v>
      </c>
      <c r="J2086" t="s">
        <v>30</v>
      </c>
      <c r="K2086">
        <v>56</v>
      </c>
      <c r="L2086" t="s">
        <v>82</v>
      </c>
      <c r="M2086">
        <v>104</v>
      </c>
      <c r="N2086">
        <v>1</v>
      </c>
      <c r="O2086">
        <v>1393.14</v>
      </c>
      <c r="P2086" s="1">
        <v>45600.338356481479</v>
      </c>
      <c r="Q2086">
        <v>16</v>
      </c>
      <c r="R2086" t="s">
        <v>141</v>
      </c>
      <c r="S2086">
        <v>2.80522952665972</v>
      </c>
      <c r="T2086" t="b">
        <v>1</v>
      </c>
      <c r="U2086" t="b">
        <v>0</v>
      </c>
      <c r="V2086" t="b">
        <f t="shared" si="64"/>
        <v>1</v>
      </c>
      <c r="W2086">
        <v>1</v>
      </c>
      <c r="Y2086">
        <f t="shared" si="65"/>
        <v>1</v>
      </c>
    </row>
    <row r="2087" spans="1:25" x14ac:dyDescent="0.3">
      <c r="A2087" t="s">
        <v>4000</v>
      </c>
      <c r="B2087" t="s">
        <v>40</v>
      </c>
      <c r="C2087">
        <v>291.45999999999998</v>
      </c>
      <c r="D2087" s="1">
        <v>44965.6874537037</v>
      </c>
      <c r="E2087" t="s">
        <v>25</v>
      </c>
      <c r="F2087" t="s">
        <v>185</v>
      </c>
      <c r="G2087" t="s">
        <v>1677</v>
      </c>
      <c r="H2087" t="s">
        <v>509</v>
      </c>
      <c r="I2087" t="s">
        <v>259</v>
      </c>
      <c r="J2087" t="s">
        <v>30</v>
      </c>
      <c r="K2087">
        <v>57</v>
      </c>
      <c r="L2087" t="s">
        <v>82</v>
      </c>
      <c r="M2087">
        <v>135</v>
      </c>
      <c r="N2087">
        <v>1</v>
      </c>
      <c r="O2087">
        <v>7142.53</v>
      </c>
      <c r="P2087" s="1">
        <v>45600.340312499997</v>
      </c>
      <c r="Q2087">
        <v>16</v>
      </c>
      <c r="R2087" t="s">
        <v>74</v>
      </c>
      <c r="S2087">
        <v>-2.10099564741013E-2</v>
      </c>
      <c r="T2087" t="b">
        <v>0</v>
      </c>
      <c r="U2087" t="b">
        <v>0</v>
      </c>
      <c r="V2087" t="b">
        <f t="shared" si="64"/>
        <v>1</v>
      </c>
      <c r="W2087">
        <v>0</v>
      </c>
      <c r="Y2087">
        <f t="shared" si="65"/>
        <v>0</v>
      </c>
    </row>
    <row r="2088" spans="1:25" x14ac:dyDescent="0.3">
      <c r="A2088" t="s">
        <v>4001</v>
      </c>
      <c r="B2088" t="s">
        <v>1324</v>
      </c>
      <c r="C2088">
        <v>1192.95</v>
      </c>
      <c r="D2088" s="1">
        <v>45264.770833333336</v>
      </c>
      <c r="E2088" t="s">
        <v>25</v>
      </c>
      <c r="F2088" t="s">
        <v>159</v>
      </c>
      <c r="G2088" t="s">
        <v>2260</v>
      </c>
      <c r="H2088" t="s">
        <v>3363</v>
      </c>
      <c r="I2088" t="s">
        <v>1537</v>
      </c>
      <c r="J2088" t="s">
        <v>81</v>
      </c>
      <c r="K2088">
        <v>23</v>
      </c>
      <c r="L2088" t="s">
        <v>46</v>
      </c>
      <c r="M2088">
        <v>73</v>
      </c>
      <c r="N2088">
        <v>1</v>
      </c>
      <c r="O2088">
        <v>325.14999999999998</v>
      </c>
      <c r="P2088" s="1">
        <v>45600.338900462964</v>
      </c>
      <c r="Q2088">
        <v>18</v>
      </c>
      <c r="R2088" t="s">
        <v>47</v>
      </c>
      <c r="S2088">
        <v>3.0668530334912498</v>
      </c>
      <c r="T2088" t="b">
        <v>1</v>
      </c>
      <c r="U2088" t="b">
        <v>0</v>
      </c>
      <c r="V2088" t="b">
        <f t="shared" si="64"/>
        <v>1</v>
      </c>
      <c r="W2088">
        <v>1</v>
      </c>
      <c r="Y2088">
        <f t="shared" si="65"/>
        <v>1</v>
      </c>
    </row>
    <row r="2089" spans="1:25" x14ac:dyDescent="0.3">
      <c r="A2089" t="s">
        <v>4002</v>
      </c>
      <c r="B2089" t="s">
        <v>1891</v>
      </c>
      <c r="C2089">
        <v>98.24</v>
      </c>
      <c r="D2089" s="1">
        <v>45026.749143518522</v>
      </c>
      <c r="E2089" t="s">
        <v>25</v>
      </c>
      <c r="F2089" t="s">
        <v>41</v>
      </c>
      <c r="G2089" t="s">
        <v>2346</v>
      </c>
      <c r="H2089" t="s">
        <v>2536</v>
      </c>
      <c r="I2089" t="s">
        <v>1013</v>
      </c>
      <c r="J2089" t="s">
        <v>45</v>
      </c>
      <c r="K2089">
        <v>28</v>
      </c>
      <c r="L2089" t="s">
        <v>46</v>
      </c>
      <c r="M2089">
        <v>148</v>
      </c>
      <c r="N2089">
        <v>1</v>
      </c>
      <c r="O2089">
        <v>580.66</v>
      </c>
      <c r="P2089" s="1">
        <v>45600.339560185188</v>
      </c>
      <c r="Q2089">
        <v>17</v>
      </c>
      <c r="R2089" t="s">
        <v>47</v>
      </c>
      <c r="S2089">
        <v>-0.68284412759203394</v>
      </c>
      <c r="T2089" t="b">
        <v>0</v>
      </c>
      <c r="U2089" t="b">
        <v>0</v>
      </c>
      <c r="V2089" t="b">
        <f t="shared" si="64"/>
        <v>1</v>
      </c>
      <c r="W2089">
        <v>0</v>
      </c>
      <c r="Y2089">
        <f t="shared" si="65"/>
        <v>0</v>
      </c>
    </row>
    <row r="2090" spans="1:25" x14ac:dyDescent="0.3">
      <c r="A2090" t="s">
        <v>4003</v>
      </c>
      <c r="B2090" t="s">
        <v>1633</v>
      </c>
      <c r="C2090">
        <v>100.48</v>
      </c>
      <c r="D2090" s="1">
        <v>44974.703761574077</v>
      </c>
      <c r="E2090" t="s">
        <v>57</v>
      </c>
      <c r="F2090" t="s">
        <v>191</v>
      </c>
      <c r="G2090" t="s">
        <v>923</v>
      </c>
      <c r="H2090" t="s">
        <v>2429</v>
      </c>
      <c r="I2090" t="s">
        <v>753</v>
      </c>
      <c r="J2090" t="s">
        <v>81</v>
      </c>
      <c r="K2090">
        <v>18</v>
      </c>
      <c r="L2090" t="s">
        <v>46</v>
      </c>
      <c r="M2090">
        <v>104</v>
      </c>
      <c r="N2090">
        <v>1</v>
      </c>
      <c r="O2090">
        <v>6149.81</v>
      </c>
      <c r="P2090" s="1">
        <v>45600.341805555552</v>
      </c>
      <c r="Q2090">
        <v>16</v>
      </c>
      <c r="R2090" t="s">
        <v>54</v>
      </c>
      <c r="S2090">
        <v>-0.67517148219660805</v>
      </c>
      <c r="T2090" t="b">
        <v>0</v>
      </c>
      <c r="U2090" t="b">
        <v>0</v>
      </c>
      <c r="V2090" t="b">
        <f t="shared" si="64"/>
        <v>1</v>
      </c>
      <c r="W2090">
        <v>0</v>
      </c>
      <c r="Y2090">
        <f t="shared" si="65"/>
        <v>0</v>
      </c>
    </row>
    <row r="2091" spans="1:25" x14ac:dyDescent="0.3">
      <c r="A2091" t="s">
        <v>4004</v>
      </c>
      <c r="B2091" t="s">
        <v>1006</v>
      </c>
      <c r="C2091">
        <v>45.9</v>
      </c>
      <c r="D2091" s="1">
        <v>45111.788854166669</v>
      </c>
      <c r="E2091" t="s">
        <v>25</v>
      </c>
      <c r="F2091" t="s">
        <v>137</v>
      </c>
      <c r="G2091" t="s">
        <v>2019</v>
      </c>
      <c r="H2091" t="s">
        <v>128</v>
      </c>
      <c r="I2091" t="s">
        <v>53</v>
      </c>
      <c r="J2091" t="s">
        <v>81</v>
      </c>
      <c r="K2091">
        <v>56</v>
      </c>
      <c r="L2091" t="s">
        <v>89</v>
      </c>
      <c r="M2091">
        <v>264</v>
      </c>
      <c r="N2091">
        <v>1</v>
      </c>
      <c r="O2091">
        <v>5698.25</v>
      </c>
      <c r="P2091" s="1">
        <v>45600.33871527778</v>
      </c>
      <c r="Q2091">
        <v>18</v>
      </c>
      <c r="R2091" t="s">
        <v>32</v>
      </c>
      <c r="S2091">
        <v>-0.86212370794765203</v>
      </c>
      <c r="T2091" t="b">
        <v>0</v>
      </c>
      <c r="U2091" t="b">
        <v>0</v>
      </c>
      <c r="V2091" t="b">
        <f t="shared" si="64"/>
        <v>1</v>
      </c>
      <c r="W2091">
        <v>0</v>
      </c>
      <c r="Y2091">
        <f t="shared" si="65"/>
        <v>0</v>
      </c>
    </row>
    <row r="2092" spans="1:25" x14ac:dyDescent="0.3">
      <c r="A2092" t="s">
        <v>4005</v>
      </c>
      <c r="B2092" t="s">
        <v>711</v>
      </c>
      <c r="C2092">
        <v>258.20999999999998</v>
      </c>
      <c r="D2092" s="1">
        <v>45257.721886574072</v>
      </c>
      <c r="E2092" t="s">
        <v>25</v>
      </c>
      <c r="F2092" t="s">
        <v>250</v>
      </c>
      <c r="G2092" t="s">
        <v>144</v>
      </c>
      <c r="H2092" t="s">
        <v>1863</v>
      </c>
      <c r="I2092" t="s">
        <v>253</v>
      </c>
      <c r="J2092" t="s">
        <v>45</v>
      </c>
      <c r="K2092">
        <v>39</v>
      </c>
      <c r="L2092" t="s">
        <v>31</v>
      </c>
      <c r="M2092">
        <v>225</v>
      </c>
      <c r="N2092">
        <v>1</v>
      </c>
      <c r="O2092">
        <v>9562.41</v>
      </c>
      <c r="P2092" s="1">
        <v>45600.340405092589</v>
      </c>
      <c r="Q2092">
        <v>17</v>
      </c>
      <c r="R2092" t="s">
        <v>47</v>
      </c>
      <c r="S2092">
        <v>-0.134900786562452</v>
      </c>
      <c r="T2092" t="b">
        <v>0</v>
      </c>
      <c r="U2092" t="b">
        <v>0</v>
      </c>
      <c r="V2092" t="b">
        <f t="shared" si="64"/>
        <v>1</v>
      </c>
      <c r="W2092">
        <v>0</v>
      </c>
      <c r="Y2092">
        <f t="shared" si="65"/>
        <v>0</v>
      </c>
    </row>
    <row r="2093" spans="1:25" x14ac:dyDescent="0.3">
      <c r="A2093" t="s">
        <v>4006</v>
      </c>
      <c r="B2093" t="s">
        <v>2703</v>
      </c>
      <c r="C2093">
        <v>1079.1099999999999</v>
      </c>
      <c r="D2093" s="1">
        <v>45051.696122685185</v>
      </c>
      <c r="E2093" t="s">
        <v>25</v>
      </c>
      <c r="F2093" t="s">
        <v>159</v>
      </c>
      <c r="G2093" t="s">
        <v>941</v>
      </c>
      <c r="H2093" t="s">
        <v>3469</v>
      </c>
      <c r="I2093" t="s">
        <v>577</v>
      </c>
      <c r="J2093" t="s">
        <v>45</v>
      </c>
      <c r="K2093">
        <v>53</v>
      </c>
      <c r="L2093" t="s">
        <v>89</v>
      </c>
      <c r="M2093">
        <v>211</v>
      </c>
      <c r="N2093">
        <v>1</v>
      </c>
      <c r="O2093">
        <v>2038.31</v>
      </c>
      <c r="P2093" s="1">
        <v>45600.33866898148</v>
      </c>
      <c r="Q2093">
        <v>16</v>
      </c>
      <c r="R2093" t="s">
        <v>54</v>
      </c>
      <c r="S2093">
        <v>2.6769182335737098</v>
      </c>
      <c r="T2093" t="b">
        <v>1</v>
      </c>
      <c r="U2093" t="b">
        <v>0</v>
      </c>
      <c r="V2093" t="b">
        <f t="shared" si="64"/>
        <v>1</v>
      </c>
      <c r="W2093">
        <v>1</v>
      </c>
      <c r="Y2093">
        <f t="shared" si="65"/>
        <v>1</v>
      </c>
    </row>
    <row r="2094" spans="1:25" x14ac:dyDescent="0.3">
      <c r="A2094" t="s">
        <v>4007</v>
      </c>
      <c r="B2094" t="s">
        <v>3415</v>
      </c>
      <c r="C2094">
        <v>287.51</v>
      </c>
      <c r="D2094" s="1">
        <v>45068.706608796296</v>
      </c>
      <c r="E2094" t="s">
        <v>25</v>
      </c>
      <c r="F2094" t="s">
        <v>519</v>
      </c>
      <c r="G2094" t="s">
        <v>4008</v>
      </c>
      <c r="H2094" t="s">
        <v>1412</v>
      </c>
      <c r="I2094" t="s">
        <v>1823</v>
      </c>
      <c r="J2094" t="s">
        <v>45</v>
      </c>
      <c r="K2094">
        <v>22</v>
      </c>
      <c r="L2094" t="s">
        <v>46</v>
      </c>
      <c r="M2094">
        <v>255</v>
      </c>
      <c r="N2094">
        <v>1</v>
      </c>
      <c r="O2094">
        <v>187.65</v>
      </c>
      <c r="P2094" s="1">
        <v>45600.339108796295</v>
      </c>
      <c r="Q2094">
        <v>16</v>
      </c>
      <c r="R2094" t="s">
        <v>47</v>
      </c>
      <c r="S2094">
        <v>-3.45398445597851E-2</v>
      </c>
      <c r="T2094" t="b">
        <v>0</v>
      </c>
      <c r="U2094" t="b">
        <v>0</v>
      </c>
      <c r="V2094" t="b">
        <f t="shared" si="64"/>
        <v>1</v>
      </c>
      <c r="W2094">
        <v>0</v>
      </c>
      <c r="Y2094">
        <f t="shared" si="65"/>
        <v>0</v>
      </c>
    </row>
    <row r="2095" spans="1:25" x14ac:dyDescent="0.3">
      <c r="A2095" t="s">
        <v>4009</v>
      </c>
      <c r="B2095" t="s">
        <v>704</v>
      </c>
      <c r="C2095">
        <v>501.3</v>
      </c>
      <c r="D2095" s="1">
        <v>45068.769178240742</v>
      </c>
      <c r="E2095" t="s">
        <v>57</v>
      </c>
      <c r="F2095" t="s">
        <v>250</v>
      </c>
      <c r="G2095" t="s">
        <v>461</v>
      </c>
      <c r="H2095" t="s">
        <v>1338</v>
      </c>
      <c r="I2095" t="s">
        <v>80</v>
      </c>
      <c r="J2095" t="s">
        <v>45</v>
      </c>
      <c r="K2095">
        <v>26</v>
      </c>
      <c r="L2095" t="s">
        <v>89</v>
      </c>
      <c r="M2095">
        <v>146</v>
      </c>
      <c r="N2095">
        <v>1</v>
      </c>
      <c r="O2095">
        <v>8520.08</v>
      </c>
      <c r="P2095" s="1">
        <v>45600.338969907411</v>
      </c>
      <c r="Q2095">
        <v>18</v>
      </c>
      <c r="R2095" t="s">
        <v>47</v>
      </c>
      <c r="S2095">
        <v>0.69775250324739202</v>
      </c>
      <c r="T2095" t="b">
        <v>0</v>
      </c>
      <c r="U2095" t="b">
        <v>0</v>
      </c>
      <c r="V2095" t="b">
        <f t="shared" si="64"/>
        <v>1</v>
      </c>
      <c r="W2095">
        <v>0</v>
      </c>
      <c r="Y2095">
        <f t="shared" si="65"/>
        <v>0</v>
      </c>
    </row>
    <row r="2096" spans="1:25" x14ac:dyDescent="0.3">
      <c r="A2096" t="s">
        <v>4010</v>
      </c>
      <c r="B2096" t="s">
        <v>1340</v>
      </c>
      <c r="C2096">
        <v>26.1</v>
      </c>
      <c r="D2096" s="1">
        <v>44974.681493055556</v>
      </c>
      <c r="E2096" t="s">
        <v>25</v>
      </c>
      <c r="F2096" t="s">
        <v>41</v>
      </c>
      <c r="G2096" t="s">
        <v>1884</v>
      </c>
      <c r="H2096" t="s">
        <v>2447</v>
      </c>
      <c r="I2096" t="s">
        <v>366</v>
      </c>
      <c r="J2096" t="s">
        <v>30</v>
      </c>
      <c r="K2096">
        <v>27</v>
      </c>
      <c r="L2096" t="s">
        <v>46</v>
      </c>
      <c r="M2096">
        <v>32</v>
      </c>
      <c r="N2096">
        <v>1</v>
      </c>
      <c r="O2096">
        <v>1435.72</v>
      </c>
      <c r="P2096" s="1">
        <v>45600.33829861111</v>
      </c>
      <c r="Q2096">
        <v>16</v>
      </c>
      <c r="R2096" t="s">
        <v>54</v>
      </c>
      <c r="S2096">
        <v>-0.92994441278221995</v>
      </c>
      <c r="T2096" t="b">
        <v>0</v>
      </c>
      <c r="U2096" t="b">
        <v>0</v>
      </c>
      <c r="V2096" t="b">
        <f t="shared" si="64"/>
        <v>1</v>
      </c>
      <c r="W2096">
        <v>0</v>
      </c>
      <c r="Y2096">
        <f t="shared" si="65"/>
        <v>0</v>
      </c>
    </row>
    <row r="2097" spans="1:25" x14ac:dyDescent="0.3">
      <c r="A2097" t="s">
        <v>4011</v>
      </c>
      <c r="B2097" t="s">
        <v>2596</v>
      </c>
      <c r="C2097">
        <v>436.77</v>
      </c>
      <c r="D2097" s="1">
        <v>45197.67695601852</v>
      </c>
      <c r="E2097" t="s">
        <v>25</v>
      </c>
      <c r="F2097" t="s">
        <v>405</v>
      </c>
      <c r="G2097" t="s">
        <v>751</v>
      </c>
      <c r="H2097" t="s">
        <v>2622</v>
      </c>
      <c r="I2097" t="s">
        <v>339</v>
      </c>
      <c r="J2097" t="s">
        <v>30</v>
      </c>
      <c r="K2097">
        <v>20</v>
      </c>
      <c r="L2097" t="s">
        <v>46</v>
      </c>
      <c r="M2097">
        <v>176</v>
      </c>
      <c r="N2097">
        <v>1</v>
      </c>
      <c r="O2097">
        <v>825.69</v>
      </c>
      <c r="P2097" s="1">
        <v>45600.33971064815</v>
      </c>
      <c r="Q2097">
        <v>16</v>
      </c>
      <c r="R2097" t="s">
        <v>141</v>
      </c>
      <c r="S2097">
        <v>0.47671866067291602</v>
      </c>
      <c r="T2097" t="b">
        <v>0</v>
      </c>
      <c r="U2097" t="b">
        <v>0</v>
      </c>
      <c r="V2097" t="b">
        <f t="shared" si="64"/>
        <v>1</v>
      </c>
      <c r="W2097">
        <v>0</v>
      </c>
      <c r="Y2097">
        <f t="shared" si="65"/>
        <v>0</v>
      </c>
    </row>
    <row r="2098" spans="1:25" x14ac:dyDescent="0.3">
      <c r="A2098" t="s">
        <v>4012</v>
      </c>
      <c r="B2098" t="s">
        <v>2943</v>
      </c>
      <c r="C2098">
        <v>292.38</v>
      </c>
      <c r="D2098" s="1">
        <v>45061.700856481482</v>
      </c>
      <c r="E2098" t="s">
        <v>25</v>
      </c>
      <c r="F2098" t="s">
        <v>210</v>
      </c>
      <c r="G2098" t="s">
        <v>627</v>
      </c>
      <c r="H2098" t="s">
        <v>3337</v>
      </c>
      <c r="I2098" t="s">
        <v>366</v>
      </c>
      <c r="J2098" t="s">
        <v>30</v>
      </c>
      <c r="K2098">
        <v>68</v>
      </c>
      <c r="L2098" t="s">
        <v>31</v>
      </c>
      <c r="M2098">
        <v>224</v>
      </c>
      <c r="N2098">
        <v>1</v>
      </c>
      <c r="O2098">
        <v>5803.89</v>
      </c>
      <c r="P2098" s="1">
        <v>45600.340069444443</v>
      </c>
      <c r="Q2098">
        <v>16</v>
      </c>
      <c r="R2098" t="s">
        <v>47</v>
      </c>
      <c r="S2098">
        <v>-1.7858691400979902E-2</v>
      </c>
      <c r="T2098" t="b">
        <v>0</v>
      </c>
      <c r="U2098" t="b">
        <v>0</v>
      </c>
      <c r="V2098" t="b">
        <f t="shared" si="64"/>
        <v>1</v>
      </c>
      <c r="W2098">
        <v>0</v>
      </c>
      <c r="Y2098">
        <f t="shared" si="65"/>
        <v>0</v>
      </c>
    </row>
    <row r="2099" spans="1:25" x14ac:dyDescent="0.3">
      <c r="A2099" t="s">
        <v>4013</v>
      </c>
      <c r="B2099" t="s">
        <v>1435</v>
      </c>
      <c r="C2099">
        <v>1026.46</v>
      </c>
      <c r="D2099" s="1">
        <v>45098.694641203707</v>
      </c>
      <c r="E2099" t="s">
        <v>25</v>
      </c>
      <c r="F2099" t="s">
        <v>256</v>
      </c>
      <c r="G2099" t="s">
        <v>689</v>
      </c>
      <c r="H2099" t="s">
        <v>382</v>
      </c>
      <c r="I2099" t="s">
        <v>44</v>
      </c>
      <c r="J2099" t="s">
        <v>81</v>
      </c>
      <c r="K2099">
        <v>53</v>
      </c>
      <c r="L2099" t="s">
        <v>82</v>
      </c>
      <c r="M2099">
        <v>165</v>
      </c>
      <c r="N2099">
        <v>1</v>
      </c>
      <c r="O2099">
        <v>3134.47</v>
      </c>
      <c r="P2099" s="1">
        <v>45600.338472222225</v>
      </c>
      <c r="Q2099">
        <v>16</v>
      </c>
      <c r="R2099" t="s">
        <v>74</v>
      </c>
      <c r="S2099">
        <v>2.49657681389998</v>
      </c>
      <c r="T2099" t="b">
        <v>1</v>
      </c>
      <c r="U2099" t="b">
        <v>0</v>
      </c>
      <c r="V2099" t="b">
        <f t="shared" si="64"/>
        <v>1</v>
      </c>
      <c r="W2099">
        <v>1</v>
      </c>
      <c r="Y2099">
        <f t="shared" si="65"/>
        <v>1</v>
      </c>
    </row>
    <row r="2100" spans="1:25" x14ac:dyDescent="0.3">
      <c r="A2100" t="s">
        <v>4014</v>
      </c>
      <c r="B2100" t="s">
        <v>2238</v>
      </c>
      <c r="C2100">
        <v>25.29</v>
      </c>
      <c r="D2100" s="1">
        <v>45134.773831018516</v>
      </c>
      <c r="E2100" t="s">
        <v>25</v>
      </c>
      <c r="F2100" t="s">
        <v>185</v>
      </c>
      <c r="G2100" t="s">
        <v>220</v>
      </c>
      <c r="H2100" t="s">
        <v>2281</v>
      </c>
      <c r="I2100" t="s">
        <v>275</v>
      </c>
      <c r="J2100" t="s">
        <v>45</v>
      </c>
      <c r="K2100">
        <v>50</v>
      </c>
      <c r="L2100" t="s">
        <v>89</v>
      </c>
      <c r="M2100">
        <v>125</v>
      </c>
      <c r="N2100">
        <v>1</v>
      </c>
      <c r="O2100">
        <v>5374.69</v>
      </c>
      <c r="P2100" s="1">
        <v>45600.338009259256</v>
      </c>
      <c r="Q2100">
        <v>18</v>
      </c>
      <c r="R2100" t="s">
        <v>141</v>
      </c>
      <c r="S2100">
        <v>-0.93271889616181503</v>
      </c>
      <c r="T2100" t="b">
        <v>0</v>
      </c>
      <c r="U2100" t="b">
        <v>0</v>
      </c>
      <c r="V2100" t="b">
        <f t="shared" si="64"/>
        <v>1</v>
      </c>
      <c r="W2100">
        <v>0</v>
      </c>
      <c r="Y2100">
        <f t="shared" si="65"/>
        <v>0</v>
      </c>
    </row>
    <row r="2101" spans="1:25" x14ac:dyDescent="0.3">
      <c r="A2101" t="s">
        <v>4015</v>
      </c>
      <c r="B2101" t="s">
        <v>412</v>
      </c>
      <c r="C2101">
        <v>123.35</v>
      </c>
      <c r="D2101" s="1">
        <v>45149.708981481483</v>
      </c>
      <c r="E2101" t="s">
        <v>57</v>
      </c>
      <c r="F2101" t="s">
        <v>210</v>
      </c>
      <c r="G2101" t="s">
        <v>658</v>
      </c>
      <c r="H2101" t="s">
        <v>3195</v>
      </c>
      <c r="I2101" t="s">
        <v>285</v>
      </c>
      <c r="J2101" t="s">
        <v>45</v>
      </c>
      <c r="K2101">
        <v>31</v>
      </c>
      <c r="L2101" t="s">
        <v>31</v>
      </c>
      <c r="M2101">
        <v>10</v>
      </c>
      <c r="N2101">
        <v>1</v>
      </c>
      <c r="O2101">
        <v>6852.16</v>
      </c>
      <c r="P2101" s="1">
        <v>45600.340254629627</v>
      </c>
      <c r="Q2101">
        <v>17</v>
      </c>
      <c r="R2101" t="s">
        <v>54</v>
      </c>
      <c r="S2101">
        <v>-0.59683514282455996</v>
      </c>
      <c r="T2101" t="b">
        <v>0</v>
      </c>
      <c r="U2101" t="b">
        <v>0</v>
      </c>
      <c r="V2101" t="b">
        <f t="shared" si="64"/>
        <v>1</v>
      </c>
      <c r="W2101">
        <v>0</v>
      </c>
      <c r="Y2101">
        <f t="shared" si="65"/>
        <v>0</v>
      </c>
    </row>
    <row r="2102" spans="1:25" x14ac:dyDescent="0.3">
      <c r="A2102" t="s">
        <v>4016</v>
      </c>
      <c r="B2102" t="s">
        <v>999</v>
      </c>
      <c r="C2102">
        <v>139.52000000000001</v>
      </c>
      <c r="D2102" s="1">
        <v>45191.751875000002</v>
      </c>
      <c r="E2102" t="s">
        <v>25</v>
      </c>
      <c r="F2102" t="s">
        <v>608</v>
      </c>
      <c r="G2102" t="s">
        <v>1327</v>
      </c>
      <c r="H2102" t="s">
        <v>3347</v>
      </c>
      <c r="I2102" t="s">
        <v>117</v>
      </c>
      <c r="J2102" t="s">
        <v>81</v>
      </c>
      <c r="K2102">
        <v>23</v>
      </c>
      <c r="L2102" t="s">
        <v>46</v>
      </c>
      <c r="M2102">
        <v>31</v>
      </c>
      <c r="N2102">
        <v>1</v>
      </c>
      <c r="O2102">
        <v>1570.22</v>
      </c>
      <c r="P2102" s="1">
        <v>45600.338888888888</v>
      </c>
      <c r="Q2102">
        <v>18</v>
      </c>
      <c r="R2102" t="s">
        <v>54</v>
      </c>
      <c r="S2102">
        <v>-0.54144823387633001</v>
      </c>
      <c r="T2102" t="b">
        <v>0</v>
      </c>
      <c r="U2102" t="b">
        <v>0</v>
      </c>
      <c r="V2102" t="b">
        <f t="shared" si="64"/>
        <v>1</v>
      </c>
      <c r="W2102">
        <v>0</v>
      </c>
      <c r="Y2102">
        <f t="shared" si="65"/>
        <v>0</v>
      </c>
    </row>
    <row r="2103" spans="1:25" x14ac:dyDescent="0.3">
      <c r="A2103" t="s">
        <v>4017</v>
      </c>
      <c r="B2103" t="s">
        <v>327</v>
      </c>
      <c r="C2103">
        <v>51.2</v>
      </c>
      <c r="D2103" s="1">
        <v>44998.781793981485</v>
      </c>
      <c r="E2103" t="s">
        <v>25</v>
      </c>
      <c r="F2103" t="s">
        <v>268</v>
      </c>
      <c r="G2103" t="s">
        <v>2025</v>
      </c>
      <c r="H2103" t="s">
        <v>444</v>
      </c>
      <c r="I2103" t="s">
        <v>399</v>
      </c>
      <c r="J2103" t="s">
        <v>45</v>
      </c>
      <c r="K2103">
        <v>18</v>
      </c>
      <c r="L2103" t="s">
        <v>46</v>
      </c>
      <c r="M2103">
        <v>83</v>
      </c>
      <c r="N2103">
        <v>1</v>
      </c>
      <c r="O2103">
        <v>730.6</v>
      </c>
      <c r="P2103" s="1">
        <v>45600.338009259256</v>
      </c>
      <c r="Q2103">
        <v>18</v>
      </c>
      <c r="R2103" t="s">
        <v>47</v>
      </c>
      <c r="S2103">
        <v>-0.84396968089597502</v>
      </c>
      <c r="T2103" t="b">
        <v>0</v>
      </c>
      <c r="U2103" t="b">
        <v>0</v>
      </c>
      <c r="V2103" t="b">
        <f t="shared" si="64"/>
        <v>1</v>
      </c>
      <c r="W2103">
        <v>0</v>
      </c>
      <c r="Y2103">
        <f t="shared" si="65"/>
        <v>0</v>
      </c>
    </row>
    <row r="2104" spans="1:25" x14ac:dyDescent="0.3">
      <c r="A2104" t="s">
        <v>4018</v>
      </c>
      <c r="B2104" t="s">
        <v>1644</v>
      </c>
      <c r="C2104">
        <v>122.85</v>
      </c>
      <c r="D2104" s="1">
        <v>45259.735335648147</v>
      </c>
      <c r="E2104" t="s">
        <v>57</v>
      </c>
      <c r="F2104" t="s">
        <v>70</v>
      </c>
      <c r="G2104" t="s">
        <v>3826</v>
      </c>
      <c r="H2104" t="s">
        <v>111</v>
      </c>
      <c r="I2104" t="s">
        <v>866</v>
      </c>
      <c r="J2104" t="s">
        <v>45</v>
      </c>
      <c r="K2104">
        <v>47</v>
      </c>
      <c r="L2104" t="s">
        <v>31</v>
      </c>
      <c r="M2104">
        <v>127</v>
      </c>
      <c r="N2104">
        <v>3</v>
      </c>
      <c r="O2104">
        <v>13185.39</v>
      </c>
      <c r="P2104" s="1">
        <v>45600.338194444441</v>
      </c>
      <c r="Q2104">
        <v>17</v>
      </c>
      <c r="R2104" t="s">
        <v>74</v>
      </c>
      <c r="S2104">
        <v>-0.59854778688603905</v>
      </c>
      <c r="T2104" t="b">
        <v>0</v>
      </c>
      <c r="U2104" t="b">
        <v>1</v>
      </c>
      <c r="V2104" t="b">
        <f t="shared" si="64"/>
        <v>1</v>
      </c>
      <c r="W2104">
        <v>1</v>
      </c>
      <c r="Y2104">
        <f t="shared" si="65"/>
        <v>0</v>
      </c>
    </row>
    <row r="2105" spans="1:25" x14ac:dyDescent="0.3">
      <c r="A2105" t="s">
        <v>4019</v>
      </c>
      <c r="B2105" t="s">
        <v>2594</v>
      </c>
      <c r="C2105">
        <v>161.38</v>
      </c>
      <c r="D2105" s="1">
        <v>45239.671030092592</v>
      </c>
      <c r="E2105" t="s">
        <v>57</v>
      </c>
      <c r="F2105" t="s">
        <v>534</v>
      </c>
      <c r="G2105" t="s">
        <v>86</v>
      </c>
      <c r="H2105" t="s">
        <v>3363</v>
      </c>
      <c r="I2105" t="s">
        <v>73</v>
      </c>
      <c r="J2105" t="s">
        <v>45</v>
      </c>
      <c r="K2105">
        <v>24</v>
      </c>
      <c r="L2105" t="s">
        <v>46</v>
      </c>
      <c r="M2105">
        <v>101</v>
      </c>
      <c r="N2105">
        <v>1</v>
      </c>
      <c r="O2105">
        <v>3900.34</v>
      </c>
      <c r="P2105" s="1">
        <v>45600.340914351851</v>
      </c>
      <c r="Q2105">
        <v>16</v>
      </c>
      <c r="R2105" t="s">
        <v>141</v>
      </c>
      <c r="S2105">
        <v>-0.46657143550847002</v>
      </c>
      <c r="T2105" t="b">
        <v>0</v>
      </c>
      <c r="U2105" t="b">
        <v>0</v>
      </c>
      <c r="V2105" t="b">
        <f t="shared" si="64"/>
        <v>1</v>
      </c>
      <c r="W2105">
        <v>0</v>
      </c>
      <c r="Y2105">
        <f t="shared" si="65"/>
        <v>0</v>
      </c>
    </row>
    <row r="2106" spans="1:25" x14ac:dyDescent="0.3">
      <c r="A2106" t="s">
        <v>4020</v>
      </c>
      <c r="B2106" t="s">
        <v>451</v>
      </c>
      <c r="C2106">
        <v>2.5099999999999998</v>
      </c>
      <c r="D2106" s="1">
        <v>45033.669687499998</v>
      </c>
      <c r="E2106" t="s">
        <v>25</v>
      </c>
      <c r="F2106" t="s">
        <v>210</v>
      </c>
      <c r="G2106" t="s">
        <v>1447</v>
      </c>
      <c r="H2106" t="s">
        <v>387</v>
      </c>
      <c r="I2106" t="s">
        <v>527</v>
      </c>
      <c r="J2106" t="s">
        <v>45</v>
      </c>
      <c r="K2106">
        <v>63</v>
      </c>
      <c r="L2106" t="s">
        <v>82</v>
      </c>
      <c r="M2106">
        <v>32</v>
      </c>
      <c r="N2106">
        <v>1</v>
      </c>
      <c r="O2106">
        <v>4891.5600000000004</v>
      </c>
      <c r="P2106" s="1">
        <v>45600.341226851851</v>
      </c>
      <c r="Q2106">
        <v>16</v>
      </c>
      <c r="R2106" t="s">
        <v>47</v>
      </c>
      <c r="S2106">
        <v>-1.01074695960279</v>
      </c>
      <c r="T2106" t="b">
        <v>0</v>
      </c>
      <c r="U2106" t="b">
        <v>0</v>
      </c>
      <c r="V2106" t="b">
        <f t="shared" si="64"/>
        <v>1</v>
      </c>
      <c r="W2106">
        <v>0</v>
      </c>
      <c r="Y2106">
        <f t="shared" si="65"/>
        <v>0</v>
      </c>
    </row>
    <row r="2107" spans="1:25" x14ac:dyDescent="0.3">
      <c r="A2107" t="s">
        <v>4021</v>
      </c>
      <c r="B2107" t="s">
        <v>1997</v>
      </c>
      <c r="C2107">
        <v>22.62</v>
      </c>
      <c r="D2107" s="1">
        <v>45056.690995370373</v>
      </c>
      <c r="E2107" t="s">
        <v>25</v>
      </c>
      <c r="F2107" t="s">
        <v>314</v>
      </c>
      <c r="G2107" t="s">
        <v>110</v>
      </c>
      <c r="H2107" t="s">
        <v>1338</v>
      </c>
      <c r="I2107" t="s">
        <v>339</v>
      </c>
      <c r="J2107" t="s">
        <v>30</v>
      </c>
      <c r="K2107">
        <v>64</v>
      </c>
      <c r="L2107" t="s">
        <v>31</v>
      </c>
      <c r="M2107">
        <v>102</v>
      </c>
      <c r="N2107">
        <v>1</v>
      </c>
      <c r="O2107">
        <v>7682</v>
      </c>
      <c r="P2107" s="1">
        <v>45600.341168981482</v>
      </c>
      <c r="Q2107">
        <v>16</v>
      </c>
      <c r="R2107" t="s">
        <v>74</v>
      </c>
      <c r="S2107">
        <v>-0.94186441545011301</v>
      </c>
      <c r="T2107" t="b">
        <v>0</v>
      </c>
      <c r="U2107" t="b">
        <v>0</v>
      </c>
      <c r="V2107" t="b">
        <f t="shared" si="64"/>
        <v>1</v>
      </c>
      <c r="W2107">
        <v>0</v>
      </c>
      <c r="Y2107">
        <f t="shared" si="65"/>
        <v>0</v>
      </c>
    </row>
    <row r="2108" spans="1:25" x14ac:dyDescent="0.3">
      <c r="A2108" t="s">
        <v>4022</v>
      </c>
      <c r="B2108" t="s">
        <v>607</v>
      </c>
      <c r="C2108">
        <v>126.83</v>
      </c>
      <c r="D2108" s="1">
        <v>44977.694733796299</v>
      </c>
      <c r="E2108" t="s">
        <v>25</v>
      </c>
      <c r="F2108" t="s">
        <v>131</v>
      </c>
      <c r="G2108" t="s">
        <v>1568</v>
      </c>
      <c r="H2108" t="s">
        <v>3465</v>
      </c>
      <c r="I2108" t="s">
        <v>95</v>
      </c>
      <c r="J2108" t="s">
        <v>81</v>
      </c>
      <c r="K2108">
        <v>57</v>
      </c>
      <c r="L2108" t="s">
        <v>82</v>
      </c>
      <c r="M2108">
        <v>39</v>
      </c>
      <c r="N2108">
        <v>1</v>
      </c>
      <c r="O2108">
        <v>6100.98</v>
      </c>
      <c r="P2108" s="1">
        <v>45600.340636574074</v>
      </c>
      <c r="Q2108">
        <v>16</v>
      </c>
      <c r="R2108" t="s">
        <v>47</v>
      </c>
      <c r="S2108">
        <v>-0.58491514015666601</v>
      </c>
      <c r="T2108" t="b">
        <v>0</v>
      </c>
      <c r="U2108" t="b">
        <v>0</v>
      </c>
      <c r="V2108" t="b">
        <f t="shared" si="64"/>
        <v>1</v>
      </c>
      <c r="W2108">
        <v>0</v>
      </c>
      <c r="Y2108">
        <f t="shared" si="65"/>
        <v>0</v>
      </c>
    </row>
    <row r="2109" spans="1:25" x14ac:dyDescent="0.3">
      <c r="A2109" t="s">
        <v>4023</v>
      </c>
      <c r="B2109" t="s">
        <v>2221</v>
      </c>
      <c r="C2109">
        <v>46.6</v>
      </c>
      <c r="D2109" s="1">
        <v>45168.746469907404</v>
      </c>
      <c r="E2109" t="s">
        <v>25</v>
      </c>
      <c r="F2109" t="s">
        <v>85</v>
      </c>
      <c r="G2109" t="s">
        <v>960</v>
      </c>
      <c r="H2109" t="s">
        <v>1518</v>
      </c>
      <c r="I2109" t="s">
        <v>419</v>
      </c>
      <c r="J2109" t="s">
        <v>45</v>
      </c>
      <c r="K2109">
        <v>55</v>
      </c>
      <c r="L2109" t="s">
        <v>31</v>
      </c>
      <c r="M2109">
        <v>68</v>
      </c>
      <c r="N2109">
        <v>1</v>
      </c>
      <c r="O2109">
        <v>1562.9</v>
      </c>
      <c r="P2109" s="1">
        <v>45600.337766203702</v>
      </c>
      <c r="Q2109">
        <v>17</v>
      </c>
      <c r="R2109" t="s">
        <v>74</v>
      </c>
      <c r="S2109">
        <v>-0.85972600626158202</v>
      </c>
      <c r="T2109" t="b">
        <v>0</v>
      </c>
      <c r="U2109" t="b">
        <v>0</v>
      </c>
      <c r="V2109" t="b">
        <f t="shared" si="64"/>
        <v>1</v>
      </c>
      <c r="W2109">
        <v>0</v>
      </c>
      <c r="Y2109">
        <f t="shared" si="65"/>
        <v>0</v>
      </c>
    </row>
    <row r="2110" spans="1:25" x14ac:dyDescent="0.3">
      <c r="A2110" t="s">
        <v>4024</v>
      </c>
      <c r="B2110" t="s">
        <v>885</v>
      </c>
      <c r="C2110">
        <v>243.8</v>
      </c>
      <c r="D2110" s="1">
        <v>44929.69630787037</v>
      </c>
      <c r="E2110" t="s">
        <v>25</v>
      </c>
      <c r="F2110" t="s">
        <v>225</v>
      </c>
      <c r="G2110" t="s">
        <v>2750</v>
      </c>
      <c r="H2110" t="s">
        <v>1785</v>
      </c>
      <c r="I2110" t="s">
        <v>1823</v>
      </c>
      <c r="J2110" t="s">
        <v>81</v>
      </c>
      <c r="K2110">
        <v>57</v>
      </c>
      <c r="L2110" t="s">
        <v>31</v>
      </c>
      <c r="M2110">
        <v>48</v>
      </c>
      <c r="N2110">
        <v>1</v>
      </c>
      <c r="O2110">
        <v>13732.81</v>
      </c>
      <c r="P2110" s="1">
        <v>45600.340381944443</v>
      </c>
      <c r="Q2110">
        <v>16</v>
      </c>
      <c r="R2110" t="s">
        <v>32</v>
      </c>
      <c r="S2110">
        <v>-0.18425918841427599</v>
      </c>
      <c r="T2110" t="b">
        <v>0</v>
      </c>
      <c r="U2110" t="b">
        <v>0</v>
      </c>
      <c r="V2110" t="b">
        <f t="shared" si="64"/>
        <v>1</v>
      </c>
      <c r="W2110">
        <v>0</v>
      </c>
      <c r="Y2110">
        <f t="shared" si="65"/>
        <v>0</v>
      </c>
    </row>
    <row r="2111" spans="1:25" x14ac:dyDescent="0.3">
      <c r="A2111" t="s">
        <v>4025</v>
      </c>
      <c r="B2111" t="s">
        <v>826</v>
      </c>
      <c r="C2111">
        <v>231.51</v>
      </c>
      <c r="D2111" s="1">
        <v>45166.723796296297</v>
      </c>
      <c r="E2111" t="s">
        <v>57</v>
      </c>
      <c r="F2111" t="s">
        <v>64</v>
      </c>
      <c r="G2111" t="s">
        <v>27</v>
      </c>
      <c r="H2111" t="s">
        <v>891</v>
      </c>
      <c r="I2111" t="s">
        <v>194</v>
      </c>
      <c r="J2111" t="s">
        <v>81</v>
      </c>
      <c r="K2111">
        <v>60</v>
      </c>
      <c r="L2111" t="s">
        <v>82</v>
      </c>
      <c r="M2111">
        <v>96</v>
      </c>
      <c r="N2111">
        <v>1</v>
      </c>
      <c r="O2111">
        <v>5790.7</v>
      </c>
      <c r="P2111" s="1">
        <v>45600.341770833336</v>
      </c>
      <c r="Q2111">
        <v>17</v>
      </c>
      <c r="R2111" t="s">
        <v>47</v>
      </c>
      <c r="S2111">
        <v>-0.22635597944542901</v>
      </c>
      <c r="T2111" t="b">
        <v>0</v>
      </c>
      <c r="U2111" t="b">
        <v>0</v>
      </c>
      <c r="V2111" t="b">
        <f t="shared" si="64"/>
        <v>1</v>
      </c>
      <c r="W2111">
        <v>0</v>
      </c>
      <c r="Y2111">
        <f t="shared" si="65"/>
        <v>0</v>
      </c>
    </row>
    <row r="2112" spans="1:25" x14ac:dyDescent="0.3">
      <c r="A2112" t="s">
        <v>4026</v>
      </c>
      <c r="B2112" t="s">
        <v>1036</v>
      </c>
      <c r="C2112">
        <v>175.05</v>
      </c>
      <c r="D2112" s="1">
        <v>44928.71199074074</v>
      </c>
      <c r="E2112" t="s">
        <v>25</v>
      </c>
      <c r="F2112" t="s">
        <v>225</v>
      </c>
      <c r="G2112" t="s">
        <v>2771</v>
      </c>
      <c r="H2112" t="s">
        <v>1923</v>
      </c>
      <c r="I2112" t="s">
        <v>1537</v>
      </c>
      <c r="J2112" t="s">
        <v>45</v>
      </c>
      <c r="K2112">
        <v>39</v>
      </c>
      <c r="L2112" t="s">
        <v>89</v>
      </c>
      <c r="M2112">
        <v>34</v>
      </c>
      <c r="N2112">
        <v>1</v>
      </c>
      <c r="O2112">
        <v>1447.35</v>
      </c>
      <c r="P2112" s="1">
        <v>45600.338993055557</v>
      </c>
      <c r="Q2112">
        <v>17</v>
      </c>
      <c r="R2112" t="s">
        <v>47</v>
      </c>
      <c r="S2112">
        <v>-0.419747746867634</v>
      </c>
      <c r="T2112" t="b">
        <v>0</v>
      </c>
      <c r="U2112" t="b">
        <v>0</v>
      </c>
      <c r="V2112" t="b">
        <f t="shared" si="64"/>
        <v>1</v>
      </c>
      <c r="W2112">
        <v>0</v>
      </c>
      <c r="Y2112">
        <f t="shared" si="65"/>
        <v>0</v>
      </c>
    </row>
    <row r="2113" spans="1:25" x14ac:dyDescent="0.3">
      <c r="A2113" t="s">
        <v>4027</v>
      </c>
      <c r="B2113" t="s">
        <v>1407</v>
      </c>
      <c r="C2113">
        <v>762.74</v>
      </c>
      <c r="D2113" s="1">
        <v>45048.725624999999</v>
      </c>
      <c r="E2113" t="s">
        <v>25</v>
      </c>
      <c r="F2113" t="s">
        <v>153</v>
      </c>
      <c r="G2113" t="s">
        <v>1990</v>
      </c>
      <c r="H2113" t="s">
        <v>3165</v>
      </c>
      <c r="I2113" t="s">
        <v>213</v>
      </c>
      <c r="J2113" t="s">
        <v>30</v>
      </c>
      <c r="K2113">
        <v>64</v>
      </c>
      <c r="L2113" t="s">
        <v>31</v>
      </c>
      <c r="M2113">
        <v>244</v>
      </c>
      <c r="N2113">
        <v>1</v>
      </c>
      <c r="O2113">
        <v>207.1</v>
      </c>
      <c r="P2113" s="1">
        <v>45600.337951388887</v>
      </c>
      <c r="Q2113">
        <v>17</v>
      </c>
      <c r="R2113" t="s">
        <v>32</v>
      </c>
      <c r="S2113">
        <v>1.5932598301135099</v>
      </c>
      <c r="T2113" t="b">
        <v>0</v>
      </c>
      <c r="U2113" t="b">
        <v>0</v>
      </c>
      <c r="V2113" t="b">
        <f t="shared" si="64"/>
        <v>1</v>
      </c>
      <c r="W2113">
        <v>0</v>
      </c>
      <c r="Y2113">
        <f t="shared" si="65"/>
        <v>0</v>
      </c>
    </row>
    <row r="2114" spans="1:25" x14ac:dyDescent="0.3">
      <c r="A2114" t="s">
        <v>4028</v>
      </c>
      <c r="B2114" t="s">
        <v>1709</v>
      </c>
      <c r="C2114">
        <v>34.03</v>
      </c>
      <c r="D2114" s="1">
        <v>45068.714930555558</v>
      </c>
      <c r="E2114" t="s">
        <v>25</v>
      </c>
      <c r="F2114" t="s">
        <v>153</v>
      </c>
      <c r="G2114" t="s">
        <v>2331</v>
      </c>
      <c r="H2114" t="s">
        <v>1618</v>
      </c>
      <c r="I2114" t="s">
        <v>1823</v>
      </c>
      <c r="J2114" t="s">
        <v>81</v>
      </c>
      <c r="K2114">
        <v>57</v>
      </c>
      <c r="L2114" t="s">
        <v>89</v>
      </c>
      <c r="M2114">
        <v>38</v>
      </c>
      <c r="N2114">
        <v>1</v>
      </c>
      <c r="O2114">
        <v>3077.2</v>
      </c>
      <c r="P2114" s="1">
        <v>45600.340266203704</v>
      </c>
      <c r="Q2114">
        <v>17</v>
      </c>
      <c r="R2114" t="s">
        <v>47</v>
      </c>
      <c r="S2114">
        <v>-0.90278187796716303</v>
      </c>
      <c r="T2114" t="b">
        <v>0</v>
      </c>
      <c r="U2114" t="b">
        <v>0</v>
      </c>
      <c r="V2114" t="b">
        <f t="shared" si="64"/>
        <v>1</v>
      </c>
      <c r="W2114">
        <v>0</v>
      </c>
      <c r="Y2114">
        <f t="shared" si="65"/>
        <v>0</v>
      </c>
    </row>
    <row r="2115" spans="1:25" x14ac:dyDescent="0.3">
      <c r="A2115" t="s">
        <v>4029</v>
      </c>
      <c r="B2115" t="s">
        <v>308</v>
      </c>
      <c r="C2115">
        <v>15.95</v>
      </c>
      <c r="D2115" s="1">
        <v>44999.715277777781</v>
      </c>
      <c r="E2115" t="s">
        <v>25</v>
      </c>
      <c r="F2115" t="s">
        <v>50</v>
      </c>
      <c r="G2115" t="s">
        <v>1965</v>
      </c>
      <c r="H2115" t="s">
        <v>2311</v>
      </c>
      <c r="I2115" t="s">
        <v>134</v>
      </c>
      <c r="J2115" t="s">
        <v>81</v>
      </c>
      <c r="K2115">
        <v>25</v>
      </c>
      <c r="L2115" t="s">
        <v>46</v>
      </c>
      <c r="M2115">
        <v>52</v>
      </c>
      <c r="N2115">
        <v>1</v>
      </c>
      <c r="O2115">
        <v>1983</v>
      </c>
      <c r="P2115" s="1">
        <v>45600.341423611113</v>
      </c>
      <c r="Q2115">
        <v>17</v>
      </c>
      <c r="R2115" t="s">
        <v>32</v>
      </c>
      <c r="S2115">
        <v>-0.96471108723024301</v>
      </c>
      <c r="T2115" t="b">
        <v>0</v>
      </c>
      <c r="U2115" t="b">
        <v>0</v>
      </c>
      <c r="V2115" t="b">
        <f t="shared" ref="V2115:V2178" si="66">ISLOGICAL(T2115)</f>
        <v>1</v>
      </c>
      <c r="W2115">
        <v>0</v>
      </c>
      <c r="Y2115">
        <f t="shared" ref="Y2115:Y2178" si="67">--T2115</f>
        <v>0</v>
      </c>
    </row>
    <row r="2116" spans="1:25" x14ac:dyDescent="0.3">
      <c r="A2116" t="s">
        <v>4030</v>
      </c>
      <c r="B2116" t="s">
        <v>346</v>
      </c>
      <c r="C2116">
        <v>926.53</v>
      </c>
      <c r="D2116" s="1">
        <v>45254.725277777776</v>
      </c>
      <c r="E2116" t="s">
        <v>25</v>
      </c>
      <c r="F2116" t="s">
        <v>191</v>
      </c>
      <c r="G2116" t="s">
        <v>2516</v>
      </c>
      <c r="H2116" t="s">
        <v>1926</v>
      </c>
      <c r="I2116" t="s">
        <v>344</v>
      </c>
      <c r="J2116" t="s">
        <v>30</v>
      </c>
      <c r="K2116">
        <v>57</v>
      </c>
      <c r="L2116" t="s">
        <v>89</v>
      </c>
      <c r="M2116">
        <v>107</v>
      </c>
      <c r="N2116">
        <v>1</v>
      </c>
      <c r="O2116">
        <v>3120.1</v>
      </c>
      <c r="P2116" s="1">
        <v>45600.337777777779</v>
      </c>
      <c r="Q2116">
        <v>17</v>
      </c>
      <c r="R2116" t="s">
        <v>54</v>
      </c>
      <c r="S2116">
        <v>2.1542877717727902</v>
      </c>
      <c r="T2116" t="b">
        <v>1</v>
      </c>
      <c r="U2116" t="b">
        <v>0</v>
      </c>
      <c r="V2116" t="b">
        <f t="shared" si="66"/>
        <v>1</v>
      </c>
      <c r="W2116">
        <v>1</v>
      </c>
      <c r="Y2116">
        <f t="shared" si="67"/>
        <v>1</v>
      </c>
    </row>
    <row r="2117" spans="1:25" x14ac:dyDescent="0.3">
      <c r="A2117" t="s">
        <v>4031</v>
      </c>
      <c r="B2117" t="s">
        <v>975</v>
      </c>
      <c r="C2117">
        <v>101.51</v>
      </c>
      <c r="D2117" s="1">
        <v>45008.679062499999</v>
      </c>
      <c r="E2117" t="s">
        <v>57</v>
      </c>
      <c r="F2117" t="s">
        <v>268</v>
      </c>
      <c r="G2117" t="s">
        <v>2419</v>
      </c>
      <c r="H2117" t="s">
        <v>934</v>
      </c>
      <c r="I2117" t="s">
        <v>577</v>
      </c>
      <c r="J2117" t="s">
        <v>45</v>
      </c>
      <c r="K2117">
        <v>46</v>
      </c>
      <c r="L2117" t="s">
        <v>89</v>
      </c>
      <c r="M2117">
        <v>199</v>
      </c>
      <c r="N2117">
        <v>1</v>
      </c>
      <c r="O2117">
        <v>3052.47</v>
      </c>
      <c r="P2117" s="1">
        <v>45600.341597222221</v>
      </c>
      <c r="Q2117">
        <v>16</v>
      </c>
      <c r="R2117" t="s">
        <v>141</v>
      </c>
      <c r="S2117">
        <v>-0.67164343542996097</v>
      </c>
      <c r="T2117" t="b">
        <v>0</v>
      </c>
      <c r="U2117" t="b">
        <v>0</v>
      </c>
      <c r="V2117" t="b">
        <f t="shared" si="66"/>
        <v>1</v>
      </c>
      <c r="W2117">
        <v>0</v>
      </c>
      <c r="Y2117">
        <f t="shared" si="67"/>
        <v>0</v>
      </c>
    </row>
    <row r="2118" spans="1:25" x14ac:dyDescent="0.3">
      <c r="A2118" t="s">
        <v>4032</v>
      </c>
      <c r="B2118" t="s">
        <v>1752</v>
      </c>
      <c r="C2118">
        <v>309.42</v>
      </c>
      <c r="D2118" s="1">
        <v>45217.70244212963</v>
      </c>
      <c r="E2118" t="s">
        <v>25</v>
      </c>
      <c r="F2118" t="s">
        <v>571</v>
      </c>
      <c r="G2118" t="s">
        <v>1175</v>
      </c>
      <c r="H2118" t="s">
        <v>2548</v>
      </c>
      <c r="I2118" t="s">
        <v>561</v>
      </c>
      <c r="J2118" t="s">
        <v>81</v>
      </c>
      <c r="K2118">
        <v>27</v>
      </c>
      <c r="L2118" t="s">
        <v>89</v>
      </c>
      <c r="M2118">
        <v>42</v>
      </c>
      <c r="N2118">
        <v>1</v>
      </c>
      <c r="O2118">
        <v>8564.4599999999991</v>
      </c>
      <c r="P2118" s="1">
        <v>45600.340520833335</v>
      </c>
      <c r="Q2118">
        <v>16</v>
      </c>
      <c r="R2118" t="s">
        <v>74</v>
      </c>
      <c r="S2118">
        <v>4.0508218214223297E-2</v>
      </c>
      <c r="T2118" t="b">
        <v>0</v>
      </c>
      <c r="U2118" t="b">
        <v>0</v>
      </c>
      <c r="V2118" t="b">
        <f t="shared" si="66"/>
        <v>1</v>
      </c>
      <c r="W2118">
        <v>0</v>
      </c>
      <c r="Y2118">
        <f t="shared" si="67"/>
        <v>0</v>
      </c>
    </row>
    <row r="2119" spans="1:25" x14ac:dyDescent="0.3">
      <c r="A2119" t="s">
        <v>4033</v>
      </c>
      <c r="B2119" t="s">
        <v>3937</v>
      </c>
      <c r="C2119">
        <v>257.60000000000002</v>
      </c>
      <c r="D2119" s="1">
        <v>45278.688032407408</v>
      </c>
      <c r="E2119" t="s">
        <v>57</v>
      </c>
      <c r="F2119" t="s">
        <v>170</v>
      </c>
      <c r="G2119" t="s">
        <v>1486</v>
      </c>
      <c r="H2119" t="s">
        <v>2054</v>
      </c>
      <c r="I2119" t="s">
        <v>445</v>
      </c>
      <c r="J2119" t="s">
        <v>45</v>
      </c>
      <c r="K2119">
        <v>59</v>
      </c>
      <c r="L2119" t="s">
        <v>82</v>
      </c>
      <c r="M2119">
        <v>293</v>
      </c>
      <c r="N2119">
        <v>1</v>
      </c>
      <c r="O2119">
        <v>7950.74</v>
      </c>
      <c r="P2119" s="1">
        <v>45600.340243055558</v>
      </c>
      <c r="Q2119">
        <v>16</v>
      </c>
      <c r="R2119" t="s">
        <v>47</v>
      </c>
      <c r="S2119">
        <v>-0.13699021231745701</v>
      </c>
      <c r="T2119" t="b">
        <v>0</v>
      </c>
      <c r="U2119" t="b">
        <v>0</v>
      </c>
      <c r="V2119" t="b">
        <f t="shared" si="66"/>
        <v>1</v>
      </c>
      <c r="W2119">
        <v>0</v>
      </c>
      <c r="Y2119">
        <f t="shared" si="67"/>
        <v>0</v>
      </c>
    </row>
    <row r="2120" spans="1:25" x14ac:dyDescent="0.3">
      <c r="A2120" t="s">
        <v>4034</v>
      </c>
      <c r="B2120" t="s">
        <v>1251</v>
      </c>
      <c r="C2120">
        <v>746.78</v>
      </c>
      <c r="D2120" s="1">
        <v>45257.686990740738</v>
      </c>
      <c r="E2120" t="s">
        <v>57</v>
      </c>
      <c r="F2120" t="s">
        <v>41</v>
      </c>
      <c r="G2120" t="s">
        <v>2989</v>
      </c>
      <c r="H2120" t="s">
        <v>4035</v>
      </c>
      <c r="I2120" t="s">
        <v>366</v>
      </c>
      <c r="J2120" t="s">
        <v>81</v>
      </c>
      <c r="K2120">
        <v>21</v>
      </c>
      <c r="L2120" t="s">
        <v>46</v>
      </c>
      <c r="M2120">
        <v>64</v>
      </c>
      <c r="N2120">
        <v>1</v>
      </c>
      <c r="O2120">
        <v>1699.81</v>
      </c>
      <c r="P2120" s="1">
        <v>45600.338703703703</v>
      </c>
      <c r="Q2120">
        <v>16</v>
      </c>
      <c r="R2120" t="s">
        <v>47</v>
      </c>
      <c r="S2120">
        <v>1.5385922316711</v>
      </c>
      <c r="T2120" t="b">
        <v>0</v>
      </c>
      <c r="U2120" t="b">
        <v>0</v>
      </c>
      <c r="V2120" t="b">
        <f t="shared" si="66"/>
        <v>1</v>
      </c>
      <c r="W2120">
        <v>0</v>
      </c>
      <c r="Y2120">
        <f t="shared" si="67"/>
        <v>0</v>
      </c>
    </row>
    <row r="2121" spans="1:25" x14ac:dyDescent="0.3">
      <c r="A2121" t="s">
        <v>4036</v>
      </c>
      <c r="B2121" t="s">
        <v>76</v>
      </c>
      <c r="C2121">
        <v>82.01</v>
      </c>
      <c r="D2121" s="1">
        <v>45285.727743055555</v>
      </c>
      <c r="E2121" t="s">
        <v>57</v>
      </c>
      <c r="F2121" t="s">
        <v>298</v>
      </c>
      <c r="G2121" t="s">
        <v>3559</v>
      </c>
      <c r="H2121" t="s">
        <v>111</v>
      </c>
      <c r="I2121" t="s">
        <v>361</v>
      </c>
      <c r="J2121" t="s">
        <v>81</v>
      </c>
      <c r="K2121">
        <v>23</v>
      </c>
      <c r="L2121" t="s">
        <v>46</v>
      </c>
      <c r="M2121">
        <v>156</v>
      </c>
      <c r="N2121">
        <v>1</v>
      </c>
      <c r="O2121">
        <v>287.45999999999998</v>
      </c>
      <c r="P2121" s="1">
        <v>45600.338356481479</v>
      </c>
      <c r="Q2121">
        <v>17</v>
      </c>
      <c r="R2121" t="s">
        <v>47</v>
      </c>
      <c r="S2121">
        <v>-0.73843655382764095</v>
      </c>
      <c r="T2121" t="b">
        <v>0</v>
      </c>
      <c r="U2121" t="b">
        <v>0</v>
      </c>
      <c r="V2121" t="b">
        <f t="shared" si="66"/>
        <v>1</v>
      </c>
      <c r="W2121">
        <v>0</v>
      </c>
      <c r="Y2121">
        <f t="shared" si="67"/>
        <v>0</v>
      </c>
    </row>
    <row r="2122" spans="1:25" x14ac:dyDescent="0.3">
      <c r="A2122" t="s">
        <v>4037</v>
      </c>
      <c r="B2122" t="s">
        <v>152</v>
      </c>
      <c r="C2122">
        <v>476.99</v>
      </c>
      <c r="D2122" s="1">
        <v>44936.667037037034</v>
      </c>
      <c r="E2122" t="s">
        <v>25</v>
      </c>
      <c r="F2122" t="s">
        <v>26</v>
      </c>
      <c r="G2122" t="s">
        <v>3493</v>
      </c>
      <c r="H2122" t="s">
        <v>2329</v>
      </c>
      <c r="I2122" t="s">
        <v>167</v>
      </c>
      <c r="J2122" t="s">
        <v>45</v>
      </c>
      <c r="K2122">
        <v>23</v>
      </c>
      <c r="L2122" t="s">
        <v>46</v>
      </c>
      <c r="M2122">
        <v>187</v>
      </c>
      <c r="N2122">
        <v>1</v>
      </c>
      <c r="O2122">
        <v>1154.48</v>
      </c>
      <c r="P2122" s="1">
        <v>45600.34039351852</v>
      </c>
      <c r="Q2122">
        <v>16</v>
      </c>
      <c r="R2122" t="s">
        <v>32</v>
      </c>
      <c r="S2122">
        <v>0.61448374897828495</v>
      </c>
      <c r="T2122" t="b">
        <v>0</v>
      </c>
      <c r="U2122" t="b">
        <v>0</v>
      </c>
      <c r="V2122" t="b">
        <f t="shared" si="66"/>
        <v>1</v>
      </c>
      <c r="W2122">
        <v>0</v>
      </c>
      <c r="Y2122">
        <f t="shared" si="67"/>
        <v>0</v>
      </c>
    </row>
    <row r="2123" spans="1:25" x14ac:dyDescent="0.3">
      <c r="A2123" t="s">
        <v>4038</v>
      </c>
      <c r="B2123" t="s">
        <v>1418</v>
      </c>
      <c r="C2123">
        <v>320.11</v>
      </c>
      <c r="D2123" s="1">
        <v>45169.685150462959</v>
      </c>
      <c r="E2123" t="s">
        <v>25</v>
      </c>
      <c r="F2123" t="s">
        <v>519</v>
      </c>
      <c r="G2123" t="s">
        <v>2630</v>
      </c>
      <c r="H2123" t="s">
        <v>580</v>
      </c>
      <c r="I2123" t="s">
        <v>117</v>
      </c>
      <c r="J2123" t="s">
        <v>81</v>
      </c>
      <c r="K2123">
        <v>23</v>
      </c>
      <c r="L2123" t="s">
        <v>46</v>
      </c>
      <c r="M2123">
        <v>130</v>
      </c>
      <c r="N2123">
        <v>1</v>
      </c>
      <c r="O2123">
        <v>4076.48</v>
      </c>
      <c r="P2123" s="1">
        <v>45600.338634259257</v>
      </c>
      <c r="Q2123">
        <v>16</v>
      </c>
      <c r="R2123" t="s">
        <v>141</v>
      </c>
      <c r="S2123">
        <v>7.7124548248643704E-2</v>
      </c>
      <c r="T2123" t="b">
        <v>0</v>
      </c>
      <c r="U2123" t="b">
        <v>0</v>
      </c>
      <c r="V2123" t="b">
        <f t="shared" si="66"/>
        <v>1</v>
      </c>
      <c r="W2123">
        <v>0</v>
      </c>
      <c r="Y2123">
        <f t="shared" si="67"/>
        <v>0</v>
      </c>
    </row>
    <row r="2124" spans="1:25" x14ac:dyDescent="0.3">
      <c r="A2124" t="s">
        <v>4039</v>
      </c>
      <c r="B2124" t="s">
        <v>1431</v>
      </c>
      <c r="C2124">
        <v>333.39</v>
      </c>
      <c r="D2124" s="1">
        <v>45180.692349537036</v>
      </c>
      <c r="E2124" t="s">
        <v>25</v>
      </c>
      <c r="F2124" t="s">
        <v>256</v>
      </c>
      <c r="G2124" t="s">
        <v>1382</v>
      </c>
      <c r="H2124" t="s">
        <v>744</v>
      </c>
      <c r="I2124" t="s">
        <v>29</v>
      </c>
      <c r="J2124" t="s">
        <v>30</v>
      </c>
      <c r="K2124">
        <v>68</v>
      </c>
      <c r="L2124" t="s">
        <v>31</v>
      </c>
      <c r="M2124">
        <v>35</v>
      </c>
      <c r="N2124">
        <v>1</v>
      </c>
      <c r="O2124">
        <v>10628.59</v>
      </c>
      <c r="P2124" s="1">
        <v>45600.339317129627</v>
      </c>
      <c r="Q2124">
        <v>16</v>
      </c>
      <c r="R2124" t="s">
        <v>47</v>
      </c>
      <c r="S2124">
        <v>0.122612374521525</v>
      </c>
      <c r="T2124" t="b">
        <v>0</v>
      </c>
      <c r="U2124" t="b">
        <v>0</v>
      </c>
      <c r="V2124" t="b">
        <f t="shared" si="66"/>
        <v>1</v>
      </c>
      <c r="W2124">
        <v>0</v>
      </c>
      <c r="Y2124">
        <f t="shared" si="67"/>
        <v>0</v>
      </c>
    </row>
    <row r="2125" spans="1:25" x14ac:dyDescent="0.3">
      <c r="A2125" t="s">
        <v>4040</v>
      </c>
      <c r="B2125" t="s">
        <v>158</v>
      </c>
      <c r="C2125">
        <v>10.3</v>
      </c>
      <c r="D2125" s="1">
        <v>45267.707708333335</v>
      </c>
      <c r="E2125" t="s">
        <v>25</v>
      </c>
      <c r="F2125" t="s">
        <v>571</v>
      </c>
      <c r="G2125" t="s">
        <v>452</v>
      </c>
      <c r="H2125" t="s">
        <v>1045</v>
      </c>
      <c r="I2125" t="s">
        <v>167</v>
      </c>
      <c r="J2125" t="s">
        <v>30</v>
      </c>
      <c r="K2125">
        <v>47</v>
      </c>
      <c r="L2125" t="s">
        <v>89</v>
      </c>
      <c r="M2125">
        <v>197</v>
      </c>
      <c r="N2125">
        <v>1</v>
      </c>
      <c r="O2125">
        <v>7801.32</v>
      </c>
      <c r="P2125" s="1">
        <v>45600.340416666666</v>
      </c>
      <c r="Q2125">
        <v>16</v>
      </c>
      <c r="R2125" t="s">
        <v>141</v>
      </c>
      <c r="S2125">
        <v>-0.98406396512495498</v>
      </c>
      <c r="T2125" t="b">
        <v>0</v>
      </c>
      <c r="U2125" t="b">
        <v>0</v>
      </c>
      <c r="V2125" t="b">
        <f t="shared" si="66"/>
        <v>1</v>
      </c>
      <c r="W2125">
        <v>0</v>
      </c>
      <c r="Y2125">
        <f t="shared" si="67"/>
        <v>0</v>
      </c>
    </row>
    <row r="2126" spans="1:25" x14ac:dyDescent="0.3">
      <c r="A2126" t="s">
        <v>4041</v>
      </c>
      <c r="B2126" t="s">
        <v>1451</v>
      </c>
      <c r="C2126">
        <v>737.46</v>
      </c>
      <c r="D2126" s="1">
        <v>44929.686145833337</v>
      </c>
      <c r="E2126" t="s">
        <v>57</v>
      </c>
      <c r="F2126" t="s">
        <v>98</v>
      </c>
      <c r="G2126" t="s">
        <v>1200</v>
      </c>
      <c r="H2126" t="s">
        <v>690</v>
      </c>
      <c r="I2126" t="s">
        <v>993</v>
      </c>
      <c r="J2126" t="s">
        <v>81</v>
      </c>
      <c r="K2126">
        <v>53</v>
      </c>
      <c r="L2126" t="s">
        <v>31</v>
      </c>
      <c r="M2126">
        <v>75</v>
      </c>
      <c r="N2126">
        <v>4</v>
      </c>
      <c r="O2126">
        <v>634.16</v>
      </c>
      <c r="P2126" s="1">
        <v>45600.338622685187</v>
      </c>
      <c r="Q2126">
        <v>16</v>
      </c>
      <c r="R2126" t="s">
        <v>32</v>
      </c>
      <c r="S2126">
        <v>1.5066685463651299</v>
      </c>
      <c r="T2126" t="b">
        <v>0</v>
      </c>
      <c r="U2126" t="b">
        <v>1</v>
      </c>
      <c r="V2126" t="b">
        <f t="shared" si="66"/>
        <v>1</v>
      </c>
      <c r="W2126">
        <v>1</v>
      </c>
      <c r="Y2126">
        <f t="shared" si="67"/>
        <v>0</v>
      </c>
    </row>
    <row r="2127" spans="1:25" x14ac:dyDescent="0.3">
      <c r="A2127" t="s">
        <v>4042</v>
      </c>
      <c r="B2127" t="s">
        <v>1407</v>
      </c>
      <c r="C2127">
        <v>416.55</v>
      </c>
      <c r="D2127" s="1">
        <v>45051.730474537035</v>
      </c>
      <c r="E2127" t="s">
        <v>25</v>
      </c>
      <c r="F2127" t="s">
        <v>64</v>
      </c>
      <c r="G2127" t="s">
        <v>1601</v>
      </c>
      <c r="H2127" t="s">
        <v>950</v>
      </c>
      <c r="I2127" t="s">
        <v>871</v>
      </c>
      <c r="J2127" t="s">
        <v>45</v>
      </c>
      <c r="K2127">
        <v>33</v>
      </c>
      <c r="L2127" t="s">
        <v>89</v>
      </c>
      <c r="M2127">
        <v>73</v>
      </c>
      <c r="N2127">
        <v>1</v>
      </c>
      <c r="O2127">
        <v>922.96</v>
      </c>
      <c r="P2127" s="1">
        <v>45600.338425925926</v>
      </c>
      <c r="Q2127">
        <v>17</v>
      </c>
      <c r="R2127" t="s">
        <v>54</v>
      </c>
      <c r="S2127">
        <v>0.40745933482670699</v>
      </c>
      <c r="T2127" t="b">
        <v>0</v>
      </c>
      <c r="U2127" t="b">
        <v>0</v>
      </c>
      <c r="V2127" t="b">
        <f t="shared" si="66"/>
        <v>1</v>
      </c>
      <c r="W2127">
        <v>0</v>
      </c>
      <c r="Y2127">
        <f t="shared" si="67"/>
        <v>0</v>
      </c>
    </row>
    <row r="2128" spans="1:25" x14ac:dyDescent="0.3">
      <c r="A2128" t="s">
        <v>4043</v>
      </c>
      <c r="B2128" t="s">
        <v>143</v>
      </c>
      <c r="C2128">
        <v>84.91</v>
      </c>
      <c r="D2128" s="1">
        <v>45215.776562500003</v>
      </c>
      <c r="E2128" t="s">
        <v>25</v>
      </c>
      <c r="F2128" t="s">
        <v>50</v>
      </c>
      <c r="G2128" t="s">
        <v>1664</v>
      </c>
      <c r="H2128" t="s">
        <v>1594</v>
      </c>
      <c r="I2128" t="s">
        <v>652</v>
      </c>
      <c r="J2128" t="s">
        <v>45</v>
      </c>
      <c r="K2128">
        <v>18</v>
      </c>
      <c r="L2128" t="s">
        <v>46</v>
      </c>
      <c r="M2128">
        <v>68</v>
      </c>
      <c r="N2128">
        <v>1</v>
      </c>
      <c r="O2128">
        <v>1671.86</v>
      </c>
      <c r="P2128" s="1">
        <v>45600.338182870371</v>
      </c>
      <c r="Q2128">
        <v>18</v>
      </c>
      <c r="R2128" t="s">
        <v>47</v>
      </c>
      <c r="S2128">
        <v>-0.72850321827106301</v>
      </c>
      <c r="T2128" t="b">
        <v>0</v>
      </c>
      <c r="U2128" t="b">
        <v>0</v>
      </c>
      <c r="V2128" t="b">
        <f t="shared" si="66"/>
        <v>1</v>
      </c>
      <c r="W2128">
        <v>0</v>
      </c>
      <c r="Y2128">
        <f t="shared" si="67"/>
        <v>0</v>
      </c>
    </row>
    <row r="2129" spans="1:25" x14ac:dyDescent="0.3">
      <c r="A2129" t="s">
        <v>4044</v>
      </c>
      <c r="B2129" t="s">
        <v>1839</v>
      </c>
      <c r="C2129">
        <v>98.95</v>
      </c>
      <c r="D2129" s="1">
        <v>45289.734456018516</v>
      </c>
      <c r="E2129" t="s">
        <v>25</v>
      </c>
      <c r="F2129" t="s">
        <v>41</v>
      </c>
      <c r="G2129" t="s">
        <v>138</v>
      </c>
      <c r="H2129" t="s">
        <v>1472</v>
      </c>
      <c r="I2129" t="s">
        <v>833</v>
      </c>
      <c r="J2129" t="s">
        <v>81</v>
      </c>
      <c r="K2129">
        <v>75</v>
      </c>
      <c r="L2129" t="s">
        <v>82</v>
      </c>
      <c r="M2129">
        <v>73</v>
      </c>
      <c r="N2129">
        <v>1</v>
      </c>
      <c r="O2129">
        <v>5670.82</v>
      </c>
      <c r="P2129" s="1">
        <v>45600.338796296295</v>
      </c>
      <c r="Q2129">
        <v>17</v>
      </c>
      <c r="R2129" t="s">
        <v>54</v>
      </c>
      <c r="S2129">
        <v>-0.680412173024734</v>
      </c>
      <c r="T2129" t="b">
        <v>0</v>
      </c>
      <c r="U2129" t="b">
        <v>0</v>
      </c>
      <c r="V2129" t="b">
        <f t="shared" si="66"/>
        <v>1</v>
      </c>
      <c r="W2129">
        <v>0</v>
      </c>
      <c r="Y2129">
        <f t="shared" si="67"/>
        <v>0</v>
      </c>
    </row>
    <row r="2130" spans="1:25" x14ac:dyDescent="0.3">
      <c r="A2130" t="s">
        <v>4045</v>
      </c>
      <c r="B2130" t="s">
        <v>2596</v>
      </c>
      <c r="C2130">
        <v>18.14</v>
      </c>
      <c r="D2130" s="1">
        <v>44974.782627314817</v>
      </c>
      <c r="E2130" t="s">
        <v>57</v>
      </c>
      <c r="F2130" t="s">
        <v>191</v>
      </c>
      <c r="G2130" t="s">
        <v>65</v>
      </c>
      <c r="H2130" t="s">
        <v>2023</v>
      </c>
      <c r="I2130" t="s">
        <v>361</v>
      </c>
      <c r="J2130" t="s">
        <v>30</v>
      </c>
      <c r="K2130">
        <v>58</v>
      </c>
      <c r="L2130" t="s">
        <v>82</v>
      </c>
      <c r="M2130">
        <v>48</v>
      </c>
      <c r="N2130">
        <v>1</v>
      </c>
      <c r="O2130">
        <v>6020.85</v>
      </c>
      <c r="P2130" s="1">
        <v>45600.341064814813</v>
      </c>
      <c r="Q2130">
        <v>18</v>
      </c>
      <c r="R2130" t="s">
        <v>54</v>
      </c>
      <c r="S2130">
        <v>-0.95720970624096502</v>
      </c>
      <c r="T2130" t="b">
        <v>0</v>
      </c>
      <c r="U2130" t="b">
        <v>0</v>
      </c>
      <c r="V2130" t="b">
        <f t="shared" si="66"/>
        <v>1</v>
      </c>
      <c r="W2130">
        <v>0</v>
      </c>
      <c r="Y2130">
        <f t="shared" si="67"/>
        <v>0</v>
      </c>
    </row>
    <row r="2131" spans="1:25" x14ac:dyDescent="0.3">
      <c r="A2131" t="s">
        <v>4046</v>
      </c>
      <c r="B2131" t="s">
        <v>1040</v>
      </c>
      <c r="C2131">
        <v>1154.79</v>
      </c>
      <c r="D2131" s="1">
        <v>45140.744988425926</v>
      </c>
      <c r="E2131" t="s">
        <v>25</v>
      </c>
      <c r="F2131" t="s">
        <v>137</v>
      </c>
      <c r="G2131" t="s">
        <v>1207</v>
      </c>
      <c r="H2131" t="s">
        <v>1483</v>
      </c>
      <c r="I2131" t="s">
        <v>611</v>
      </c>
      <c r="J2131" t="s">
        <v>30</v>
      </c>
      <c r="K2131">
        <v>51</v>
      </c>
      <c r="L2131" t="s">
        <v>31</v>
      </c>
      <c r="M2131">
        <v>108</v>
      </c>
      <c r="N2131">
        <v>1</v>
      </c>
      <c r="O2131">
        <v>6180.3</v>
      </c>
      <c r="P2131" s="1">
        <v>45600.341516203705</v>
      </c>
      <c r="Q2131">
        <v>17</v>
      </c>
      <c r="R2131" t="s">
        <v>74</v>
      </c>
      <c r="S2131">
        <v>2.9361440387191702</v>
      </c>
      <c r="T2131" t="b">
        <v>1</v>
      </c>
      <c r="U2131" t="b">
        <v>0</v>
      </c>
      <c r="V2131" t="b">
        <f t="shared" si="66"/>
        <v>1</v>
      </c>
      <c r="W2131">
        <v>1</v>
      </c>
      <c r="Y2131">
        <f t="shared" si="67"/>
        <v>1</v>
      </c>
    </row>
    <row r="2132" spans="1:25" x14ac:dyDescent="0.3">
      <c r="A2132" t="s">
        <v>4047</v>
      </c>
      <c r="B2132" t="s">
        <v>455</v>
      </c>
      <c r="C2132">
        <v>215.13</v>
      </c>
      <c r="D2132" s="1">
        <v>44931.668541666666</v>
      </c>
      <c r="E2132" t="s">
        <v>25</v>
      </c>
      <c r="F2132" t="s">
        <v>262</v>
      </c>
      <c r="G2132" t="s">
        <v>763</v>
      </c>
      <c r="H2132" t="s">
        <v>748</v>
      </c>
      <c r="I2132" t="s">
        <v>1823</v>
      </c>
      <c r="J2132" t="s">
        <v>45</v>
      </c>
      <c r="K2132">
        <v>46</v>
      </c>
      <c r="L2132" t="s">
        <v>89</v>
      </c>
      <c r="M2132">
        <v>114</v>
      </c>
      <c r="N2132">
        <v>1</v>
      </c>
      <c r="O2132">
        <v>3956.69</v>
      </c>
      <c r="P2132" s="1">
        <v>45600.339074074072</v>
      </c>
      <c r="Q2132">
        <v>16</v>
      </c>
      <c r="R2132" t="s">
        <v>141</v>
      </c>
      <c r="S2132">
        <v>-0.28246219889947999</v>
      </c>
      <c r="T2132" t="b">
        <v>0</v>
      </c>
      <c r="U2132" t="b">
        <v>0</v>
      </c>
      <c r="V2132" t="b">
        <f t="shared" si="66"/>
        <v>1</v>
      </c>
      <c r="W2132">
        <v>0</v>
      </c>
      <c r="Y2132">
        <f t="shared" si="67"/>
        <v>0</v>
      </c>
    </row>
    <row r="2133" spans="1:25" x14ac:dyDescent="0.3">
      <c r="A2133" t="s">
        <v>4048</v>
      </c>
      <c r="B2133" t="s">
        <v>2066</v>
      </c>
      <c r="C2133">
        <v>218.57</v>
      </c>
      <c r="D2133" s="1">
        <v>45215.687939814816</v>
      </c>
      <c r="E2133" t="s">
        <v>57</v>
      </c>
      <c r="F2133" t="s">
        <v>104</v>
      </c>
      <c r="G2133" t="s">
        <v>1341</v>
      </c>
      <c r="H2133" t="s">
        <v>3551</v>
      </c>
      <c r="I2133" t="s">
        <v>445</v>
      </c>
      <c r="J2133" t="s">
        <v>81</v>
      </c>
      <c r="K2133">
        <v>62</v>
      </c>
      <c r="L2133" t="s">
        <v>31</v>
      </c>
      <c r="M2133">
        <v>102</v>
      </c>
      <c r="N2133">
        <v>1</v>
      </c>
      <c r="O2133">
        <v>13869.86</v>
      </c>
      <c r="P2133" s="1">
        <v>45600.339108796295</v>
      </c>
      <c r="Q2133">
        <v>16</v>
      </c>
      <c r="R2133" t="s">
        <v>47</v>
      </c>
      <c r="S2133">
        <v>-0.270679207756505</v>
      </c>
      <c r="T2133" t="b">
        <v>0</v>
      </c>
      <c r="U2133" t="b">
        <v>0</v>
      </c>
      <c r="V2133" t="b">
        <f t="shared" si="66"/>
        <v>1</v>
      </c>
      <c r="W2133">
        <v>0</v>
      </c>
      <c r="Y2133">
        <f t="shared" si="67"/>
        <v>0</v>
      </c>
    </row>
    <row r="2134" spans="1:25" x14ac:dyDescent="0.3">
      <c r="A2134" t="s">
        <v>4049</v>
      </c>
      <c r="B2134" t="s">
        <v>1501</v>
      </c>
      <c r="C2134">
        <v>341.88</v>
      </c>
      <c r="D2134" s="1">
        <v>45091.690775462965</v>
      </c>
      <c r="E2134" t="s">
        <v>25</v>
      </c>
      <c r="F2134" t="s">
        <v>131</v>
      </c>
      <c r="G2134" t="s">
        <v>515</v>
      </c>
      <c r="H2134" t="s">
        <v>3337</v>
      </c>
      <c r="I2134" t="s">
        <v>213</v>
      </c>
      <c r="J2134" t="s">
        <v>30</v>
      </c>
      <c r="K2134">
        <v>43</v>
      </c>
      <c r="L2134" t="s">
        <v>89</v>
      </c>
      <c r="M2134">
        <v>89</v>
      </c>
      <c r="N2134">
        <v>1</v>
      </c>
      <c r="O2134">
        <v>4159.5200000000004</v>
      </c>
      <c r="P2134" s="1">
        <v>45600.34097222222</v>
      </c>
      <c r="Q2134">
        <v>16</v>
      </c>
      <c r="R2134" t="s">
        <v>74</v>
      </c>
      <c r="S2134">
        <v>0.151693070685438</v>
      </c>
      <c r="T2134" t="b">
        <v>0</v>
      </c>
      <c r="U2134" t="b">
        <v>0</v>
      </c>
      <c r="V2134" t="b">
        <f t="shared" si="66"/>
        <v>1</v>
      </c>
      <c r="W2134">
        <v>0</v>
      </c>
      <c r="Y2134">
        <f t="shared" si="67"/>
        <v>0</v>
      </c>
    </row>
    <row r="2135" spans="1:25" x14ac:dyDescent="0.3">
      <c r="A2135" t="s">
        <v>4050</v>
      </c>
      <c r="B2135" t="s">
        <v>1549</v>
      </c>
      <c r="C2135">
        <v>691.92</v>
      </c>
      <c r="D2135" s="1">
        <v>45117.692569444444</v>
      </c>
      <c r="E2135" t="s">
        <v>25</v>
      </c>
      <c r="F2135" t="s">
        <v>401</v>
      </c>
      <c r="G2135" t="s">
        <v>51</v>
      </c>
      <c r="H2135" t="s">
        <v>1610</v>
      </c>
      <c r="I2135" t="s">
        <v>765</v>
      </c>
      <c r="J2135" t="s">
        <v>45</v>
      </c>
      <c r="K2135">
        <v>19</v>
      </c>
      <c r="L2135" t="s">
        <v>46</v>
      </c>
      <c r="M2135">
        <v>61</v>
      </c>
      <c r="N2135">
        <v>1</v>
      </c>
      <c r="O2135">
        <v>1084.6500000000001</v>
      </c>
      <c r="P2135" s="1">
        <v>45600.341817129629</v>
      </c>
      <c r="Q2135">
        <v>16</v>
      </c>
      <c r="R2135" t="s">
        <v>47</v>
      </c>
      <c r="S2135">
        <v>1.35068092524563</v>
      </c>
      <c r="T2135" t="b">
        <v>0</v>
      </c>
      <c r="U2135" t="b">
        <v>0</v>
      </c>
      <c r="V2135" t="b">
        <f t="shared" si="66"/>
        <v>1</v>
      </c>
      <c r="W2135">
        <v>0</v>
      </c>
      <c r="Y2135">
        <f t="shared" si="67"/>
        <v>0</v>
      </c>
    </row>
    <row r="2136" spans="1:25" x14ac:dyDescent="0.3">
      <c r="A2136" t="s">
        <v>4051</v>
      </c>
      <c r="B2136" t="s">
        <v>3824</v>
      </c>
      <c r="C2136">
        <v>50.43</v>
      </c>
      <c r="D2136" s="1">
        <v>45117.671157407407</v>
      </c>
      <c r="E2136" t="s">
        <v>25</v>
      </c>
      <c r="F2136" t="s">
        <v>236</v>
      </c>
      <c r="G2136" t="s">
        <v>1197</v>
      </c>
      <c r="H2136" t="s">
        <v>3223</v>
      </c>
      <c r="I2136" t="s">
        <v>112</v>
      </c>
      <c r="J2136" t="s">
        <v>81</v>
      </c>
      <c r="K2136">
        <v>32</v>
      </c>
      <c r="L2136" t="s">
        <v>31</v>
      </c>
      <c r="M2136">
        <v>51</v>
      </c>
      <c r="N2136">
        <v>1</v>
      </c>
      <c r="O2136">
        <v>9794.26</v>
      </c>
      <c r="P2136" s="1">
        <v>45600.339699074073</v>
      </c>
      <c r="Q2136">
        <v>16</v>
      </c>
      <c r="R2136" t="s">
        <v>47</v>
      </c>
      <c r="S2136">
        <v>-0.84660715275065301</v>
      </c>
      <c r="T2136" t="b">
        <v>0</v>
      </c>
      <c r="U2136" t="b">
        <v>0</v>
      </c>
      <c r="V2136" t="b">
        <f t="shared" si="66"/>
        <v>1</v>
      </c>
      <c r="W2136">
        <v>0</v>
      </c>
      <c r="Y2136">
        <f t="shared" si="67"/>
        <v>0</v>
      </c>
    </row>
    <row r="2137" spans="1:25" x14ac:dyDescent="0.3">
      <c r="A2137" t="s">
        <v>4052</v>
      </c>
      <c r="B2137" t="s">
        <v>175</v>
      </c>
      <c r="C2137">
        <v>440.43</v>
      </c>
      <c r="D2137" s="1">
        <v>45190.737199074072</v>
      </c>
      <c r="E2137" t="s">
        <v>25</v>
      </c>
      <c r="F2137" t="s">
        <v>534</v>
      </c>
      <c r="G2137" t="s">
        <v>2630</v>
      </c>
      <c r="H2137" t="s">
        <v>531</v>
      </c>
      <c r="I2137" t="s">
        <v>29</v>
      </c>
      <c r="J2137" t="s">
        <v>81</v>
      </c>
      <c r="K2137">
        <v>78</v>
      </c>
      <c r="L2137" t="s">
        <v>82</v>
      </c>
      <c r="M2137">
        <v>23</v>
      </c>
      <c r="N2137">
        <v>1</v>
      </c>
      <c r="O2137">
        <v>5123.24</v>
      </c>
      <c r="P2137" s="1">
        <v>45600.338796296295</v>
      </c>
      <c r="Q2137">
        <v>17</v>
      </c>
      <c r="R2137" t="s">
        <v>141</v>
      </c>
      <c r="S2137">
        <v>0.48925521520294202</v>
      </c>
      <c r="T2137" t="b">
        <v>0</v>
      </c>
      <c r="U2137" t="b">
        <v>0</v>
      </c>
      <c r="V2137" t="b">
        <f t="shared" si="66"/>
        <v>1</v>
      </c>
      <c r="W2137">
        <v>0</v>
      </c>
      <c r="Y2137">
        <f t="shared" si="67"/>
        <v>0</v>
      </c>
    </row>
    <row r="2138" spans="1:25" x14ac:dyDescent="0.3">
      <c r="A2138" t="s">
        <v>4053</v>
      </c>
      <c r="B2138" t="s">
        <v>318</v>
      </c>
      <c r="C2138">
        <v>299.02999999999997</v>
      </c>
      <c r="D2138" s="1">
        <v>44945.727094907408</v>
      </c>
      <c r="E2138" t="s">
        <v>25</v>
      </c>
      <c r="F2138" t="s">
        <v>137</v>
      </c>
      <c r="G2138" t="s">
        <v>1165</v>
      </c>
      <c r="H2138" t="s">
        <v>2057</v>
      </c>
      <c r="I2138" t="s">
        <v>775</v>
      </c>
      <c r="J2138" t="s">
        <v>81</v>
      </c>
      <c r="K2138">
        <v>39</v>
      </c>
      <c r="L2138" t="s">
        <v>89</v>
      </c>
      <c r="M2138">
        <v>52</v>
      </c>
      <c r="N2138">
        <v>1</v>
      </c>
      <c r="O2138">
        <v>1381.28</v>
      </c>
      <c r="P2138" s="1">
        <v>45600.340300925927</v>
      </c>
      <c r="Q2138">
        <v>17</v>
      </c>
      <c r="R2138" t="s">
        <v>141</v>
      </c>
      <c r="S2138">
        <v>4.9194746166902198E-3</v>
      </c>
      <c r="T2138" t="b">
        <v>0</v>
      </c>
      <c r="U2138" t="b">
        <v>0</v>
      </c>
      <c r="V2138" t="b">
        <f t="shared" si="66"/>
        <v>1</v>
      </c>
      <c r="W2138">
        <v>0</v>
      </c>
      <c r="Y2138">
        <f t="shared" si="67"/>
        <v>0</v>
      </c>
    </row>
    <row r="2139" spans="1:25" x14ac:dyDescent="0.3">
      <c r="A2139" t="s">
        <v>4054</v>
      </c>
      <c r="B2139" t="s">
        <v>1010</v>
      </c>
      <c r="C2139">
        <v>1.98</v>
      </c>
      <c r="D2139" s="1">
        <v>45285.737187500003</v>
      </c>
      <c r="E2139" t="s">
        <v>25</v>
      </c>
      <c r="F2139" t="s">
        <v>70</v>
      </c>
      <c r="G2139" t="s">
        <v>86</v>
      </c>
      <c r="H2139" t="s">
        <v>1255</v>
      </c>
      <c r="I2139" t="s">
        <v>239</v>
      </c>
      <c r="J2139" t="s">
        <v>30</v>
      </c>
      <c r="K2139">
        <v>66</v>
      </c>
      <c r="L2139" t="s">
        <v>31</v>
      </c>
      <c r="M2139">
        <v>170</v>
      </c>
      <c r="N2139">
        <v>1</v>
      </c>
      <c r="O2139">
        <v>11619.1</v>
      </c>
      <c r="P2139" s="1">
        <v>45600.340821759259</v>
      </c>
      <c r="Q2139">
        <v>17</v>
      </c>
      <c r="R2139" t="s">
        <v>47</v>
      </c>
      <c r="S2139">
        <v>-1.01256236230796</v>
      </c>
      <c r="T2139" t="b">
        <v>0</v>
      </c>
      <c r="U2139" t="b">
        <v>0</v>
      </c>
      <c r="V2139" t="b">
        <f t="shared" si="66"/>
        <v>1</v>
      </c>
      <c r="W2139">
        <v>0</v>
      </c>
      <c r="Y2139">
        <f t="shared" si="67"/>
        <v>0</v>
      </c>
    </row>
    <row r="2140" spans="1:25" x14ac:dyDescent="0.3">
      <c r="A2140" t="s">
        <v>4055</v>
      </c>
      <c r="B2140" t="s">
        <v>2233</v>
      </c>
      <c r="C2140">
        <v>173.45</v>
      </c>
      <c r="D2140" s="1">
        <v>45285.684525462966</v>
      </c>
      <c r="E2140" t="s">
        <v>25</v>
      </c>
      <c r="F2140" t="s">
        <v>256</v>
      </c>
      <c r="G2140" t="s">
        <v>1841</v>
      </c>
      <c r="H2140" t="s">
        <v>2627</v>
      </c>
      <c r="I2140" t="s">
        <v>399</v>
      </c>
      <c r="J2140" t="s">
        <v>30</v>
      </c>
      <c r="K2140">
        <v>31</v>
      </c>
      <c r="L2140" t="s">
        <v>89</v>
      </c>
      <c r="M2140">
        <v>161</v>
      </c>
      <c r="N2140">
        <v>1</v>
      </c>
      <c r="O2140">
        <v>9077.6200000000008</v>
      </c>
      <c r="P2140" s="1">
        <v>45600.338321759256</v>
      </c>
      <c r="Q2140">
        <v>16</v>
      </c>
      <c r="R2140" t="s">
        <v>47</v>
      </c>
      <c r="S2140">
        <v>-0.42522820786436699</v>
      </c>
      <c r="T2140" t="b">
        <v>0</v>
      </c>
      <c r="U2140" t="b">
        <v>0</v>
      </c>
      <c r="V2140" t="b">
        <f t="shared" si="66"/>
        <v>1</v>
      </c>
      <c r="W2140">
        <v>0</v>
      </c>
      <c r="Y2140">
        <f t="shared" si="67"/>
        <v>0</v>
      </c>
    </row>
    <row r="2141" spans="1:25" x14ac:dyDescent="0.3">
      <c r="A2141" t="s">
        <v>4056</v>
      </c>
      <c r="B2141" t="s">
        <v>363</v>
      </c>
      <c r="C2141">
        <v>438.76</v>
      </c>
      <c r="D2141" s="1">
        <v>44970.700578703705</v>
      </c>
      <c r="E2141" t="s">
        <v>25</v>
      </c>
      <c r="F2141" t="s">
        <v>250</v>
      </c>
      <c r="G2141" t="s">
        <v>2441</v>
      </c>
      <c r="H2141" t="s">
        <v>2078</v>
      </c>
      <c r="I2141" t="s">
        <v>844</v>
      </c>
      <c r="J2141" t="s">
        <v>81</v>
      </c>
      <c r="K2141">
        <v>22</v>
      </c>
      <c r="L2141" t="s">
        <v>46</v>
      </c>
      <c r="M2141">
        <v>73</v>
      </c>
      <c r="N2141">
        <v>1</v>
      </c>
      <c r="O2141">
        <v>1824.19</v>
      </c>
      <c r="P2141" s="1">
        <v>45600.341122685182</v>
      </c>
      <c r="Q2141">
        <v>16</v>
      </c>
      <c r="R2141" t="s">
        <v>47</v>
      </c>
      <c r="S2141">
        <v>0.48353498403760298</v>
      </c>
      <c r="T2141" t="b">
        <v>0</v>
      </c>
      <c r="U2141" t="b">
        <v>0</v>
      </c>
      <c r="V2141" t="b">
        <f t="shared" si="66"/>
        <v>1</v>
      </c>
      <c r="W2141">
        <v>0</v>
      </c>
      <c r="Y2141">
        <f t="shared" si="67"/>
        <v>0</v>
      </c>
    </row>
    <row r="2142" spans="1:25" x14ac:dyDescent="0.3">
      <c r="A2142" t="s">
        <v>4057</v>
      </c>
      <c r="B2142" t="s">
        <v>999</v>
      </c>
      <c r="C2142">
        <v>519.62</v>
      </c>
      <c r="D2142" s="1">
        <v>45253.737627314818</v>
      </c>
      <c r="E2142" t="s">
        <v>57</v>
      </c>
      <c r="F2142" t="s">
        <v>466</v>
      </c>
      <c r="G2142" t="s">
        <v>186</v>
      </c>
      <c r="H2142" t="s">
        <v>2862</v>
      </c>
      <c r="I2142" t="s">
        <v>620</v>
      </c>
      <c r="J2142" t="s">
        <v>45</v>
      </c>
      <c r="K2142">
        <v>71</v>
      </c>
      <c r="L2142" t="s">
        <v>82</v>
      </c>
      <c r="M2142">
        <v>40</v>
      </c>
      <c r="N2142">
        <v>1</v>
      </c>
      <c r="O2142">
        <v>4159.33</v>
      </c>
      <c r="P2142" s="1">
        <v>45600.33792824074</v>
      </c>
      <c r="Q2142">
        <v>17</v>
      </c>
      <c r="R2142" t="s">
        <v>141</v>
      </c>
      <c r="S2142">
        <v>0.760503781659982</v>
      </c>
      <c r="T2142" t="b">
        <v>0</v>
      </c>
      <c r="U2142" t="b">
        <v>0</v>
      </c>
      <c r="V2142" t="b">
        <f t="shared" si="66"/>
        <v>1</v>
      </c>
      <c r="W2142">
        <v>0</v>
      </c>
      <c r="Y2142">
        <f t="shared" si="67"/>
        <v>0</v>
      </c>
    </row>
    <row r="2143" spans="1:25" x14ac:dyDescent="0.3">
      <c r="A2143" t="s">
        <v>4058</v>
      </c>
      <c r="B2143" t="s">
        <v>1230</v>
      </c>
      <c r="C2143">
        <v>738.68</v>
      </c>
      <c r="D2143" s="1">
        <v>44992.691759259258</v>
      </c>
      <c r="E2143" t="s">
        <v>25</v>
      </c>
      <c r="F2143" t="s">
        <v>278</v>
      </c>
      <c r="G2143" t="s">
        <v>683</v>
      </c>
      <c r="H2143" t="s">
        <v>1865</v>
      </c>
      <c r="I2143" t="s">
        <v>1300</v>
      </c>
      <c r="J2143" t="s">
        <v>45</v>
      </c>
      <c r="K2143">
        <v>50</v>
      </c>
      <c r="L2143" t="s">
        <v>31</v>
      </c>
      <c r="M2143">
        <v>124</v>
      </c>
      <c r="N2143">
        <v>1</v>
      </c>
      <c r="O2143">
        <v>14352.33</v>
      </c>
      <c r="P2143" s="1">
        <v>45600.341435185182</v>
      </c>
      <c r="Q2143">
        <v>16</v>
      </c>
      <c r="R2143" t="s">
        <v>32</v>
      </c>
      <c r="S2143">
        <v>1.51084739787514</v>
      </c>
      <c r="T2143" t="b">
        <v>0</v>
      </c>
      <c r="U2143" t="b">
        <v>0</v>
      </c>
      <c r="V2143" t="b">
        <f t="shared" si="66"/>
        <v>1</v>
      </c>
      <c r="W2143">
        <v>0</v>
      </c>
      <c r="Y2143">
        <f t="shared" si="67"/>
        <v>0</v>
      </c>
    </row>
    <row r="2144" spans="1:25" x14ac:dyDescent="0.3">
      <c r="A2144" t="s">
        <v>4059</v>
      </c>
      <c r="B2144" t="s">
        <v>926</v>
      </c>
      <c r="C2144">
        <v>151.13999999999999</v>
      </c>
      <c r="D2144" s="1">
        <v>45078.6797337963</v>
      </c>
      <c r="E2144" t="s">
        <v>25</v>
      </c>
      <c r="F2144" t="s">
        <v>104</v>
      </c>
      <c r="G2144" t="s">
        <v>165</v>
      </c>
      <c r="H2144" t="s">
        <v>565</v>
      </c>
      <c r="I2144" t="s">
        <v>445</v>
      </c>
      <c r="J2144" t="s">
        <v>45</v>
      </c>
      <c r="K2144">
        <v>64</v>
      </c>
      <c r="L2144" t="s">
        <v>82</v>
      </c>
      <c r="M2144">
        <v>38</v>
      </c>
      <c r="N2144">
        <v>1</v>
      </c>
      <c r="O2144">
        <v>2156.54</v>
      </c>
      <c r="P2144" s="1">
        <v>45600.341435185182</v>
      </c>
      <c r="Q2144">
        <v>16</v>
      </c>
      <c r="R2144" t="s">
        <v>141</v>
      </c>
      <c r="S2144">
        <v>-0.50164638588755905</v>
      </c>
      <c r="T2144" t="b">
        <v>0</v>
      </c>
      <c r="U2144" t="b">
        <v>0</v>
      </c>
      <c r="V2144" t="b">
        <f t="shared" si="66"/>
        <v>1</v>
      </c>
      <c r="W2144">
        <v>0</v>
      </c>
      <c r="Y2144">
        <f t="shared" si="67"/>
        <v>0</v>
      </c>
    </row>
    <row r="2145" spans="1:25" x14ac:dyDescent="0.3">
      <c r="A2145" t="s">
        <v>4060</v>
      </c>
      <c r="B2145" t="s">
        <v>1821</v>
      </c>
      <c r="C2145">
        <v>75.77</v>
      </c>
      <c r="D2145" s="1">
        <v>45145.742025462961</v>
      </c>
      <c r="E2145" t="s">
        <v>25</v>
      </c>
      <c r="F2145" t="s">
        <v>262</v>
      </c>
      <c r="G2145" t="s">
        <v>1958</v>
      </c>
      <c r="H2145" t="s">
        <v>2272</v>
      </c>
      <c r="I2145" t="s">
        <v>290</v>
      </c>
      <c r="J2145" t="s">
        <v>81</v>
      </c>
      <c r="K2145">
        <v>51</v>
      </c>
      <c r="L2145" t="s">
        <v>89</v>
      </c>
      <c r="M2145">
        <v>148</v>
      </c>
      <c r="N2145">
        <v>1</v>
      </c>
      <c r="O2145">
        <v>8361.7000000000007</v>
      </c>
      <c r="P2145" s="1">
        <v>45600.340127314812</v>
      </c>
      <c r="Q2145">
        <v>17</v>
      </c>
      <c r="R2145" t="s">
        <v>47</v>
      </c>
      <c r="S2145">
        <v>-0.75981035171489897</v>
      </c>
      <c r="T2145" t="b">
        <v>0</v>
      </c>
      <c r="U2145" t="b">
        <v>0</v>
      </c>
      <c r="V2145" t="b">
        <f t="shared" si="66"/>
        <v>1</v>
      </c>
      <c r="W2145">
        <v>0</v>
      </c>
      <c r="Y2145">
        <f t="shared" si="67"/>
        <v>0</v>
      </c>
    </row>
    <row r="2146" spans="1:25" x14ac:dyDescent="0.3">
      <c r="A2146" t="s">
        <v>4061</v>
      </c>
      <c r="B2146" t="s">
        <v>817</v>
      </c>
      <c r="C2146">
        <v>444.52</v>
      </c>
      <c r="D2146" s="1">
        <v>45020.674699074072</v>
      </c>
      <c r="E2146" t="s">
        <v>25</v>
      </c>
      <c r="F2146" t="s">
        <v>120</v>
      </c>
      <c r="G2146" t="s">
        <v>1171</v>
      </c>
      <c r="H2146" t="s">
        <v>1650</v>
      </c>
      <c r="I2146" t="s">
        <v>620</v>
      </c>
      <c r="J2146" t="s">
        <v>45</v>
      </c>
      <c r="K2146">
        <v>27</v>
      </c>
      <c r="L2146" t="s">
        <v>89</v>
      </c>
      <c r="M2146">
        <v>17</v>
      </c>
      <c r="N2146">
        <v>1</v>
      </c>
      <c r="O2146">
        <v>5424.6</v>
      </c>
      <c r="P2146" s="1">
        <v>45600.338171296295</v>
      </c>
      <c r="Q2146">
        <v>16</v>
      </c>
      <c r="R2146" t="s">
        <v>32</v>
      </c>
      <c r="S2146">
        <v>0.50326464362584</v>
      </c>
      <c r="T2146" t="b">
        <v>0</v>
      </c>
      <c r="U2146" t="b">
        <v>0</v>
      </c>
      <c r="V2146" t="b">
        <f t="shared" si="66"/>
        <v>1</v>
      </c>
      <c r="W2146">
        <v>0</v>
      </c>
      <c r="Y2146">
        <f t="shared" si="67"/>
        <v>0</v>
      </c>
    </row>
    <row r="2147" spans="1:25" x14ac:dyDescent="0.3">
      <c r="A2147" t="s">
        <v>4062</v>
      </c>
      <c r="B2147" t="s">
        <v>1438</v>
      </c>
      <c r="C2147">
        <v>5.29</v>
      </c>
      <c r="D2147" s="1">
        <v>44993.786076388889</v>
      </c>
      <c r="E2147" t="s">
        <v>25</v>
      </c>
      <c r="F2147" t="s">
        <v>77</v>
      </c>
      <c r="G2147" t="s">
        <v>1784</v>
      </c>
      <c r="H2147" t="s">
        <v>694</v>
      </c>
      <c r="I2147" t="s">
        <v>632</v>
      </c>
      <c r="J2147" t="s">
        <v>45</v>
      </c>
      <c r="K2147">
        <v>52</v>
      </c>
      <c r="L2147" t="s">
        <v>31</v>
      </c>
      <c r="M2147">
        <v>276</v>
      </c>
      <c r="N2147">
        <v>1</v>
      </c>
      <c r="O2147">
        <v>11263.89</v>
      </c>
      <c r="P2147" s="1">
        <v>45600.339745370373</v>
      </c>
      <c r="Q2147">
        <v>18</v>
      </c>
      <c r="R2147" t="s">
        <v>74</v>
      </c>
      <c r="S2147">
        <v>-1.0012246586209701</v>
      </c>
      <c r="T2147" t="b">
        <v>0</v>
      </c>
      <c r="U2147" t="b">
        <v>0</v>
      </c>
      <c r="V2147" t="b">
        <f t="shared" si="66"/>
        <v>1</v>
      </c>
      <c r="W2147">
        <v>0</v>
      </c>
      <c r="Y2147">
        <f t="shared" si="67"/>
        <v>0</v>
      </c>
    </row>
    <row r="2148" spans="1:25" x14ac:dyDescent="0.3">
      <c r="A2148" t="s">
        <v>4063</v>
      </c>
      <c r="B2148" t="s">
        <v>1459</v>
      </c>
      <c r="C2148">
        <v>97.63</v>
      </c>
      <c r="D2148" s="1">
        <v>45061.670208333337</v>
      </c>
      <c r="E2148" t="s">
        <v>57</v>
      </c>
      <c r="F2148" t="s">
        <v>191</v>
      </c>
      <c r="G2148" t="s">
        <v>646</v>
      </c>
      <c r="H2148" t="s">
        <v>584</v>
      </c>
      <c r="I2148" t="s">
        <v>295</v>
      </c>
      <c r="J2148" t="s">
        <v>45</v>
      </c>
      <c r="K2148">
        <v>48</v>
      </c>
      <c r="L2148" t="s">
        <v>31</v>
      </c>
      <c r="M2148">
        <v>127</v>
      </c>
      <c r="N2148">
        <v>1</v>
      </c>
      <c r="O2148">
        <v>12467.31</v>
      </c>
      <c r="P2148" s="1">
        <v>45600.341087962966</v>
      </c>
      <c r="Q2148">
        <v>16</v>
      </c>
      <c r="R2148" t="s">
        <v>47</v>
      </c>
      <c r="S2148">
        <v>-0.68493355334703798</v>
      </c>
      <c r="T2148" t="b">
        <v>0</v>
      </c>
      <c r="U2148" t="b">
        <v>0</v>
      </c>
      <c r="V2148" t="b">
        <f t="shared" si="66"/>
        <v>1</v>
      </c>
      <c r="W2148">
        <v>0</v>
      </c>
      <c r="Y2148">
        <f t="shared" si="67"/>
        <v>0</v>
      </c>
    </row>
    <row r="2149" spans="1:25" x14ac:dyDescent="0.3">
      <c r="A2149" t="s">
        <v>4064</v>
      </c>
      <c r="B2149" t="s">
        <v>2182</v>
      </c>
      <c r="C2149">
        <v>256.95</v>
      </c>
      <c r="D2149" s="1">
        <v>45050.692604166667</v>
      </c>
      <c r="E2149" t="s">
        <v>25</v>
      </c>
      <c r="F2149" t="s">
        <v>26</v>
      </c>
      <c r="G2149" t="s">
        <v>1471</v>
      </c>
      <c r="H2149" t="s">
        <v>1528</v>
      </c>
      <c r="I2149" t="s">
        <v>491</v>
      </c>
      <c r="J2149" t="s">
        <v>81</v>
      </c>
      <c r="K2149">
        <v>26</v>
      </c>
      <c r="L2149" t="s">
        <v>89</v>
      </c>
      <c r="M2149">
        <v>71</v>
      </c>
      <c r="N2149">
        <v>1</v>
      </c>
      <c r="O2149">
        <v>2531.2399999999998</v>
      </c>
      <c r="P2149" s="1">
        <v>45600.339004629626</v>
      </c>
      <c r="Q2149">
        <v>16</v>
      </c>
      <c r="R2149" t="s">
        <v>141</v>
      </c>
      <c r="S2149">
        <v>-0.13921664959737901</v>
      </c>
      <c r="T2149" t="b">
        <v>0</v>
      </c>
      <c r="U2149" t="b">
        <v>0</v>
      </c>
      <c r="V2149" t="b">
        <f t="shared" si="66"/>
        <v>1</v>
      </c>
      <c r="W2149">
        <v>0</v>
      </c>
      <c r="Y2149">
        <f t="shared" si="67"/>
        <v>0</v>
      </c>
    </row>
    <row r="2150" spans="1:25" x14ac:dyDescent="0.3">
      <c r="A2150" t="s">
        <v>4065</v>
      </c>
      <c r="B2150" t="s">
        <v>1407</v>
      </c>
      <c r="C2150">
        <v>734.86</v>
      </c>
      <c r="D2150" s="1">
        <v>45268.692013888889</v>
      </c>
      <c r="E2150" t="s">
        <v>57</v>
      </c>
      <c r="F2150" t="s">
        <v>401</v>
      </c>
      <c r="G2150" t="s">
        <v>263</v>
      </c>
      <c r="H2150" t="s">
        <v>221</v>
      </c>
      <c r="I2150" t="s">
        <v>339</v>
      </c>
      <c r="J2150" t="s">
        <v>81</v>
      </c>
      <c r="K2150">
        <v>48</v>
      </c>
      <c r="L2150" t="s">
        <v>89</v>
      </c>
      <c r="M2150">
        <v>290</v>
      </c>
      <c r="N2150">
        <v>1</v>
      </c>
      <c r="O2150">
        <v>6242.03</v>
      </c>
      <c r="P2150" s="1">
        <v>45600.339456018519</v>
      </c>
      <c r="Q2150">
        <v>16</v>
      </c>
      <c r="R2150" t="s">
        <v>54</v>
      </c>
      <c r="S2150">
        <v>1.4977627972454399</v>
      </c>
      <c r="T2150" t="b">
        <v>0</v>
      </c>
      <c r="U2150" t="b">
        <v>0</v>
      </c>
      <c r="V2150" t="b">
        <f t="shared" si="66"/>
        <v>1</v>
      </c>
      <c r="W2150">
        <v>0</v>
      </c>
      <c r="Y2150">
        <f t="shared" si="67"/>
        <v>0</v>
      </c>
    </row>
    <row r="2151" spans="1:25" x14ac:dyDescent="0.3">
      <c r="A2151" t="s">
        <v>4066</v>
      </c>
      <c r="B2151" t="s">
        <v>404</v>
      </c>
      <c r="C2151">
        <v>1250.94</v>
      </c>
      <c r="D2151" s="1">
        <v>44985.739652777775</v>
      </c>
      <c r="E2151" t="s">
        <v>25</v>
      </c>
      <c r="F2151" t="s">
        <v>137</v>
      </c>
      <c r="G2151" t="s">
        <v>211</v>
      </c>
      <c r="H2151" t="s">
        <v>207</v>
      </c>
      <c r="I2151" t="s">
        <v>67</v>
      </c>
      <c r="J2151" t="s">
        <v>30</v>
      </c>
      <c r="K2151">
        <v>36</v>
      </c>
      <c r="L2151" t="s">
        <v>31</v>
      </c>
      <c r="M2151">
        <v>107</v>
      </c>
      <c r="N2151">
        <v>2</v>
      </c>
      <c r="O2151">
        <v>11565.97</v>
      </c>
      <c r="P2151" s="1">
        <v>45600.339270833334</v>
      </c>
      <c r="Q2151">
        <v>17</v>
      </c>
      <c r="R2151" t="s">
        <v>32</v>
      </c>
      <c r="S2151">
        <v>3.2654854917415799</v>
      </c>
      <c r="T2151" t="b">
        <v>1</v>
      </c>
      <c r="U2151" t="b">
        <v>1</v>
      </c>
      <c r="V2151" t="b">
        <f t="shared" si="66"/>
        <v>1</v>
      </c>
      <c r="W2151">
        <v>2</v>
      </c>
      <c r="Y2151">
        <f t="shared" si="67"/>
        <v>1</v>
      </c>
    </row>
    <row r="2152" spans="1:25" x14ac:dyDescent="0.3">
      <c r="A2152" t="s">
        <v>4067</v>
      </c>
      <c r="B2152" t="s">
        <v>617</v>
      </c>
      <c r="C2152">
        <v>84.28</v>
      </c>
      <c r="D2152" s="1">
        <v>45089.714780092596</v>
      </c>
      <c r="E2152" t="s">
        <v>25</v>
      </c>
      <c r="F2152" t="s">
        <v>104</v>
      </c>
      <c r="G2152" t="s">
        <v>705</v>
      </c>
      <c r="H2152" t="s">
        <v>1385</v>
      </c>
      <c r="I2152" t="s">
        <v>356</v>
      </c>
      <c r="J2152" t="s">
        <v>81</v>
      </c>
      <c r="K2152">
        <v>39</v>
      </c>
      <c r="L2152" t="s">
        <v>31</v>
      </c>
      <c r="M2152">
        <v>142</v>
      </c>
      <c r="N2152">
        <v>1</v>
      </c>
      <c r="O2152">
        <v>13586.06</v>
      </c>
      <c r="P2152" s="1">
        <v>45600.33865740741</v>
      </c>
      <c r="Q2152">
        <v>17</v>
      </c>
      <c r="R2152" t="s">
        <v>47</v>
      </c>
      <c r="S2152">
        <v>-0.73066114978852703</v>
      </c>
      <c r="T2152" t="b">
        <v>0</v>
      </c>
      <c r="U2152" t="b">
        <v>0</v>
      </c>
      <c r="V2152" t="b">
        <f t="shared" si="66"/>
        <v>1</v>
      </c>
      <c r="W2152">
        <v>0</v>
      </c>
      <c r="Y2152">
        <f t="shared" si="67"/>
        <v>0</v>
      </c>
    </row>
    <row r="2153" spans="1:25" x14ac:dyDescent="0.3">
      <c r="A2153" t="s">
        <v>4068</v>
      </c>
      <c r="B2153" t="s">
        <v>1723</v>
      </c>
      <c r="C2153">
        <v>927.45</v>
      </c>
      <c r="D2153" s="1">
        <v>45145.786597222221</v>
      </c>
      <c r="E2153" t="s">
        <v>25</v>
      </c>
      <c r="F2153" t="s">
        <v>131</v>
      </c>
      <c r="G2153" t="s">
        <v>1037</v>
      </c>
      <c r="H2153" t="s">
        <v>1008</v>
      </c>
      <c r="I2153" t="s">
        <v>1575</v>
      </c>
      <c r="J2153" t="s">
        <v>30</v>
      </c>
      <c r="K2153">
        <v>24</v>
      </c>
      <c r="L2153" t="s">
        <v>46</v>
      </c>
      <c r="M2153">
        <v>95</v>
      </c>
      <c r="N2153">
        <v>1</v>
      </c>
      <c r="O2153">
        <v>1161.8399999999999</v>
      </c>
      <c r="P2153" s="1">
        <v>45600.33834490741</v>
      </c>
      <c r="Q2153">
        <v>18</v>
      </c>
      <c r="R2153" t="s">
        <v>47</v>
      </c>
      <c r="S2153">
        <v>2.15743903684591</v>
      </c>
      <c r="T2153" t="b">
        <v>1</v>
      </c>
      <c r="U2153" t="b">
        <v>0</v>
      </c>
      <c r="V2153" t="b">
        <f t="shared" si="66"/>
        <v>1</v>
      </c>
      <c r="W2153">
        <v>1</v>
      </c>
      <c r="Y2153">
        <f t="shared" si="67"/>
        <v>1</v>
      </c>
    </row>
    <row r="2154" spans="1:25" x14ac:dyDescent="0.3">
      <c r="A2154" t="s">
        <v>4069</v>
      </c>
      <c r="B2154" t="s">
        <v>2365</v>
      </c>
      <c r="C2154">
        <v>202.49</v>
      </c>
      <c r="D2154" s="1">
        <v>45288.68787037037</v>
      </c>
      <c r="E2154" t="s">
        <v>57</v>
      </c>
      <c r="F2154" t="s">
        <v>314</v>
      </c>
      <c r="G2154" t="s">
        <v>4070</v>
      </c>
      <c r="H2154" t="s">
        <v>796</v>
      </c>
      <c r="I2154" t="s">
        <v>1358</v>
      </c>
      <c r="J2154" t="s">
        <v>30</v>
      </c>
      <c r="K2154">
        <v>48</v>
      </c>
      <c r="L2154" t="s">
        <v>89</v>
      </c>
      <c r="M2154">
        <v>69</v>
      </c>
      <c r="N2154">
        <v>1</v>
      </c>
      <c r="O2154">
        <v>7447.1</v>
      </c>
      <c r="P2154" s="1">
        <v>45600.339212962965</v>
      </c>
      <c r="Q2154">
        <v>16</v>
      </c>
      <c r="R2154" t="s">
        <v>141</v>
      </c>
      <c r="S2154">
        <v>-0.32575784077366898</v>
      </c>
      <c r="T2154" t="b">
        <v>0</v>
      </c>
      <c r="U2154" t="b">
        <v>0</v>
      </c>
      <c r="V2154" t="b">
        <f t="shared" si="66"/>
        <v>1</v>
      </c>
      <c r="W2154">
        <v>0</v>
      </c>
      <c r="Y2154">
        <f t="shared" si="67"/>
        <v>0</v>
      </c>
    </row>
    <row r="2155" spans="1:25" x14ac:dyDescent="0.3">
      <c r="A2155" t="s">
        <v>4071</v>
      </c>
      <c r="B2155" t="s">
        <v>287</v>
      </c>
      <c r="C2155">
        <v>154.99</v>
      </c>
      <c r="D2155" s="1">
        <v>45166.713287037041</v>
      </c>
      <c r="E2155" t="s">
        <v>25</v>
      </c>
      <c r="F2155" t="s">
        <v>41</v>
      </c>
      <c r="G2155" t="s">
        <v>890</v>
      </c>
      <c r="H2155" t="s">
        <v>3365</v>
      </c>
      <c r="I2155" t="s">
        <v>117</v>
      </c>
      <c r="J2155" t="s">
        <v>81</v>
      </c>
      <c r="K2155">
        <v>25</v>
      </c>
      <c r="L2155" t="s">
        <v>46</v>
      </c>
      <c r="M2155">
        <v>53</v>
      </c>
      <c r="N2155">
        <v>1</v>
      </c>
      <c r="O2155">
        <v>1419.31</v>
      </c>
      <c r="P2155" s="1">
        <v>45600.338958333334</v>
      </c>
      <c r="Q2155">
        <v>17</v>
      </c>
      <c r="R2155" t="s">
        <v>47</v>
      </c>
      <c r="S2155">
        <v>-0.48845902661417101</v>
      </c>
      <c r="T2155" t="b">
        <v>0</v>
      </c>
      <c r="U2155" t="b">
        <v>0</v>
      </c>
      <c r="V2155" t="b">
        <f t="shared" si="66"/>
        <v>1</v>
      </c>
      <c r="W2155">
        <v>0</v>
      </c>
      <c r="Y2155">
        <f t="shared" si="67"/>
        <v>0</v>
      </c>
    </row>
    <row r="2156" spans="1:25" x14ac:dyDescent="0.3">
      <c r="A2156" t="s">
        <v>4072</v>
      </c>
      <c r="B2156" t="s">
        <v>2525</v>
      </c>
      <c r="C2156">
        <v>481.53</v>
      </c>
      <c r="D2156" s="1">
        <v>45181.72347222222</v>
      </c>
      <c r="E2156" t="s">
        <v>25</v>
      </c>
      <c r="F2156" t="s">
        <v>58</v>
      </c>
      <c r="G2156" t="s">
        <v>165</v>
      </c>
      <c r="H2156" t="s">
        <v>128</v>
      </c>
      <c r="I2156" t="s">
        <v>356</v>
      </c>
      <c r="J2156" t="s">
        <v>81</v>
      </c>
      <c r="K2156">
        <v>58</v>
      </c>
      <c r="L2156" t="s">
        <v>82</v>
      </c>
      <c r="M2156">
        <v>277</v>
      </c>
      <c r="N2156">
        <v>1</v>
      </c>
      <c r="O2156">
        <v>6142.54</v>
      </c>
      <c r="P2156" s="1">
        <v>45600.341597222221</v>
      </c>
      <c r="Q2156">
        <v>17</v>
      </c>
      <c r="R2156" t="s">
        <v>32</v>
      </c>
      <c r="S2156">
        <v>0.63003455705651401</v>
      </c>
      <c r="T2156" t="b">
        <v>0</v>
      </c>
      <c r="U2156" t="b">
        <v>0</v>
      </c>
      <c r="V2156" t="b">
        <f t="shared" si="66"/>
        <v>1</v>
      </c>
      <c r="W2156">
        <v>0</v>
      </c>
      <c r="Y2156">
        <f t="shared" si="67"/>
        <v>0</v>
      </c>
    </row>
    <row r="2157" spans="1:25" x14ac:dyDescent="0.3">
      <c r="A2157" t="s">
        <v>4073</v>
      </c>
      <c r="B2157" t="s">
        <v>538</v>
      </c>
      <c r="C2157">
        <v>172.92</v>
      </c>
      <c r="D2157" s="1">
        <v>45166.705613425926</v>
      </c>
      <c r="E2157" t="s">
        <v>25</v>
      </c>
      <c r="F2157" t="s">
        <v>185</v>
      </c>
      <c r="G2157" t="s">
        <v>988</v>
      </c>
      <c r="H2157" t="s">
        <v>1650</v>
      </c>
      <c r="I2157" t="s">
        <v>38</v>
      </c>
      <c r="J2157" t="s">
        <v>45</v>
      </c>
      <c r="K2157">
        <v>20</v>
      </c>
      <c r="L2157" t="s">
        <v>46</v>
      </c>
      <c r="M2157">
        <v>212</v>
      </c>
      <c r="N2157">
        <v>1</v>
      </c>
      <c r="O2157">
        <v>416.37</v>
      </c>
      <c r="P2157" s="1">
        <v>45600.339050925926</v>
      </c>
      <c r="Q2157">
        <v>16</v>
      </c>
      <c r="R2157" t="s">
        <v>47</v>
      </c>
      <c r="S2157">
        <v>-0.42704361056953499</v>
      </c>
      <c r="T2157" t="b">
        <v>0</v>
      </c>
      <c r="U2157" t="b">
        <v>0</v>
      </c>
      <c r="V2157" t="b">
        <f t="shared" si="66"/>
        <v>1</v>
      </c>
      <c r="W2157">
        <v>0</v>
      </c>
      <c r="Y2157">
        <f t="shared" si="67"/>
        <v>0</v>
      </c>
    </row>
    <row r="2158" spans="1:25" x14ac:dyDescent="0.3">
      <c r="A2158" t="s">
        <v>4074</v>
      </c>
      <c r="B2158" t="s">
        <v>2552</v>
      </c>
      <c r="C2158">
        <v>275.58999999999997</v>
      </c>
      <c r="D2158" s="1">
        <v>45209.700729166667</v>
      </c>
      <c r="E2158" t="s">
        <v>57</v>
      </c>
      <c r="F2158" t="s">
        <v>256</v>
      </c>
      <c r="G2158" t="s">
        <v>2989</v>
      </c>
      <c r="H2158" t="s">
        <v>471</v>
      </c>
      <c r="I2158" t="s">
        <v>383</v>
      </c>
      <c r="J2158" t="s">
        <v>81</v>
      </c>
      <c r="K2158">
        <v>53</v>
      </c>
      <c r="L2158" t="s">
        <v>82</v>
      </c>
      <c r="M2158">
        <v>238</v>
      </c>
      <c r="N2158">
        <v>1</v>
      </c>
      <c r="O2158">
        <v>6313.22</v>
      </c>
      <c r="P2158" s="1">
        <v>45600.340416666666</v>
      </c>
      <c r="Q2158">
        <v>16</v>
      </c>
      <c r="R2158" t="s">
        <v>32</v>
      </c>
      <c r="S2158">
        <v>-7.5369278985443794E-2</v>
      </c>
      <c r="T2158" t="b">
        <v>0</v>
      </c>
      <c r="U2158" t="b">
        <v>0</v>
      </c>
      <c r="V2158" t="b">
        <f t="shared" si="66"/>
        <v>1</v>
      </c>
      <c r="W2158">
        <v>0</v>
      </c>
      <c r="Y2158">
        <f t="shared" si="67"/>
        <v>0</v>
      </c>
    </row>
    <row r="2159" spans="1:25" x14ac:dyDescent="0.3">
      <c r="A2159" t="s">
        <v>4075</v>
      </c>
      <c r="B2159" t="s">
        <v>3478</v>
      </c>
      <c r="C2159">
        <v>207.2</v>
      </c>
      <c r="D2159" s="1">
        <v>45292.675370370373</v>
      </c>
      <c r="E2159" t="s">
        <v>25</v>
      </c>
      <c r="F2159" t="s">
        <v>137</v>
      </c>
      <c r="G2159" t="s">
        <v>1698</v>
      </c>
      <c r="H2159" t="s">
        <v>1357</v>
      </c>
      <c r="I2159" t="s">
        <v>178</v>
      </c>
      <c r="J2159" t="s">
        <v>45</v>
      </c>
      <c r="K2159">
        <v>60</v>
      </c>
      <c r="L2159" t="s">
        <v>89</v>
      </c>
      <c r="M2159">
        <v>133</v>
      </c>
      <c r="N2159">
        <v>1</v>
      </c>
      <c r="O2159">
        <v>8092.94</v>
      </c>
      <c r="P2159" s="1">
        <v>45600.337766203702</v>
      </c>
      <c r="Q2159">
        <v>16</v>
      </c>
      <c r="R2159" t="s">
        <v>47</v>
      </c>
      <c r="S2159">
        <v>-0.30962473371453703</v>
      </c>
      <c r="T2159" t="b">
        <v>0</v>
      </c>
      <c r="U2159" t="b">
        <v>0</v>
      </c>
      <c r="V2159" t="b">
        <f t="shared" si="66"/>
        <v>1</v>
      </c>
      <c r="W2159">
        <v>0</v>
      </c>
      <c r="Y2159">
        <f t="shared" si="67"/>
        <v>0</v>
      </c>
    </row>
    <row r="2160" spans="1:25" x14ac:dyDescent="0.3">
      <c r="A2160" t="s">
        <v>4076</v>
      </c>
      <c r="B2160" t="s">
        <v>2794</v>
      </c>
      <c r="C2160">
        <v>136.82</v>
      </c>
      <c r="D2160" s="1">
        <v>45163.766736111109</v>
      </c>
      <c r="E2160" t="s">
        <v>25</v>
      </c>
      <c r="F2160" t="s">
        <v>278</v>
      </c>
      <c r="G2160" t="s">
        <v>4077</v>
      </c>
      <c r="H2160" t="s">
        <v>2219</v>
      </c>
      <c r="I2160" t="s">
        <v>61</v>
      </c>
      <c r="J2160" t="s">
        <v>81</v>
      </c>
      <c r="K2160">
        <v>31</v>
      </c>
      <c r="L2160" t="s">
        <v>89</v>
      </c>
      <c r="M2160">
        <v>14</v>
      </c>
      <c r="N2160">
        <v>1</v>
      </c>
      <c r="O2160">
        <v>6229.13</v>
      </c>
      <c r="P2160" s="1">
        <v>45600.338923611111</v>
      </c>
      <c r="Q2160">
        <v>18</v>
      </c>
      <c r="R2160" t="s">
        <v>54</v>
      </c>
      <c r="S2160">
        <v>-0.55069651180831702</v>
      </c>
      <c r="T2160" t="b">
        <v>0</v>
      </c>
      <c r="U2160" t="b">
        <v>0</v>
      </c>
      <c r="V2160" t="b">
        <f t="shared" si="66"/>
        <v>1</v>
      </c>
      <c r="W2160">
        <v>0</v>
      </c>
      <c r="Y2160">
        <f t="shared" si="67"/>
        <v>0</v>
      </c>
    </row>
    <row r="2161" spans="1:25" x14ac:dyDescent="0.3">
      <c r="A2161" t="s">
        <v>4078</v>
      </c>
      <c r="B2161" t="s">
        <v>1834</v>
      </c>
      <c r="C2161">
        <v>624</v>
      </c>
      <c r="D2161" s="1">
        <v>44973.73233796296</v>
      </c>
      <c r="E2161" t="s">
        <v>25</v>
      </c>
      <c r="F2161" t="s">
        <v>35</v>
      </c>
      <c r="G2161" t="s">
        <v>1052</v>
      </c>
      <c r="H2161" t="s">
        <v>2329</v>
      </c>
      <c r="I2161" t="s">
        <v>361</v>
      </c>
      <c r="J2161" t="s">
        <v>81</v>
      </c>
      <c r="K2161">
        <v>26</v>
      </c>
      <c r="L2161" t="s">
        <v>89</v>
      </c>
      <c r="M2161">
        <v>132</v>
      </c>
      <c r="N2161">
        <v>5</v>
      </c>
      <c r="O2161">
        <v>4976.18</v>
      </c>
      <c r="P2161" s="1">
        <v>45600.341458333336</v>
      </c>
      <c r="Q2161">
        <v>17</v>
      </c>
      <c r="R2161" t="s">
        <v>141</v>
      </c>
      <c r="S2161">
        <v>1.1180353559343299</v>
      </c>
      <c r="T2161" t="b">
        <v>0</v>
      </c>
      <c r="U2161" t="b">
        <v>1</v>
      </c>
      <c r="V2161" t="b">
        <f t="shared" si="66"/>
        <v>1</v>
      </c>
      <c r="W2161">
        <v>1</v>
      </c>
      <c r="Y2161">
        <f t="shared" si="67"/>
        <v>0</v>
      </c>
    </row>
    <row r="2162" spans="1:25" x14ac:dyDescent="0.3">
      <c r="A2162" t="s">
        <v>4079</v>
      </c>
      <c r="B2162" t="s">
        <v>2146</v>
      </c>
      <c r="C2162">
        <v>179.38</v>
      </c>
      <c r="D2162" s="1">
        <v>45148.771527777775</v>
      </c>
      <c r="E2162" t="s">
        <v>25</v>
      </c>
      <c r="F2162" t="s">
        <v>278</v>
      </c>
      <c r="G2162" t="s">
        <v>2295</v>
      </c>
      <c r="H2162" t="s">
        <v>1122</v>
      </c>
      <c r="I2162" t="s">
        <v>239</v>
      </c>
      <c r="J2162" t="s">
        <v>45</v>
      </c>
      <c r="K2162">
        <v>30</v>
      </c>
      <c r="L2162" t="s">
        <v>89</v>
      </c>
      <c r="M2162">
        <v>28</v>
      </c>
      <c r="N2162">
        <v>1</v>
      </c>
      <c r="O2162">
        <v>8741.51</v>
      </c>
      <c r="P2162" s="1">
        <v>45600.339282407411</v>
      </c>
      <c r="Q2162">
        <v>18</v>
      </c>
      <c r="R2162" t="s">
        <v>141</v>
      </c>
      <c r="S2162">
        <v>-0.40491624929522702</v>
      </c>
      <c r="T2162" t="b">
        <v>0</v>
      </c>
      <c r="U2162" t="b">
        <v>0</v>
      </c>
      <c r="V2162" t="b">
        <f t="shared" si="66"/>
        <v>1</v>
      </c>
      <c r="W2162">
        <v>0</v>
      </c>
      <c r="Y2162">
        <f t="shared" si="67"/>
        <v>0</v>
      </c>
    </row>
    <row r="2163" spans="1:25" x14ac:dyDescent="0.3">
      <c r="A2163" t="s">
        <v>4080</v>
      </c>
      <c r="B2163" t="s">
        <v>2011</v>
      </c>
      <c r="C2163">
        <v>10.15</v>
      </c>
      <c r="D2163" s="1">
        <v>44980.702476851853</v>
      </c>
      <c r="E2163" t="s">
        <v>25</v>
      </c>
      <c r="F2163" t="s">
        <v>131</v>
      </c>
      <c r="G2163" t="s">
        <v>915</v>
      </c>
      <c r="H2163" t="s">
        <v>1598</v>
      </c>
      <c r="I2163" t="s">
        <v>445</v>
      </c>
      <c r="J2163" t="s">
        <v>30</v>
      </c>
      <c r="K2163">
        <v>59</v>
      </c>
      <c r="L2163" t="s">
        <v>31</v>
      </c>
      <c r="M2163">
        <v>58</v>
      </c>
      <c r="N2163">
        <v>5</v>
      </c>
      <c r="O2163">
        <v>7155.04</v>
      </c>
      <c r="P2163" s="1">
        <v>45600.34097222222</v>
      </c>
      <c r="Q2163">
        <v>16</v>
      </c>
      <c r="R2163" t="s">
        <v>141</v>
      </c>
      <c r="S2163">
        <v>-0.984577758343399</v>
      </c>
      <c r="T2163" t="b">
        <v>0</v>
      </c>
      <c r="U2163" t="b">
        <v>1</v>
      </c>
      <c r="V2163" t="b">
        <f t="shared" si="66"/>
        <v>1</v>
      </c>
      <c r="W2163">
        <v>1</v>
      </c>
      <c r="Y2163">
        <f t="shared" si="67"/>
        <v>0</v>
      </c>
    </row>
    <row r="2164" spans="1:25" x14ac:dyDescent="0.3">
      <c r="A2164" t="s">
        <v>4081</v>
      </c>
      <c r="B2164" t="s">
        <v>1871</v>
      </c>
      <c r="C2164">
        <v>26.3</v>
      </c>
      <c r="D2164" s="1">
        <v>45272.706585648149</v>
      </c>
      <c r="E2164" t="s">
        <v>25</v>
      </c>
      <c r="F2164" t="s">
        <v>314</v>
      </c>
      <c r="G2164" t="s">
        <v>1037</v>
      </c>
      <c r="H2164" t="s">
        <v>320</v>
      </c>
      <c r="I2164" t="s">
        <v>188</v>
      </c>
      <c r="J2164" t="s">
        <v>30</v>
      </c>
      <c r="K2164">
        <v>32</v>
      </c>
      <c r="L2164" t="s">
        <v>31</v>
      </c>
      <c r="M2164">
        <v>33</v>
      </c>
      <c r="N2164">
        <v>1</v>
      </c>
      <c r="O2164">
        <v>7473.73</v>
      </c>
      <c r="P2164" s="1">
        <v>45600.339907407404</v>
      </c>
      <c r="Q2164">
        <v>16</v>
      </c>
      <c r="R2164" t="s">
        <v>32</v>
      </c>
      <c r="S2164">
        <v>-0.92925935515762803</v>
      </c>
      <c r="T2164" t="b">
        <v>0</v>
      </c>
      <c r="U2164" t="b">
        <v>0</v>
      </c>
      <c r="V2164" t="b">
        <f t="shared" si="66"/>
        <v>1</v>
      </c>
      <c r="W2164">
        <v>0</v>
      </c>
      <c r="Y2164">
        <f t="shared" si="67"/>
        <v>0</v>
      </c>
    </row>
    <row r="2165" spans="1:25" x14ac:dyDescent="0.3">
      <c r="A2165" t="s">
        <v>4082</v>
      </c>
      <c r="B2165" t="s">
        <v>1164</v>
      </c>
      <c r="C2165">
        <v>319.5</v>
      </c>
      <c r="D2165" s="1">
        <v>45086.669027777774</v>
      </c>
      <c r="E2165" t="s">
        <v>57</v>
      </c>
      <c r="F2165" t="s">
        <v>314</v>
      </c>
      <c r="G2165" t="s">
        <v>2303</v>
      </c>
      <c r="H2165" t="s">
        <v>1696</v>
      </c>
      <c r="I2165" t="s">
        <v>440</v>
      </c>
      <c r="J2165" t="s">
        <v>81</v>
      </c>
      <c r="K2165">
        <v>29</v>
      </c>
      <c r="L2165" t="s">
        <v>89</v>
      </c>
      <c r="M2165">
        <v>69</v>
      </c>
      <c r="N2165">
        <v>1</v>
      </c>
      <c r="O2165">
        <v>2366.3000000000002</v>
      </c>
      <c r="P2165" s="1">
        <v>45600.340798611112</v>
      </c>
      <c r="Q2165">
        <v>16</v>
      </c>
      <c r="R2165" t="s">
        <v>54</v>
      </c>
      <c r="S2165">
        <v>7.5035122493639306E-2</v>
      </c>
      <c r="T2165" t="b">
        <v>0</v>
      </c>
      <c r="U2165" t="b">
        <v>0</v>
      </c>
      <c r="V2165" t="b">
        <f t="shared" si="66"/>
        <v>1</v>
      </c>
      <c r="W2165">
        <v>0</v>
      </c>
      <c r="Y2165">
        <f t="shared" si="67"/>
        <v>0</v>
      </c>
    </row>
    <row r="2166" spans="1:25" x14ac:dyDescent="0.3">
      <c r="A2166" t="s">
        <v>4083</v>
      </c>
      <c r="B2166" t="s">
        <v>3824</v>
      </c>
      <c r="C2166">
        <v>182.42</v>
      </c>
      <c r="D2166" s="1">
        <v>45007.708287037036</v>
      </c>
      <c r="E2166" t="s">
        <v>25</v>
      </c>
      <c r="F2166" t="s">
        <v>304</v>
      </c>
      <c r="G2166" t="s">
        <v>2325</v>
      </c>
      <c r="H2166" t="s">
        <v>1699</v>
      </c>
      <c r="I2166" t="s">
        <v>1027</v>
      </c>
      <c r="J2166" t="s">
        <v>81</v>
      </c>
      <c r="K2166">
        <v>51</v>
      </c>
      <c r="L2166" t="s">
        <v>82</v>
      </c>
      <c r="M2166">
        <v>137</v>
      </c>
      <c r="N2166">
        <v>1</v>
      </c>
      <c r="O2166">
        <v>3051.29</v>
      </c>
      <c r="P2166" s="1">
        <v>45600.340752314813</v>
      </c>
      <c r="Q2166">
        <v>16</v>
      </c>
      <c r="R2166" t="s">
        <v>74</v>
      </c>
      <c r="S2166">
        <v>-0.39450337340143499</v>
      </c>
      <c r="T2166" t="b">
        <v>0</v>
      </c>
      <c r="U2166" t="b">
        <v>0</v>
      </c>
      <c r="V2166" t="b">
        <f t="shared" si="66"/>
        <v>1</v>
      </c>
      <c r="W2166">
        <v>0</v>
      </c>
      <c r="Y2166">
        <f t="shared" si="67"/>
        <v>0</v>
      </c>
    </row>
    <row r="2167" spans="1:25" x14ac:dyDescent="0.3">
      <c r="A2167" t="s">
        <v>4084</v>
      </c>
      <c r="B2167" t="s">
        <v>3105</v>
      </c>
      <c r="C2167">
        <v>716.62</v>
      </c>
      <c r="D2167" s="1">
        <v>45026.669768518521</v>
      </c>
      <c r="E2167" t="s">
        <v>25</v>
      </c>
      <c r="F2167" t="s">
        <v>58</v>
      </c>
      <c r="G2167" t="s">
        <v>192</v>
      </c>
      <c r="H2167" t="s">
        <v>2133</v>
      </c>
      <c r="I2167" t="s">
        <v>833</v>
      </c>
      <c r="J2167" t="s">
        <v>30</v>
      </c>
      <c r="K2167">
        <v>44</v>
      </c>
      <c r="L2167" t="s">
        <v>31</v>
      </c>
      <c r="M2167">
        <v>241</v>
      </c>
      <c r="N2167">
        <v>1</v>
      </c>
      <c r="O2167">
        <v>6987.4</v>
      </c>
      <c r="P2167" s="1">
        <v>45600.34033564815</v>
      </c>
      <c r="Q2167">
        <v>16</v>
      </c>
      <c r="R2167" t="s">
        <v>47</v>
      </c>
      <c r="S2167">
        <v>1.43528554188269</v>
      </c>
      <c r="T2167" t="b">
        <v>0</v>
      </c>
      <c r="U2167" t="b">
        <v>0</v>
      </c>
      <c r="V2167" t="b">
        <f t="shared" si="66"/>
        <v>1</v>
      </c>
      <c r="W2167">
        <v>0</v>
      </c>
      <c r="Y2167">
        <f t="shared" si="67"/>
        <v>0</v>
      </c>
    </row>
    <row r="2168" spans="1:25" x14ac:dyDescent="0.3">
      <c r="A2168" t="s">
        <v>4085</v>
      </c>
      <c r="B2168" t="s">
        <v>1070</v>
      </c>
      <c r="C2168">
        <v>222.96</v>
      </c>
      <c r="D2168" s="1">
        <v>45008.726747685185</v>
      </c>
      <c r="E2168" t="s">
        <v>57</v>
      </c>
      <c r="F2168" t="s">
        <v>571</v>
      </c>
      <c r="G2168" t="s">
        <v>3383</v>
      </c>
      <c r="H2168" t="s">
        <v>3154</v>
      </c>
      <c r="I2168" t="s">
        <v>101</v>
      </c>
      <c r="J2168" t="s">
        <v>30</v>
      </c>
      <c r="K2168">
        <v>65</v>
      </c>
      <c r="L2168" t="s">
        <v>31</v>
      </c>
      <c r="M2168">
        <v>150</v>
      </c>
      <c r="N2168">
        <v>1</v>
      </c>
      <c r="O2168">
        <v>7370.41</v>
      </c>
      <c r="P2168" s="1">
        <v>45600.341909722221</v>
      </c>
      <c r="Q2168">
        <v>17</v>
      </c>
      <c r="R2168" t="s">
        <v>141</v>
      </c>
      <c r="S2168">
        <v>-0.25564219289672002</v>
      </c>
      <c r="T2168" t="b">
        <v>0</v>
      </c>
      <c r="U2168" t="b">
        <v>0</v>
      </c>
      <c r="V2168" t="b">
        <f t="shared" si="66"/>
        <v>1</v>
      </c>
      <c r="W2168">
        <v>0</v>
      </c>
      <c r="Y2168">
        <f t="shared" si="67"/>
        <v>0</v>
      </c>
    </row>
    <row r="2169" spans="1:25" x14ac:dyDescent="0.3">
      <c r="A2169" t="s">
        <v>4086</v>
      </c>
      <c r="B2169" t="s">
        <v>2520</v>
      </c>
      <c r="C2169">
        <v>79.77</v>
      </c>
      <c r="D2169" s="1">
        <v>44949.702025462961</v>
      </c>
      <c r="E2169" t="s">
        <v>25</v>
      </c>
      <c r="F2169" t="s">
        <v>225</v>
      </c>
      <c r="G2169" t="s">
        <v>3953</v>
      </c>
      <c r="H2169" t="s">
        <v>2862</v>
      </c>
      <c r="I2169" t="s">
        <v>399</v>
      </c>
      <c r="J2169" t="s">
        <v>30</v>
      </c>
      <c r="K2169">
        <v>68</v>
      </c>
      <c r="L2169" t="s">
        <v>82</v>
      </c>
      <c r="M2169">
        <v>167</v>
      </c>
      <c r="N2169">
        <v>1</v>
      </c>
      <c r="O2169">
        <v>5010.3100000000004</v>
      </c>
      <c r="P2169" s="1">
        <v>45600.339398148149</v>
      </c>
      <c r="Q2169">
        <v>16</v>
      </c>
      <c r="R2169" t="s">
        <v>47</v>
      </c>
      <c r="S2169">
        <v>-0.74610919922306695</v>
      </c>
      <c r="T2169" t="b">
        <v>0</v>
      </c>
      <c r="U2169" t="b">
        <v>0</v>
      </c>
      <c r="V2169" t="b">
        <f t="shared" si="66"/>
        <v>1</v>
      </c>
      <c r="W2169">
        <v>0</v>
      </c>
      <c r="Y2169">
        <f t="shared" si="67"/>
        <v>0</v>
      </c>
    </row>
    <row r="2170" spans="1:25" x14ac:dyDescent="0.3">
      <c r="A2170" t="s">
        <v>4087</v>
      </c>
      <c r="B2170" t="s">
        <v>380</v>
      </c>
      <c r="C2170">
        <v>431.08</v>
      </c>
      <c r="D2170" s="1">
        <v>45124.766840277778</v>
      </c>
      <c r="E2170" t="s">
        <v>25</v>
      </c>
      <c r="F2170" t="s">
        <v>98</v>
      </c>
      <c r="G2170" t="s">
        <v>643</v>
      </c>
      <c r="H2170" t="s">
        <v>3360</v>
      </c>
      <c r="I2170" t="s">
        <v>772</v>
      </c>
      <c r="J2170" t="s">
        <v>81</v>
      </c>
      <c r="K2170">
        <v>59</v>
      </c>
      <c r="L2170" t="s">
        <v>82</v>
      </c>
      <c r="M2170">
        <v>25</v>
      </c>
      <c r="N2170">
        <v>1</v>
      </c>
      <c r="O2170">
        <v>6760.22</v>
      </c>
      <c r="P2170" s="1">
        <v>45600.338101851848</v>
      </c>
      <c r="Q2170">
        <v>18</v>
      </c>
      <c r="R2170" t="s">
        <v>47</v>
      </c>
      <c r="S2170">
        <v>0.45722877125328598</v>
      </c>
      <c r="T2170" t="b">
        <v>0</v>
      </c>
      <c r="U2170" t="b">
        <v>0</v>
      </c>
      <c r="V2170" t="b">
        <f t="shared" si="66"/>
        <v>1</v>
      </c>
      <c r="W2170">
        <v>0</v>
      </c>
      <c r="Y2170">
        <f t="shared" si="67"/>
        <v>0</v>
      </c>
    </row>
    <row r="2171" spans="1:25" x14ac:dyDescent="0.3">
      <c r="A2171" t="s">
        <v>4088</v>
      </c>
      <c r="B2171" t="s">
        <v>889</v>
      </c>
      <c r="C2171">
        <v>592.24</v>
      </c>
      <c r="D2171" s="1">
        <v>45215.700775462959</v>
      </c>
      <c r="E2171" t="s">
        <v>25</v>
      </c>
      <c r="F2171" t="s">
        <v>268</v>
      </c>
      <c r="G2171" t="s">
        <v>394</v>
      </c>
      <c r="H2171" t="s">
        <v>2497</v>
      </c>
      <c r="I2171" t="s">
        <v>652</v>
      </c>
      <c r="J2171" t="s">
        <v>30</v>
      </c>
      <c r="K2171">
        <v>52</v>
      </c>
      <c r="L2171" t="s">
        <v>31</v>
      </c>
      <c r="M2171">
        <v>140</v>
      </c>
      <c r="N2171">
        <v>1</v>
      </c>
      <c r="O2171">
        <v>9817.0499999999993</v>
      </c>
      <c r="P2171" s="1">
        <v>45600.338425925926</v>
      </c>
      <c r="Q2171">
        <v>16</v>
      </c>
      <c r="R2171" t="s">
        <v>47</v>
      </c>
      <c r="S2171">
        <v>1.00924820514918</v>
      </c>
      <c r="T2171" t="b">
        <v>0</v>
      </c>
      <c r="U2171" t="b">
        <v>0</v>
      </c>
      <c r="V2171" t="b">
        <f t="shared" si="66"/>
        <v>1</v>
      </c>
      <c r="W2171">
        <v>0</v>
      </c>
      <c r="Y2171">
        <f t="shared" si="67"/>
        <v>0</v>
      </c>
    </row>
    <row r="2172" spans="1:25" x14ac:dyDescent="0.3">
      <c r="A2172" t="s">
        <v>4089</v>
      </c>
      <c r="B2172" t="s">
        <v>235</v>
      </c>
      <c r="C2172">
        <v>200.19</v>
      </c>
      <c r="D2172" s="1">
        <v>45125.758101851854</v>
      </c>
      <c r="E2172" t="s">
        <v>57</v>
      </c>
      <c r="F2172" t="s">
        <v>250</v>
      </c>
      <c r="G2172" t="s">
        <v>1286</v>
      </c>
      <c r="H2172" t="s">
        <v>2997</v>
      </c>
      <c r="I2172" t="s">
        <v>107</v>
      </c>
      <c r="J2172" t="s">
        <v>81</v>
      </c>
      <c r="K2172">
        <v>52</v>
      </c>
      <c r="L2172" t="s">
        <v>82</v>
      </c>
      <c r="M2172">
        <v>108</v>
      </c>
      <c r="N2172">
        <v>1</v>
      </c>
      <c r="O2172">
        <v>4389.96</v>
      </c>
      <c r="P2172" s="1">
        <v>45600.341863425929</v>
      </c>
      <c r="Q2172">
        <v>18</v>
      </c>
      <c r="R2172" t="s">
        <v>32</v>
      </c>
      <c r="S2172">
        <v>-0.33363600345647199</v>
      </c>
      <c r="T2172" t="b">
        <v>0</v>
      </c>
      <c r="U2172" t="b">
        <v>0</v>
      </c>
      <c r="V2172" t="b">
        <f t="shared" si="66"/>
        <v>1</v>
      </c>
      <c r="W2172">
        <v>0</v>
      </c>
      <c r="Y2172">
        <f t="shared" si="67"/>
        <v>0</v>
      </c>
    </row>
    <row r="2173" spans="1:25" x14ac:dyDescent="0.3">
      <c r="A2173" t="s">
        <v>4090</v>
      </c>
      <c r="B2173" t="s">
        <v>2032</v>
      </c>
      <c r="C2173">
        <v>297.5</v>
      </c>
      <c r="D2173" s="1">
        <v>45012.719918981478</v>
      </c>
      <c r="E2173" t="s">
        <v>57</v>
      </c>
      <c r="F2173" t="s">
        <v>304</v>
      </c>
      <c r="G2173" t="s">
        <v>1173</v>
      </c>
      <c r="H2173" t="s">
        <v>1096</v>
      </c>
      <c r="I2173" t="s">
        <v>371</v>
      </c>
      <c r="J2173" t="s">
        <v>81</v>
      </c>
      <c r="K2173">
        <v>73</v>
      </c>
      <c r="L2173" t="s">
        <v>82</v>
      </c>
      <c r="M2173">
        <v>80</v>
      </c>
      <c r="N2173">
        <v>1</v>
      </c>
      <c r="O2173">
        <v>6768.14</v>
      </c>
      <c r="P2173" s="1">
        <v>45600.338761574072</v>
      </c>
      <c r="Q2173">
        <v>17</v>
      </c>
      <c r="R2173" t="s">
        <v>47</v>
      </c>
      <c r="S2173">
        <v>-3.2121621143532903E-4</v>
      </c>
      <c r="T2173" t="b">
        <v>0</v>
      </c>
      <c r="U2173" t="b">
        <v>0</v>
      </c>
      <c r="V2173" t="b">
        <f t="shared" si="66"/>
        <v>1</v>
      </c>
      <c r="W2173">
        <v>0</v>
      </c>
      <c r="Y2173">
        <f t="shared" si="67"/>
        <v>0</v>
      </c>
    </row>
    <row r="2174" spans="1:25" x14ac:dyDescent="0.3">
      <c r="A2174" t="s">
        <v>4091</v>
      </c>
      <c r="B2174" t="s">
        <v>2011</v>
      </c>
      <c r="C2174">
        <v>345.86</v>
      </c>
      <c r="D2174" s="1">
        <v>45250.695648148147</v>
      </c>
      <c r="E2174" t="s">
        <v>25</v>
      </c>
      <c r="F2174" t="s">
        <v>309</v>
      </c>
      <c r="G2174" t="s">
        <v>237</v>
      </c>
      <c r="H2174" t="s">
        <v>2396</v>
      </c>
      <c r="I2174" t="s">
        <v>866</v>
      </c>
      <c r="J2174" t="s">
        <v>30</v>
      </c>
      <c r="K2174">
        <v>51</v>
      </c>
      <c r="L2174" t="s">
        <v>82</v>
      </c>
      <c r="M2174">
        <v>145</v>
      </c>
      <c r="N2174">
        <v>1</v>
      </c>
      <c r="O2174">
        <v>1504.64</v>
      </c>
      <c r="P2174" s="1">
        <v>45600.339884259258</v>
      </c>
      <c r="Q2174">
        <v>16</v>
      </c>
      <c r="R2174" t="s">
        <v>47</v>
      </c>
      <c r="S2174">
        <v>0.16532571741481</v>
      </c>
      <c r="T2174" t="b">
        <v>0</v>
      </c>
      <c r="U2174" t="b">
        <v>0</v>
      </c>
      <c r="V2174" t="b">
        <f t="shared" si="66"/>
        <v>1</v>
      </c>
      <c r="W2174">
        <v>0</v>
      </c>
      <c r="Y2174">
        <f t="shared" si="67"/>
        <v>0</v>
      </c>
    </row>
    <row r="2175" spans="1:25" x14ac:dyDescent="0.3">
      <c r="A2175" t="s">
        <v>4092</v>
      </c>
      <c r="B2175" t="s">
        <v>1431</v>
      </c>
      <c r="C2175">
        <v>343.88</v>
      </c>
      <c r="D2175" s="1">
        <v>45271.69259259259</v>
      </c>
      <c r="E2175" t="s">
        <v>25</v>
      </c>
      <c r="F2175" t="s">
        <v>92</v>
      </c>
      <c r="G2175" t="s">
        <v>2372</v>
      </c>
      <c r="H2175" t="s">
        <v>1012</v>
      </c>
      <c r="I2175" t="s">
        <v>1537</v>
      </c>
      <c r="J2175" t="s">
        <v>45</v>
      </c>
      <c r="K2175">
        <v>63</v>
      </c>
      <c r="L2175" t="s">
        <v>82</v>
      </c>
      <c r="M2175">
        <v>97</v>
      </c>
      <c r="N2175">
        <v>1</v>
      </c>
      <c r="O2175">
        <v>6486.18</v>
      </c>
      <c r="P2175" s="1">
        <v>45600.341678240744</v>
      </c>
      <c r="Q2175">
        <v>16</v>
      </c>
      <c r="R2175" t="s">
        <v>47</v>
      </c>
      <c r="S2175">
        <v>0.15854364693135301</v>
      </c>
      <c r="T2175" t="b">
        <v>0</v>
      </c>
      <c r="U2175" t="b">
        <v>0</v>
      </c>
      <c r="V2175" t="b">
        <f t="shared" si="66"/>
        <v>1</v>
      </c>
      <c r="W2175">
        <v>0</v>
      </c>
      <c r="Y2175">
        <f t="shared" si="67"/>
        <v>0</v>
      </c>
    </row>
    <row r="2176" spans="1:25" x14ac:dyDescent="0.3">
      <c r="A2176" t="s">
        <v>4093</v>
      </c>
      <c r="B2176" t="s">
        <v>2264</v>
      </c>
      <c r="C2176">
        <v>16.52</v>
      </c>
      <c r="D2176" s="1">
        <v>44930.709004629629</v>
      </c>
      <c r="E2176" t="s">
        <v>57</v>
      </c>
      <c r="F2176" t="s">
        <v>401</v>
      </c>
      <c r="G2176" t="s">
        <v>2081</v>
      </c>
      <c r="H2176" t="s">
        <v>2043</v>
      </c>
      <c r="I2176" t="s">
        <v>495</v>
      </c>
      <c r="J2176" t="s">
        <v>45</v>
      </c>
      <c r="K2176">
        <v>25</v>
      </c>
      <c r="L2176" t="s">
        <v>46</v>
      </c>
      <c r="M2176">
        <v>135</v>
      </c>
      <c r="N2176">
        <v>1</v>
      </c>
      <c r="O2176">
        <v>835.53</v>
      </c>
      <c r="P2176" s="1">
        <v>45600.338518518518</v>
      </c>
      <c r="Q2176">
        <v>17</v>
      </c>
      <c r="R2176" t="s">
        <v>74</v>
      </c>
      <c r="S2176">
        <v>-0.96275867300015705</v>
      </c>
      <c r="T2176" t="b">
        <v>0</v>
      </c>
      <c r="U2176" t="b">
        <v>0</v>
      </c>
      <c r="V2176" t="b">
        <f t="shared" si="66"/>
        <v>1</v>
      </c>
      <c r="W2176">
        <v>0</v>
      </c>
      <c r="Y2176">
        <f t="shared" si="67"/>
        <v>0</v>
      </c>
    </row>
    <row r="2177" spans="1:25" x14ac:dyDescent="0.3">
      <c r="A2177" t="s">
        <v>4094</v>
      </c>
      <c r="B2177" t="s">
        <v>228</v>
      </c>
      <c r="C2177">
        <v>162.1</v>
      </c>
      <c r="D2177" s="1">
        <v>45266.731956018521</v>
      </c>
      <c r="E2177" t="s">
        <v>25</v>
      </c>
      <c r="F2177" t="s">
        <v>191</v>
      </c>
      <c r="G2177" t="s">
        <v>1662</v>
      </c>
      <c r="H2177" t="s">
        <v>1440</v>
      </c>
      <c r="I2177" t="s">
        <v>316</v>
      </c>
      <c r="J2177" t="s">
        <v>81</v>
      </c>
      <c r="K2177">
        <v>41</v>
      </c>
      <c r="L2177" t="s">
        <v>89</v>
      </c>
      <c r="M2177">
        <v>151</v>
      </c>
      <c r="N2177">
        <v>1</v>
      </c>
      <c r="O2177">
        <v>8576.65</v>
      </c>
      <c r="P2177" s="1">
        <v>45600.338993055557</v>
      </c>
      <c r="Q2177">
        <v>17</v>
      </c>
      <c r="R2177" t="s">
        <v>74</v>
      </c>
      <c r="S2177">
        <v>-0.46410522805993998</v>
      </c>
      <c r="T2177" t="b">
        <v>0</v>
      </c>
      <c r="U2177" t="b">
        <v>0</v>
      </c>
      <c r="V2177" t="b">
        <f t="shared" si="66"/>
        <v>1</v>
      </c>
      <c r="W2177">
        <v>0</v>
      </c>
      <c r="Y2177">
        <f t="shared" si="67"/>
        <v>0</v>
      </c>
    </row>
    <row r="2178" spans="1:25" x14ac:dyDescent="0.3">
      <c r="A2178" t="s">
        <v>4095</v>
      </c>
      <c r="B2178" t="s">
        <v>944</v>
      </c>
      <c r="C2178">
        <v>36.119999999999997</v>
      </c>
      <c r="D2178" s="1">
        <v>45259.746608796297</v>
      </c>
      <c r="E2178" t="s">
        <v>25</v>
      </c>
      <c r="F2178" t="s">
        <v>35</v>
      </c>
      <c r="G2178" t="s">
        <v>1613</v>
      </c>
      <c r="H2178" t="s">
        <v>506</v>
      </c>
      <c r="I2178" t="s">
        <v>687</v>
      </c>
      <c r="J2178" t="s">
        <v>45</v>
      </c>
      <c r="K2178">
        <v>22</v>
      </c>
      <c r="L2178" t="s">
        <v>46</v>
      </c>
      <c r="M2178">
        <v>234</v>
      </c>
      <c r="N2178">
        <v>1</v>
      </c>
      <c r="O2178">
        <v>1593.03</v>
      </c>
      <c r="P2178" s="1">
        <v>45600.339016203703</v>
      </c>
      <c r="Q2178">
        <v>17</v>
      </c>
      <c r="R2178" t="s">
        <v>74</v>
      </c>
      <c r="S2178">
        <v>-0.89562302579018105</v>
      </c>
      <c r="T2178" t="b">
        <v>0</v>
      </c>
      <c r="U2178" t="b">
        <v>0</v>
      </c>
      <c r="V2178" t="b">
        <f t="shared" si="66"/>
        <v>1</v>
      </c>
      <c r="W2178">
        <v>0</v>
      </c>
      <c r="Y2178">
        <f t="shared" si="67"/>
        <v>0</v>
      </c>
    </row>
    <row r="2179" spans="1:25" x14ac:dyDescent="0.3">
      <c r="A2179" t="s">
        <v>4096</v>
      </c>
      <c r="B2179" t="s">
        <v>661</v>
      </c>
      <c r="C2179">
        <v>354.91</v>
      </c>
      <c r="D2179" s="1">
        <v>45278.689664351848</v>
      </c>
      <c r="E2179" t="s">
        <v>25</v>
      </c>
      <c r="F2179" t="s">
        <v>401</v>
      </c>
      <c r="G2179" t="s">
        <v>2924</v>
      </c>
      <c r="H2179" t="s">
        <v>3195</v>
      </c>
      <c r="I2179" t="s">
        <v>585</v>
      </c>
      <c r="J2179" t="s">
        <v>30</v>
      </c>
      <c r="K2179">
        <v>74</v>
      </c>
      <c r="L2179" t="s">
        <v>82</v>
      </c>
      <c r="M2179">
        <v>191</v>
      </c>
      <c r="N2179">
        <v>1</v>
      </c>
      <c r="O2179">
        <v>3872.55</v>
      </c>
      <c r="P2179" s="1">
        <v>45600.339675925927</v>
      </c>
      <c r="Q2179">
        <v>16</v>
      </c>
      <c r="R2179" t="s">
        <v>47</v>
      </c>
      <c r="S2179">
        <v>0.19632457492757999</v>
      </c>
      <c r="T2179" t="b">
        <v>0</v>
      </c>
      <c r="U2179" t="b">
        <v>0</v>
      </c>
      <c r="V2179" t="b">
        <f t="shared" ref="V2179:V2242" si="68">ISLOGICAL(T2179)</f>
        <v>1</v>
      </c>
      <c r="W2179">
        <v>0</v>
      </c>
      <c r="Y2179">
        <f t="shared" ref="Y2179:Y2242" si="69">--T2179</f>
        <v>0</v>
      </c>
    </row>
    <row r="2180" spans="1:25" x14ac:dyDescent="0.3">
      <c r="A2180" t="s">
        <v>4097</v>
      </c>
      <c r="B2180" t="s">
        <v>447</v>
      </c>
      <c r="C2180">
        <v>38.409999999999997</v>
      </c>
      <c r="D2180" s="1">
        <v>45027.671064814815</v>
      </c>
      <c r="E2180" t="s">
        <v>25</v>
      </c>
      <c r="F2180" t="s">
        <v>126</v>
      </c>
      <c r="G2180" t="s">
        <v>1916</v>
      </c>
      <c r="H2180" t="s">
        <v>1152</v>
      </c>
      <c r="I2180" t="s">
        <v>1537</v>
      </c>
      <c r="J2180" t="s">
        <v>30</v>
      </c>
      <c r="K2180">
        <v>40</v>
      </c>
      <c r="L2180" t="s">
        <v>31</v>
      </c>
      <c r="M2180">
        <v>117</v>
      </c>
      <c r="N2180">
        <v>1</v>
      </c>
      <c r="O2180">
        <v>9129.68</v>
      </c>
      <c r="P2180" s="1">
        <v>45600.338506944441</v>
      </c>
      <c r="Q2180">
        <v>16</v>
      </c>
      <c r="R2180" t="s">
        <v>32</v>
      </c>
      <c r="S2180">
        <v>-0.88777911598860704</v>
      </c>
      <c r="T2180" t="b">
        <v>0</v>
      </c>
      <c r="U2180" t="b">
        <v>0</v>
      </c>
      <c r="V2180" t="b">
        <f t="shared" si="68"/>
        <v>1</v>
      </c>
      <c r="W2180">
        <v>0</v>
      </c>
      <c r="Y2180">
        <f t="shared" si="69"/>
        <v>0</v>
      </c>
    </row>
    <row r="2181" spans="1:25" x14ac:dyDescent="0.3">
      <c r="A2181" t="s">
        <v>4098</v>
      </c>
      <c r="B2181" t="s">
        <v>2016</v>
      </c>
      <c r="C2181">
        <v>53.52</v>
      </c>
      <c r="D2181" s="1">
        <v>45016.679594907408</v>
      </c>
      <c r="E2181" t="s">
        <v>25</v>
      </c>
      <c r="F2181" t="s">
        <v>26</v>
      </c>
      <c r="G2181" t="s">
        <v>2076</v>
      </c>
      <c r="H2181" t="s">
        <v>3850</v>
      </c>
      <c r="I2181" t="s">
        <v>399</v>
      </c>
      <c r="J2181" t="s">
        <v>81</v>
      </c>
      <c r="K2181">
        <v>49</v>
      </c>
      <c r="L2181" t="s">
        <v>89</v>
      </c>
      <c r="M2181">
        <v>55</v>
      </c>
      <c r="N2181">
        <v>1</v>
      </c>
      <c r="O2181">
        <v>2227.4899999999998</v>
      </c>
      <c r="P2181" s="1">
        <v>45600.339305555557</v>
      </c>
      <c r="Q2181">
        <v>16</v>
      </c>
      <c r="R2181" t="s">
        <v>54</v>
      </c>
      <c r="S2181">
        <v>-0.83602301245071298</v>
      </c>
      <c r="T2181" t="b">
        <v>0</v>
      </c>
      <c r="U2181" t="b">
        <v>0</v>
      </c>
      <c r="V2181" t="b">
        <f t="shared" si="68"/>
        <v>1</v>
      </c>
      <c r="W2181">
        <v>0</v>
      </c>
      <c r="Y2181">
        <f t="shared" si="69"/>
        <v>0</v>
      </c>
    </row>
    <row r="2182" spans="1:25" x14ac:dyDescent="0.3">
      <c r="A2182" t="s">
        <v>4099</v>
      </c>
      <c r="B2182" t="s">
        <v>1947</v>
      </c>
      <c r="C2182">
        <v>498.59</v>
      </c>
      <c r="D2182" s="1">
        <v>45222.778877314813</v>
      </c>
      <c r="E2182" t="s">
        <v>25</v>
      </c>
      <c r="F2182" t="s">
        <v>256</v>
      </c>
      <c r="G2182" t="s">
        <v>667</v>
      </c>
      <c r="H2182" t="s">
        <v>565</v>
      </c>
      <c r="I2182" t="s">
        <v>419</v>
      </c>
      <c r="J2182" t="s">
        <v>45</v>
      </c>
      <c r="K2182">
        <v>57</v>
      </c>
      <c r="L2182" t="s">
        <v>82</v>
      </c>
      <c r="M2182">
        <v>138</v>
      </c>
      <c r="N2182">
        <v>1</v>
      </c>
      <c r="O2182">
        <v>2619.46</v>
      </c>
      <c r="P2182" s="1">
        <v>45600.341099537036</v>
      </c>
      <c r="Q2182">
        <v>18</v>
      </c>
      <c r="R2182" t="s">
        <v>47</v>
      </c>
      <c r="S2182">
        <v>0.68846997243417596</v>
      </c>
      <c r="T2182" t="b">
        <v>0</v>
      </c>
      <c r="U2182" t="b">
        <v>0</v>
      </c>
      <c r="V2182" t="b">
        <f t="shared" si="68"/>
        <v>1</v>
      </c>
      <c r="W2182">
        <v>0</v>
      </c>
      <c r="Y2182">
        <f t="shared" si="69"/>
        <v>0</v>
      </c>
    </row>
    <row r="2183" spans="1:25" x14ac:dyDescent="0.3">
      <c r="A2183" t="s">
        <v>4100</v>
      </c>
      <c r="B2183" t="s">
        <v>1157</v>
      </c>
      <c r="C2183">
        <v>13.3</v>
      </c>
      <c r="D2183" s="1">
        <v>45083.692013888889</v>
      </c>
      <c r="E2183" t="s">
        <v>25</v>
      </c>
      <c r="F2183" t="s">
        <v>250</v>
      </c>
      <c r="G2183" t="s">
        <v>991</v>
      </c>
      <c r="H2183" t="s">
        <v>2938</v>
      </c>
      <c r="I2183" t="s">
        <v>44</v>
      </c>
      <c r="J2183" t="s">
        <v>30</v>
      </c>
      <c r="K2183">
        <v>23</v>
      </c>
      <c r="L2183" t="s">
        <v>46</v>
      </c>
      <c r="M2183">
        <v>63</v>
      </c>
      <c r="N2183">
        <v>1</v>
      </c>
      <c r="O2183">
        <v>213</v>
      </c>
      <c r="P2183" s="1">
        <v>45600.339780092596</v>
      </c>
      <c r="Q2183">
        <v>16</v>
      </c>
      <c r="R2183" t="s">
        <v>32</v>
      </c>
      <c r="S2183">
        <v>-0.97378810075608102</v>
      </c>
      <c r="T2183" t="b">
        <v>0</v>
      </c>
      <c r="U2183" t="b">
        <v>0</v>
      </c>
      <c r="V2183" t="b">
        <f t="shared" si="68"/>
        <v>1</v>
      </c>
      <c r="W2183">
        <v>0</v>
      </c>
      <c r="Y2183">
        <f t="shared" si="69"/>
        <v>0</v>
      </c>
    </row>
    <row r="2184" spans="1:25" x14ac:dyDescent="0.3">
      <c r="A2184" t="s">
        <v>4101</v>
      </c>
      <c r="B2184" t="s">
        <v>2650</v>
      </c>
      <c r="C2184">
        <v>189.65</v>
      </c>
      <c r="D2184" s="1">
        <v>45194.689409722225</v>
      </c>
      <c r="E2184" t="s">
        <v>25</v>
      </c>
      <c r="F2184" t="s">
        <v>262</v>
      </c>
      <c r="G2184" t="s">
        <v>2886</v>
      </c>
      <c r="H2184" t="s">
        <v>2067</v>
      </c>
      <c r="I2184" t="s">
        <v>753</v>
      </c>
      <c r="J2184" t="s">
        <v>30</v>
      </c>
      <c r="K2184">
        <v>21</v>
      </c>
      <c r="L2184" t="s">
        <v>46</v>
      </c>
      <c r="M2184">
        <v>60</v>
      </c>
      <c r="N2184">
        <v>1</v>
      </c>
      <c r="O2184">
        <v>8457.09</v>
      </c>
      <c r="P2184" s="1">
        <v>45600.340983796297</v>
      </c>
      <c r="Q2184">
        <v>16</v>
      </c>
      <c r="R2184" t="s">
        <v>47</v>
      </c>
      <c r="S2184">
        <v>-0.36973854027244901</v>
      </c>
      <c r="T2184" t="b">
        <v>0</v>
      </c>
      <c r="U2184" t="b">
        <v>0</v>
      </c>
      <c r="V2184" t="b">
        <f t="shared" si="68"/>
        <v>1</v>
      </c>
      <c r="W2184">
        <v>0</v>
      </c>
      <c r="Y2184">
        <f t="shared" si="69"/>
        <v>0</v>
      </c>
    </row>
    <row r="2185" spans="1:25" x14ac:dyDescent="0.3">
      <c r="A2185" t="s">
        <v>4102</v>
      </c>
      <c r="B2185" t="s">
        <v>2242</v>
      </c>
      <c r="C2185">
        <v>255.32</v>
      </c>
      <c r="D2185" s="1">
        <v>45182.676435185182</v>
      </c>
      <c r="E2185" t="s">
        <v>25</v>
      </c>
      <c r="F2185" t="s">
        <v>210</v>
      </c>
      <c r="G2185" t="s">
        <v>968</v>
      </c>
      <c r="H2185" t="s">
        <v>2286</v>
      </c>
      <c r="I2185" t="s">
        <v>775</v>
      </c>
      <c r="J2185" t="s">
        <v>30</v>
      </c>
      <c r="K2185">
        <v>80</v>
      </c>
      <c r="L2185" t="s">
        <v>82</v>
      </c>
      <c r="M2185">
        <v>27</v>
      </c>
      <c r="N2185">
        <v>1</v>
      </c>
      <c r="O2185">
        <v>6290.62</v>
      </c>
      <c r="P2185" s="1">
        <v>45600.338530092595</v>
      </c>
      <c r="Q2185">
        <v>16</v>
      </c>
      <c r="R2185" t="s">
        <v>74</v>
      </c>
      <c r="S2185">
        <v>-0.144799869237801</v>
      </c>
      <c r="T2185" t="b">
        <v>0</v>
      </c>
      <c r="U2185" t="b">
        <v>0</v>
      </c>
      <c r="V2185" t="b">
        <f t="shared" si="68"/>
        <v>1</v>
      </c>
      <c r="W2185">
        <v>0</v>
      </c>
      <c r="Y2185">
        <f t="shared" si="69"/>
        <v>0</v>
      </c>
    </row>
    <row r="2186" spans="1:25" x14ac:dyDescent="0.3">
      <c r="A2186" t="s">
        <v>4103</v>
      </c>
      <c r="B2186" t="s">
        <v>303</v>
      </c>
      <c r="C2186">
        <v>230.51</v>
      </c>
      <c r="D2186" s="1">
        <v>44974.750902777778</v>
      </c>
      <c r="E2186" t="s">
        <v>57</v>
      </c>
      <c r="F2186" t="s">
        <v>104</v>
      </c>
      <c r="G2186" t="s">
        <v>1506</v>
      </c>
      <c r="H2186" t="s">
        <v>320</v>
      </c>
      <c r="I2186" t="s">
        <v>632</v>
      </c>
      <c r="J2186" t="s">
        <v>81</v>
      </c>
      <c r="K2186">
        <v>51</v>
      </c>
      <c r="L2186" t="s">
        <v>89</v>
      </c>
      <c r="M2186">
        <v>56</v>
      </c>
      <c r="N2186">
        <v>1</v>
      </c>
      <c r="O2186">
        <v>9522.3700000000008</v>
      </c>
      <c r="P2186" s="1">
        <v>45600.340844907405</v>
      </c>
      <c r="Q2186">
        <v>18</v>
      </c>
      <c r="R2186" t="s">
        <v>54</v>
      </c>
      <c r="S2186">
        <v>-0.22978126756838699</v>
      </c>
      <c r="T2186" t="b">
        <v>0</v>
      </c>
      <c r="U2186" t="b">
        <v>0</v>
      </c>
      <c r="V2186" t="b">
        <f t="shared" si="68"/>
        <v>1</v>
      </c>
      <c r="W2186">
        <v>0</v>
      </c>
      <c r="Y2186">
        <f t="shared" si="69"/>
        <v>0</v>
      </c>
    </row>
    <row r="2187" spans="1:25" x14ac:dyDescent="0.3">
      <c r="A2187" t="s">
        <v>4104</v>
      </c>
      <c r="B2187" t="s">
        <v>2069</v>
      </c>
      <c r="C2187">
        <v>237.74</v>
      </c>
      <c r="D2187" s="1">
        <v>45089.785752314812</v>
      </c>
      <c r="E2187" t="s">
        <v>25</v>
      </c>
      <c r="F2187" t="s">
        <v>268</v>
      </c>
      <c r="G2187" t="s">
        <v>4070</v>
      </c>
      <c r="H2187" t="s">
        <v>4105</v>
      </c>
      <c r="I2187" t="s">
        <v>167</v>
      </c>
      <c r="J2187" t="s">
        <v>30</v>
      </c>
      <c r="K2187">
        <v>61</v>
      </c>
      <c r="L2187" t="s">
        <v>31</v>
      </c>
      <c r="M2187">
        <v>152</v>
      </c>
      <c r="N2187">
        <v>1</v>
      </c>
      <c r="O2187">
        <v>11795.12</v>
      </c>
      <c r="P2187" s="1">
        <v>45600.340578703705</v>
      </c>
      <c r="Q2187">
        <v>18</v>
      </c>
      <c r="R2187" t="s">
        <v>47</v>
      </c>
      <c r="S2187">
        <v>-0.20501643443940101</v>
      </c>
      <c r="T2187" t="b">
        <v>0</v>
      </c>
      <c r="U2187" t="b">
        <v>0</v>
      </c>
      <c r="V2187" t="b">
        <f t="shared" si="68"/>
        <v>1</v>
      </c>
      <c r="W2187">
        <v>0</v>
      </c>
      <c r="Y2187">
        <f t="shared" si="69"/>
        <v>0</v>
      </c>
    </row>
    <row r="2188" spans="1:25" x14ac:dyDescent="0.3">
      <c r="A2188" t="s">
        <v>4106</v>
      </c>
      <c r="B2188" t="s">
        <v>742</v>
      </c>
      <c r="C2188">
        <v>512.76</v>
      </c>
      <c r="D2188" s="1">
        <v>45027.692986111113</v>
      </c>
      <c r="E2188" t="s">
        <v>25</v>
      </c>
      <c r="F2188" t="s">
        <v>571</v>
      </c>
      <c r="G2188" t="s">
        <v>730</v>
      </c>
      <c r="H2188" t="s">
        <v>2718</v>
      </c>
      <c r="I2188" t="s">
        <v>1027</v>
      </c>
      <c r="J2188" t="s">
        <v>30</v>
      </c>
      <c r="K2188">
        <v>52</v>
      </c>
      <c r="L2188" t="s">
        <v>31</v>
      </c>
      <c r="M2188">
        <v>26</v>
      </c>
      <c r="N2188">
        <v>1</v>
      </c>
      <c r="O2188">
        <v>5121.3599999999997</v>
      </c>
      <c r="P2188" s="1">
        <v>45600.338263888887</v>
      </c>
      <c r="Q2188">
        <v>16</v>
      </c>
      <c r="R2188" t="s">
        <v>32</v>
      </c>
      <c r="S2188">
        <v>0.73700630513649001</v>
      </c>
      <c r="T2188" t="b">
        <v>0</v>
      </c>
      <c r="U2188" t="b">
        <v>0</v>
      </c>
      <c r="V2188" t="b">
        <f t="shared" si="68"/>
        <v>1</v>
      </c>
      <c r="W2188">
        <v>0</v>
      </c>
      <c r="Y2188">
        <f t="shared" si="69"/>
        <v>0</v>
      </c>
    </row>
    <row r="2189" spans="1:25" x14ac:dyDescent="0.3">
      <c r="A2189" t="s">
        <v>4107</v>
      </c>
      <c r="B2189" t="s">
        <v>1709</v>
      </c>
      <c r="C2189">
        <v>151.37</v>
      </c>
      <c r="D2189" s="1">
        <v>45019.705104166664</v>
      </c>
      <c r="E2189" t="s">
        <v>25</v>
      </c>
      <c r="F2189" t="s">
        <v>210</v>
      </c>
      <c r="G2189" t="s">
        <v>2883</v>
      </c>
      <c r="H2189" t="s">
        <v>1290</v>
      </c>
      <c r="I2189" t="s">
        <v>265</v>
      </c>
      <c r="J2189" t="s">
        <v>30</v>
      </c>
      <c r="K2189">
        <v>54</v>
      </c>
      <c r="L2189" t="s">
        <v>89</v>
      </c>
      <c r="M2189">
        <v>53</v>
      </c>
      <c r="N2189">
        <v>1</v>
      </c>
      <c r="O2189">
        <v>8356.08</v>
      </c>
      <c r="P2189" s="1">
        <v>45600.339363425926</v>
      </c>
      <c r="Q2189">
        <v>16</v>
      </c>
      <c r="R2189" t="s">
        <v>47</v>
      </c>
      <c r="S2189">
        <v>-0.50085856961927899</v>
      </c>
      <c r="T2189" t="b">
        <v>0</v>
      </c>
      <c r="U2189" t="b">
        <v>0</v>
      </c>
      <c r="V2189" t="b">
        <f t="shared" si="68"/>
        <v>1</v>
      </c>
      <c r="W2189">
        <v>0</v>
      </c>
      <c r="Y2189">
        <f t="shared" si="69"/>
        <v>0</v>
      </c>
    </row>
    <row r="2190" spans="1:25" x14ac:dyDescent="0.3">
      <c r="A2190" t="s">
        <v>4108</v>
      </c>
      <c r="B2190" t="s">
        <v>313</v>
      </c>
      <c r="C2190">
        <v>85.01</v>
      </c>
      <c r="D2190" s="1">
        <v>44949.77480324074</v>
      </c>
      <c r="E2190" t="s">
        <v>57</v>
      </c>
      <c r="F2190" t="s">
        <v>608</v>
      </c>
      <c r="G2190" t="s">
        <v>2315</v>
      </c>
      <c r="H2190" t="s">
        <v>1877</v>
      </c>
      <c r="I2190" t="s">
        <v>253</v>
      </c>
      <c r="J2190" t="s">
        <v>30</v>
      </c>
      <c r="K2190">
        <v>25</v>
      </c>
      <c r="L2190" t="s">
        <v>46</v>
      </c>
      <c r="M2190">
        <v>157</v>
      </c>
      <c r="N2190">
        <v>1</v>
      </c>
      <c r="O2190">
        <v>1299.4000000000001</v>
      </c>
      <c r="P2190" s="1">
        <v>45600.339560185188</v>
      </c>
      <c r="Q2190">
        <v>18</v>
      </c>
      <c r="R2190" t="s">
        <v>47</v>
      </c>
      <c r="S2190">
        <v>-0.728160689458767</v>
      </c>
      <c r="T2190" t="b">
        <v>0</v>
      </c>
      <c r="U2190" t="b">
        <v>0</v>
      </c>
      <c r="V2190" t="b">
        <f t="shared" si="68"/>
        <v>1</v>
      </c>
      <c r="W2190">
        <v>0</v>
      </c>
      <c r="Y2190">
        <f t="shared" si="69"/>
        <v>0</v>
      </c>
    </row>
    <row r="2191" spans="1:25" x14ac:dyDescent="0.3">
      <c r="A2191" t="s">
        <v>4109</v>
      </c>
      <c r="B2191" t="s">
        <v>241</v>
      </c>
      <c r="C2191">
        <v>444.47</v>
      </c>
      <c r="D2191" s="1">
        <v>44942.677743055552</v>
      </c>
      <c r="E2191" t="s">
        <v>25</v>
      </c>
      <c r="F2191" t="s">
        <v>236</v>
      </c>
      <c r="G2191" t="s">
        <v>1586</v>
      </c>
      <c r="H2191" t="s">
        <v>2740</v>
      </c>
      <c r="I2191" t="s">
        <v>275</v>
      </c>
      <c r="J2191" t="s">
        <v>45</v>
      </c>
      <c r="K2191">
        <v>57</v>
      </c>
      <c r="L2191" t="s">
        <v>82</v>
      </c>
      <c r="M2191">
        <v>61</v>
      </c>
      <c r="N2191">
        <v>1</v>
      </c>
      <c r="O2191">
        <v>6062.94</v>
      </c>
      <c r="P2191" s="1">
        <v>45600.340763888889</v>
      </c>
      <c r="Q2191">
        <v>16</v>
      </c>
      <c r="R2191" t="s">
        <v>47</v>
      </c>
      <c r="S2191">
        <v>0.50309337921969299</v>
      </c>
      <c r="T2191" t="b">
        <v>0</v>
      </c>
      <c r="U2191" t="b">
        <v>0</v>
      </c>
      <c r="V2191" t="b">
        <f t="shared" si="68"/>
        <v>1</v>
      </c>
      <c r="W2191">
        <v>0</v>
      </c>
      <c r="Y2191">
        <f t="shared" si="69"/>
        <v>0</v>
      </c>
    </row>
    <row r="2192" spans="1:25" x14ac:dyDescent="0.3">
      <c r="A2192" t="s">
        <v>4110</v>
      </c>
      <c r="B2192" t="s">
        <v>2069</v>
      </c>
      <c r="C2192">
        <v>184.19</v>
      </c>
      <c r="D2192" s="1">
        <v>45040.686273148145</v>
      </c>
      <c r="E2192" t="s">
        <v>25</v>
      </c>
      <c r="F2192" t="s">
        <v>77</v>
      </c>
      <c r="G2192" t="s">
        <v>3971</v>
      </c>
      <c r="H2192" t="s">
        <v>2568</v>
      </c>
      <c r="I2192" t="s">
        <v>88</v>
      </c>
      <c r="J2192" t="s">
        <v>30</v>
      </c>
      <c r="K2192">
        <v>67</v>
      </c>
      <c r="L2192" t="s">
        <v>82</v>
      </c>
      <c r="M2192">
        <v>58</v>
      </c>
      <c r="N2192">
        <v>1</v>
      </c>
      <c r="O2192">
        <v>7588.67</v>
      </c>
      <c r="P2192" s="1">
        <v>45600.340601851851</v>
      </c>
      <c r="Q2192">
        <v>16</v>
      </c>
      <c r="R2192" t="s">
        <v>47</v>
      </c>
      <c r="S2192">
        <v>-0.38844061342379899</v>
      </c>
      <c r="T2192" t="b">
        <v>0</v>
      </c>
      <c r="U2192" t="b">
        <v>0</v>
      </c>
      <c r="V2192" t="b">
        <f t="shared" si="68"/>
        <v>1</v>
      </c>
      <c r="W2192">
        <v>0</v>
      </c>
      <c r="Y2192">
        <f t="shared" si="69"/>
        <v>0</v>
      </c>
    </row>
    <row r="2193" spans="1:25" x14ac:dyDescent="0.3">
      <c r="A2193" t="s">
        <v>4111</v>
      </c>
      <c r="B2193" t="s">
        <v>1394</v>
      </c>
      <c r="C2193">
        <v>879.25</v>
      </c>
      <c r="D2193" s="1">
        <v>45237.739027777781</v>
      </c>
      <c r="E2193" t="s">
        <v>57</v>
      </c>
      <c r="F2193" t="s">
        <v>104</v>
      </c>
      <c r="G2193" t="s">
        <v>413</v>
      </c>
      <c r="H2193" t="s">
        <v>1956</v>
      </c>
      <c r="I2193" t="s">
        <v>585</v>
      </c>
      <c r="J2193" t="s">
        <v>45</v>
      </c>
      <c r="K2193">
        <v>24</v>
      </c>
      <c r="L2193" t="s">
        <v>46</v>
      </c>
      <c r="M2193">
        <v>137</v>
      </c>
      <c r="N2193">
        <v>1</v>
      </c>
      <c r="O2193">
        <v>125.85</v>
      </c>
      <c r="P2193" s="1">
        <v>45600.338912037034</v>
      </c>
      <c r="Q2193">
        <v>17</v>
      </c>
      <c r="R2193" t="s">
        <v>32</v>
      </c>
      <c r="S2193">
        <v>1.99234014931934</v>
      </c>
      <c r="T2193" t="b">
        <v>0</v>
      </c>
      <c r="U2193" t="b">
        <v>0</v>
      </c>
      <c r="V2193" t="b">
        <f t="shared" si="68"/>
        <v>1</v>
      </c>
      <c r="W2193">
        <v>0</v>
      </c>
      <c r="Y2193">
        <f t="shared" si="69"/>
        <v>0</v>
      </c>
    </row>
    <row r="2194" spans="1:25" x14ac:dyDescent="0.3">
      <c r="A2194" t="s">
        <v>4112</v>
      </c>
      <c r="B2194" t="s">
        <v>3220</v>
      </c>
      <c r="C2194">
        <v>55.98</v>
      </c>
      <c r="D2194" s="1">
        <v>45194.695185185185</v>
      </c>
      <c r="E2194" t="s">
        <v>57</v>
      </c>
      <c r="F2194" t="s">
        <v>304</v>
      </c>
      <c r="G2194" t="s">
        <v>973</v>
      </c>
      <c r="H2194" t="s">
        <v>1361</v>
      </c>
      <c r="I2194" t="s">
        <v>772</v>
      </c>
      <c r="J2194" t="s">
        <v>81</v>
      </c>
      <c r="K2194">
        <v>24</v>
      </c>
      <c r="L2194" t="s">
        <v>46</v>
      </c>
      <c r="M2194">
        <v>87</v>
      </c>
      <c r="N2194">
        <v>1</v>
      </c>
      <c r="O2194">
        <v>7047.04</v>
      </c>
      <c r="P2194" s="1">
        <v>45600.34171296296</v>
      </c>
      <c r="Q2194">
        <v>16</v>
      </c>
      <c r="R2194" t="s">
        <v>47</v>
      </c>
      <c r="S2194">
        <v>-0.82759680366823596</v>
      </c>
      <c r="T2194" t="b">
        <v>0</v>
      </c>
      <c r="U2194" t="b">
        <v>0</v>
      </c>
      <c r="V2194" t="b">
        <f t="shared" si="68"/>
        <v>1</v>
      </c>
      <c r="W2194">
        <v>0</v>
      </c>
      <c r="Y2194">
        <f t="shared" si="69"/>
        <v>0</v>
      </c>
    </row>
    <row r="2195" spans="1:25" x14ac:dyDescent="0.3">
      <c r="A2195" t="s">
        <v>4113</v>
      </c>
      <c r="B2195" t="s">
        <v>2083</v>
      </c>
      <c r="C2195">
        <v>54.91</v>
      </c>
      <c r="D2195" s="1">
        <v>44970.672893518517</v>
      </c>
      <c r="E2195" t="s">
        <v>57</v>
      </c>
      <c r="F2195" t="s">
        <v>137</v>
      </c>
      <c r="G2195" t="s">
        <v>831</v>
      </c>
      <c r="H2195" t="s">
        <v>1926</v>
      </c>
      <c r="I2195" t="s">
        <v>765</v>
      </c>
      <c r="J2195" t="s">
        <v>30</v>
      </c>
      <c r="K2195">
        <v>41</v>
      </c>
      <c r="L2195" t="s">
        <v>89</v>
      </c>
      <c r="M2195">
        <v>275</v>
      </c>
      <c r="N2195">
        <v>1</v>
      </c>
      <c r="O2195">
        <v>7927.27</v>
      </c>
      <c r="P2195" s="1">
        <v>45600.338483796295</v>
      </c>
      <c r="Q2195">
        <v>16</v>
      </c>
      <c r="R2195" t="s">
        <v>47</v>
      </c>
      <c r="S2195">
        <v>-0.83126186195980101</v>
      </c>
      <c r="T2195" t="b">
        <v>0</v>
      </c>
      <c r="U2195" t="b">
        <v>0</v>
      </c>
      <c r="V2195" t="b">
        <f t="shared" si="68"/>
        <v>1</v>
      </c>
      <c r="W2195">
        <v>0</v>
      </c>
      <c r="Y2195">
        <f t="shared" si="69"/>
        <v>0</v>
      </c>
    </row>
    <row r="2196" spans="1:25" x14ac:dyDescent="0.3">
      <c r="A2196" t="s">
        <v>4114</v>
      </c>
      <c r="B2196" t="s">
        <v>1277</v>
      </c>
      <c r="C2196">
        <v>1047.69</v>
      </c>
      <c r="D2196" s="1">
        <v>45215.689247685186</v>
      </c>
      <c r="E2196" t="s">
        <v>25</v>
      </c>
      <c r="F2196" t="s">
        <v>131</v>
      </c>
      <c r="G2196" t="s">
        <v>1442</v>
      </c>
      <c r="H2196" t="s">
        <v>1730</v>
      </c>
      <c r="I2196" t="s">
        <v>993</v>
      </c>
      <c r="J2196" t="s">
        <v>45</v>
      </c>
      <c r="K2196">
        <v>20</v>
      </c>
      <c r="L2196" t="s">
        <v>46</v>
      </c>
      <c r="M2196">
        <v>139</v>
      </c>
      <c r="N2196">
        <v>1</v>
      </c>
      <c r="O2196">
        <v>1889.78</v>
      </c>
      <c r="P2196" s="1">
        <v>45600.340763888889</v>
      </c>
      <c r="Q2196">
        <v>16</v>
      </c>
      <c r="R2196" t="s">
        <v>47</v>
      </c>
      <c r="S2196">
        <v>2.56929568075038</v>
      </c>
      <c r="T2196" t="b">
        <v>1</v>
      </c>
      <c r="U2196" t="b">
        <v>0</v>
      </c>
      <c r="V2196" t="b">
        <f t="shared" si="68"/>
        <v>1</v>
      </c>
      <c r="W2196">
        <v>1</v>
      </c>
      <c r="Y2196">
        <f t="shared" si="69"/>
        <v>1</v>
      </c>
    </row>
    <row r="2197" spans="1:25" x14ac:dyDescent="0.3">
      <c r="A2197" t="s">
        <v>4115</v>
      </c>
      <c r="B2197" t="s">
        <v>638</v>
      </c>
      <c r="C2197">
        <v>393.74</v>
      </c>
      <c r="D2197" s="1">
        <v>45264.758287037039</v>
      </c>
      <c r="E2197" t="s">
        <v>25</v>
      </c>
      <c r="F2197" t="s">
        <v>262</v>
      </c>
      <c r="G2197" t="s">
        <v>1158</v>
      </c>
      <c r="H2197" t="s">
        <v>953</v>
      </c>
      <c r="I2197" t="s">
        <v>527</v>
      </c>
      <c r="J2197" t="s">
        <v>45</v>
      </c>
      <c r="K2197">
        <v>26</v>
      </c>
      <c r="L2197" t="s">
        <v>46</v>
      </c>
      <c r="M2197">
        <v>90</v>
      </c>
      <c r="N2197">
        <v>1</v>
      </c>
      <c r="O2197">
        <v>1769.06</v>
      </c>
      <c r="P2197" s="1">
        <v>45600.338101851848</v>
      </c>
      <c r="Q2197">
        <v>18</v>
      </c>
      <c r="R2197" t="s">
        <v>47</v>
      </c>
      <c r="S2197">
        <v>0.32932851274203601</v>
      </c>
      <c r="T2197" t="b">
        <v>0</v>
      </c>
      <c r="U2197" t="b">
        <v>0</v>
      </c>
      <c r="V2197" t="b">
        <f t="shared" si="68"/>
        <v>1</v>
      </c>
      <c r="W2197">
        <v>0</v>
      </c>
      <c r="Y2197">
        <f t="shared" si="69"/>
        <v>0</v>
      </c>
    </row>
    <row r="2198" spans="1:25" x14ac:dyDescent="0.3">
      <c r="A2198" t="s">
        <v>4116</v>
      </c>
      <c r="B2198" t="s">
        <v>2577</v>
      </c>
      <c r="C2198">
        <v>58.94</v>
      </c>
      <c r="D2198" s="1">
        <v>44942.678263888891</v>
      </c>
      <c r="E2198" t="s">
        <v>25</v>
      </c>
      <c r="F2198" t="s">
        <v>185</v>
      </c>
      <c r="G2198" t="s">
        <v>1347</v>
      </c>
      <c r="H2198" t="s">
        <v>1942</v>
      </c>
      <c r="I2198" t="s">
        <v>259</v>
      </c>
      <c r="J2198" t="s">
        <v>45</v>
      </c>
      <c r="K2198">
        <v>30</v>
      </c>
      <c r="L2198" t="s">
        <v>89</v>
      </c>
      <c r="M2198">
        <v>26</v>
      </c>
      <c r="N2198">
        <v>1</v>
      </c>
      <c r="O2198">
        <v>4575.9799999999996</v>
      </c>
      <c r="P2198" s="1">
        <v>45600.339328703703</v>
      </c>
      <c r="Q2198">
        <v>16</v>
      </c>
      <c r="R2198" t="s">
        <v>47</v>
      </c>
      <c r="S2198">
        <v>-0.81745795082428097</v>
      </c>
      <c r="T2198" t="b">
        <v>0</v>
      </c>
      <c r="U2198" t="b">
        <v>0</v>
      </c>
      <c r="V2198" t="b">
        <f t="shared" si="68"/>
        <v>1</v>
      </c>
      <c r="W2198">
        <v>0</v>
      </c>
      <c r="Y2198">
        <f t="shared" si="69"/>
        <v>0</v>
      </c>
    </row>
    <row r="2199" spans="1:25" x14ac:dyDescent="0.3">
      <c r="A2199" t="s">
        <v>4117</v>
      </c>
      <c r="B2199" t="s">
        <v>1459</v>
      </c>
      <c r="C2199">
        <v>515.57000000000005</v>
      </c>
      <c r="D2199" s="1">
        <v>44928.726782407408</v>
      </c>
      <c r="E2199" t="s">
        <v>25</v>
      </c>
      <c r="F2199" t="s">
        <v>137</v>
      </c>
      <c r="G2199" t="s">
        <v>1990</v>
      </c>
      <c r="H2199" t="s">
        <v>1518</v>
      </c>
      <c r="I2199" t="s">
        <v>1575</v>
      </c>
      <c r="J2199" t="s">
        <v>30</v>
      </c>
      <c r="K2199">
        <v>27</v>
      </c>
      <c r="L2199" t="s">
        <v>89</v>
      </c>
      <c r="M2199">
        <v>56</v>
      </c>
      <c r="N2199">
        <v>1</v>
      </c>
      <c r="O2199">
        <v>9269.67</v>
      </c>
      <c r="P2199" s="1">
        <v>45600.338125000002</v>
      </c>
      <c r="Q2199">
        <v>17</v>
      </c>
      <c r="R2199" t="s">
        <v>47</v>
      </c>
      <c r="S2199">
        <v>0.74663136476200198</v>
      </c>
      <c r="T2199" t="b">
        <v>0</v>
      </c>
      <c r="U2199" t="b">
        <v>0</v>
      </c>
      <c r="V2199" t="b">
        <f t="shared" si="68"/>
        <v>1</v>
      </c>
      <c r="W2199">
        <v>0</v>
      </c>
      <c r="Y2199">
        <f t="shared" si="69"/>
        <v>0</v>
      </c>
    </row>
    <row r="2200" spans="1:25" x14ac:dyDescent="0.3">
      <c r="A2200" t="s">
        <v>4118</v>
      </c>
      <c r="B2200" t="s">
        <v>1394</v>
      </c>
      <c r="C2200">
        <v>332.15</v>
      </c>
      <c r="D2200" s="1">
        <v>45215.717037037037</v>
      </c>
      <c r="E2200" t="s">
        <v>25</v>
      </c>
      <c r="F2200" t="s">
        <v>336</v>
      </c>
      <c r="G2200" t="s">
        <v>1247</v>
      </c>
      <c r="H2200" t="s">
        <v>1463</v>
      </c>
      <c r="I2200" t="s">
        <v>107</v>
      </c>
      <c r="J2200" t="s">
        <v>30</v>
      </c>
      <c r="K2200">
        <v>59</v>
      </c>
      <c r="L2200" t="s">
        <v>31</v>
      </c>
      <c r="M2200">
        <v>105</v>
      </c>
      <c r="N2200">
        <v>1</v>
      </c>
      <c r="O2200">
        <v>9749.4599999999991</v>
      </c>
      <c r="P2200" s="1">
        <v>45600.338379629633</v>
      </c>
      <c r="Q2200">
        <v>17</v>
      </c>
      <c r="R2200" t="s">
        <v>47</v>
      </c>
      <c r="S2200">
        <v>0.118365017249057</v>
      </c>
      <c r="T2200" t="b">
        <v>0</v>
      </c>
      <c r="U2200" t="b">
        <v>0</v>
      </c>
      <c r="V2200" t="b">
        <f t="shared" si="68"/>
        <v>1</v>
      </c>
      <c r="W2200">
        <v>0</v>
      </c>
      <c r="Y2200">
        <f t="shared" si="69"/>
        <v>0</v>
      </c>
    </row>
    <row r="2201" spans="1:25" x14ac:dyDescent="0.3">
      <c r="A2201" t="s">
        <v>4119</v>
      </c>
      <c r="B2201" t="s">
        <v>2503</v>
      </c>
      <c r="C2201">
        <v>177.94</v>
      </c>
      <c r="D2201" s="1">
        <v>45195.672511574077</v>
      </c>
      <c r="E2201" t="s">
        <v>25</v>
      </c>
      <c r="F2201" t="s">
        <v>191</v>
      </c>
      <c r="G2201" t="s">
        <v>4008</v>
      </c>
      <c r="H2201" t="s">
        <v>3377</v>
      </c>
      <c r="I2201" t="s">
        <v>782</v>
      </c>
      <c r="J2201" t="s">
        <v>45</v>
      </c>
      <c r="K2201">
        <v>19</v>
      </c>
      <c r="L2201" t="s">
        <v>46</v>
      </c>
      <c r="M2201">
        <v>173</v>
      </c>
      <c r="N2201">
        <v>1</v>
      </c>
      <c r="O2201">
        <v>123.24</v>
      </c>
      <c r="P2201" s="1">
        <v>45600.341307870367</v>
      </c>
      <c r="Q2201">
        <v>16</v>
      </c>
      <c r="R2201" t="s">
        <v>32</v>
      </c>
      <c r="S2201">
        <v>-0.40984866419228599</v>
      </c>
      <c r="T2201" t="b">
        <v>0</v>
      </c>
      <c r="U2201" t="b">
        <v>0</v>
      </c>
      <c r="V2201" t="b">
        <f t="shared" si="68"/>
        <v>1</v>
      </c>
      <c r="W2201">
        <v>0</v>
      </c>
      <c r="Y2201">
        <f t="shared" si="69"/>
        <v>0</v>
      </c>
    </row>
    <row r="2202" spans="1:25" x14ac:dyDescent="0.3">
      <c r="A2202" t="s">
        <v>4120</v>
      </c>
      <c r="B2202" t="s">
        <v>1219</v>
      </c>
      <c r="C2202">
        <v>68.680000000000007</v>
      </c>
      <c r="D2202" s="1">
        <v>45187.677303240744</v>
      </c>
      <c r="E2202" t="s">
        <v>25</v>
      </c>
      <c r="F2202" t="s">
        <v>298</v>
      </c>
      <c r="G2202" t="s">
        <v>1904</v>
      </c>
      <c r="H2202" t="s">
        <v>619</v>
      </c>
      <c r="I2202" t="s">
        <v>222</v>
      </c>
      <c r="J2202" t="s">
        <v>45</v>
      </c>
      <c r="K2202">
        <v>49</v>
      </c>
      <c r="L2202" t="s">
        <v>89</v>
      </c>
      <c r="M2202">
        <v>141</v>
      </c>
      <c r="N2202">
        <v>1</v>
      </c>
      <c r="O2202">
        <v>4718.51</v>
      </c>
      <c r="P2202" s="1">
        <v>45600.337812500002</v>
      </c>
      <c r="Q2202">
        <v>16</v>
      </c>
      <c r="R2202" t="s">
        <v>47</v>
      </c>
      <c r="S2202">
        <v>-0.78409564450667002</v>
      </c>
      <c r="T2202" t="b">
        <v>0</v>
      </c>
      <c r="U2202" t="b">
        <v>0</v>
      </c>
      <c r="V2202" t="b">
        <f t="shared" si="68"/>
        <v>1</v>
      </c>
      <c r="W2202">
        <v>0</v>
      </c>
      <c r="Y2202">
        <f t="shared" si="69"/>
        <v>0</v>
      </c>
    </row>
    <row r="2203" spans="1:25" x14ac:dyDescent="0.3">
      <c r="A2203" t="s">
        <v>4121</v>
      </c>
      <c r="B2203" t="s">
        <v>91</v>
      </c>
      <c r="C2203">
        <v>1431.54</v>
      </c>
      <c r="D2203" s="1">
        <v>45271.683321759258</v>
      </c>
      <c r="E2203" t="s">
        <v>25</v>
      </c>
      <c r="F2203" t="s">
        <v>608</v>
      </c>
      <c r="G2203" t="s">
        <v>3814</v>
      </c>
      <c r="H2203" t="s">
        <v>1863</v>
      </c>
      <c r="I2203" t="s">
        <v>339</v>
      </c>
      <c r="J2203" t="s">
        <v>45</v>
      </c>
      <c r="K2203">
        <v>20</v>
      </c>
      <c r="L2203" t="s">
        <v>46</v>
      </c>
      <c r="M2203">
        <v>84</v>
      </c>
      <c r="N2203">
        <v>1</v>
      </c>
      <c r="O2203">
        <v>1171.98</v>
      </c>
      <c r="P2203" s="1">
        <v>45600.339363425926</v>
      </c>
      <c r="Q2203">
        <v>16</v>
      </c>
      <c r="R2203" t="s">
        <v>47</v>
      </c>
      <c r="S2203">
        <v>3.8840925267477799</v>
      </c>
      <c r="T2203" t="b">
        <v>1</v>
      </c>
      <c r="U2203" t="b">
        <v>0</v>
      </c>
      <c r="V2203" t="b">
        <f t="shared" si="68"/>
        <v>1</v>
      </c>
      <c r="W2203">
        <v>1</v>
      </c>
      <c r="Y2203">
        <f t="shared" si="69"/>
        <v>1</v>
      </c>
    </row>
    <row r="2204" spans="1:25" x14ac:dyDescent="0.3">
      <c r="A2204" t="s">
        <v>4122</v>
      </c>
      <c r="B2204" t="s">
        <v>1124</v>
      </c>
      <c r="C2204">
        <v>240.03</v>
      </c>
      <c r="D2204" s="1">
        <v>44984.725798611114</v>
      </c>
      <c r="E2204" t="s">
        <v>25</v>
      </c>
      <c r="F2204" t="s">
        <v>58</v>
      </c>
      <c r="G2204" t="s">
        <v>3357</v>
      </c>
      <c r="H2204" t="s">
        <v>2144</v>
      </c>
      <c r="I2204" t="s">
        <v>1294</v>
      </c>
      <c r="J2204" t="s">
        <v>45</v>
      </c>
      <c r="K2204">
        <v>33</v>
      </c>
      <c r="L2204" t="s">
        <v>89</v>
      </c>
      <c r="M2204">
        <v>31</v>
      </c>
      <c r="N2204">
        <v>1</v>
      </c>
      <c r="O2204">
        <v>7807.73</v>
      </c>
      <c r="P2204" s="1">
        <v>45600.340057870373</v>
      </c>
      <c r="Q2204">
        <v>17</v>
      </c>
      <c r="R2204" t="s">
        <v>47</v>
      </c>
      <c r="S2204">
        <v>-0.197172524637828</v>
      </c>
      <c r="T2204" t="b">
        <v>0</v>
      </c>
      <c r="U2204" t="b">
        <v>0</v>
      </c>
      <c r="V2204" t="b">
        <f t="shared" si="68"/>
        <v>1</v>
      </c>
      <c r="W2204">
        <v>0</v>
      </c>
      <c r="Y2204">
        <f t="shared" si="69"/>
        <v>0</v>
      </c>
    </row>
    <row r="2205" spans="1:25" x14ac:dyDescent="0.3">
      <c r="A2205" t="s">
        <v>4123</v>
      </c>
      <c r="B2205" t="s">
        <v>2013</v>
      </c>
      <c r="C2205">
        <v>168.34</v>
      </c>
      <c r="D2205" s="1">
        <v>45104.760069444441</v>
      </c>
      <c r="E2205" t="s">
        <v>25</v>
      </c>
      <c r="F2205" t="s">
        <v>438</v>
      </c>
      <c r="G2205" t="s">
        <v>2283</v>
      </c>
      <c r="H2205" t="s">
        <v>3399</v>
      </c>
      <c r="I2205" t="s">
        <v>1537</v>
      </c>
      <c r="J2205" t="s">
        <v>30</v>
      </c>
      <c r="K2205">
        <v>64</v>
      </c>
      <c r="L2205" t="s">
        <v>82</v>
      </c>
      <c r="M2205">
        <v>240</v>
      </c>
      <c r="N2205">
        <v>1</v>
      </c>
      <c r="O2205">
        <v>7483.01</v>
      </c>
      <c r="P2205" s="1">
        <v>45600.341087962966</v>
      </c>
      <c r="Q2205">
        <v>18</v>
      </c>
      <c r="R2205" t="s">
        <v>32</v>
      </c>
      <c r="S2205">
        <v>-0.44273143017268202</v>
      </c>
      <c r="T2205" t="b">
        <v>0</v>
      </c>
      <c r="U2205" t="b">
        <v>0</v>
      </c>
      <c r="V2205" t="b">
        <f t="shared" si="68"/>
        <v>1</v>
      </c>
      <c r="W2205">
        <v>0</v>
      </c>
      <c r="Y2205">
        <f t="shared" si="69"/>
        <v>0</v>
      </c>
    </row>
    <row r="2206" spans="1:25" x14ac:dyDescent="0.3">
      <c r="A2206" t="s">
        <v>4124</v>
      </c>
      <c r="B2206" t="s">
        <v>598</v>
      </c>
      <c r="C2206">
        <v>474.77</v>
      </c>
      <c r="D2206" s="1">
        <v>45205.768576388888</v>
      </c>
      <c r="E2206" t="s">
        <v>25</v>
      </c>
      <c r="F2206" t="s">
        <v>401</v>
      </c>
      <c r="G2206" t="s">
        <v>525</v>
      </c>
      <c r="H2206" t="s">
        <v>4125</v>
      </c>
      <c r="I2206" t="s">
        <v>871</v>
      </c>
      <c r="J2206" t="s">
        <v>45</v>
      </c>
      <c r="K2206">
        <v>46</v>
      </c>
      <c r="L2206" t="s">
        <v>89</v>
      </c>
      <c r="M2206">
        <v>284</v>
      </c>
      <c r="N2206">
        <v>1</v>
      </c>
      <c r="O2206">
        <v>8494.5300000000007</v>
      </c>
      <c r="P2206" s="1">
        <v>45600.337777777779</v>
      </c>
      <c r="Q2206">
        <v>18</v>
      </c>
      <c r="R2206" t="s">
        <v>54</v>
      </c>
      <c r="S2206">
        <v>0.60687960934531804</v>
      </c>
      <c r="T2206" t="b">
        <v>0</v>
      </c>
      <c r="U2206" t="b">
        <v>0</v>
      </c>
      <c r="V2206" t="b">
        <f t="shared" si="68"/>
        <v>1</v>
      </c>
      <c r="W2206">
        <v>0</v>
      </c>
      <c r="Y2206">
        <f t="shared" si="69"/>
        <v>0</v>
      </c>
    </row>
    <row r="2207" spans="1:25" x14ac:dyDescent="0.3">
      <c r="A2207" t="s">
        <v>4126</v>
      </c>
      <c r="B2207" t="s">
        <v>323</v>
      </c>
      <c r="C2207">
        <v>451.7</v>
      </c>
      <c r="D2207" s="1">
        <v>44986.705567129633</v>
      </c>
      <c r="E2207" t="s">
        <v>25</v>
      </c>
      <c r="F2207" t="s">
        <v>278</v>
      </c>
      <c r="G2207" t="s">
        <v>233</v>
      </c>
      <c r="H2207" t="s">
        <v>727</v>
      </c>
      <c r="I2207" t="s">
        <v>123</v>
      </c>
      <c r="J2207" t="s">
        <v>45</v>
      </c>
      <c r="K2207">
        <v>29</v>
      </c>
      <c r="L2207" t="s">
        <v>89</v>
      </c>
      <c r="M2207">
        <v>103</v>
      </c>
      <c r="N2207">
        <v>1</v>
      </c>
      <c r="O2207">
        <v>8994.67</v>
      </c>
      <c r="P2207" s="1">
        <v>45600.340868055559</v>
      </c>
      <c r="Q2207">
        <v>16</v>
      </c>
      <c r="R2207" t="s">
        <v>74</v>
      </c>
      <c r="S2207">
        <v>0.52785821234867802</v>
      </c>
      <c r="T2207" t="b">
        <v>0</v>
      </c>
      <c r="U2207" t="b">
        <v>0</v>
      </c>
      <c r="V2207" t="b">
        <f t="shared" si="68"/>
        <v>1</v>
      </c>
      <c r="W2207">
        <v>0</v>
      </c>
      <c r="Y2207">
        <f t="shared" si="69"/>
        <v>0</v>
      </c>
    </row>
    <row r="2208" spans="1:25" x14ac:dyDescent="0.3">
      <c r="A2208" t="s">
        <v>4127</v>
      </c>
      <c r="B2208" t="s">
        <v>425</v>
      </c>
      <c r="C2208">
        <v>243.85</v>
      </c>
      <c r="D2208" s="1">
        <v>45280.695648148147</v>
      </c>
      <c r="E2208" t="s">
        <v>25</v>
      </c>
      <c r="F2208" t="s">
        <v>309</v>
      </c>
      <c r="G2208" t="s">
        <v>2903</v>
      </c>
      <c r="H2208" t="s">
        <v>279</v>
      </c>
      <c r="I2208" t="s">
        <v>997</v>
      </c>
      <c r="J2208" t="s">
        <v>81</v>
      </c>
      <c r="K2208">
        <v>39</v>
      </c>
      <c r="L2208" t="s">
        <v>89</v>
      </c>
      <c r="M2208">
        <v>43</v>
      </c>
      <c r="N2208">
        <v>1</v>
      </c>
      <c r="O2208">
        <v>4576.78</v>
      </c>
      <c r="P2208" s="1">
        <v>45600.339502314811</v>
      </c>
      <c r="Q2208">
        <v>16</v>
      </c>
      <c r="R2208" t="s">
        <v>74</v>
      </c>
      <c r="S2208">
        <v>-0.18408792400812801</v>
      </c>
      <c r="T2208" t="b">
        <v>0</v>
      </c>
      <c r="U2208" t="b">
        <v>0</v>
      </c>
      <c r="V2208" t="b">
        <f t="shared" si="68"/>
        <v>1</v>
      </c>
      <c r="W2208">
        <v>0</v>
      </c>
      <c r="Y2208">
        <f t="shared" si="69"/>
        <v>0</v>
      </c>
    </row>
    <row r="2209" spans="1:25" x14ac:dyDescent="0.3">
      <c r="A2209" t="s">
        <v>4128</v>
      </c>
      <c r="B2209" t="s">
        <v>975</v>
      </c>
      <c r="C2209">
        <v>5.76</v>
      </c>
      <c r="D2209" s="1">
        <v>45166.717962962961</v>
      </c>
      <c r="E2209" t="s">
        <v>25</v>
      </c>
      <c r="F2209" t="s">
        <v>35</v>
      </c>
      <c r="G2209" t="s">
        <v>1419</v>
      </c>
      <c r="H2209" t="s">
        <v>374</v>
      </c>
      <c r="I2209" t="s">
        <v>285</v>
      </c>
      <c r="J2209" t="s">
        <v>81</v>
      </c>
      <c r="K2209">
        <v>38</v>
      </c>
      <c r="L2209" t="s">
        <v>89</v>
      </c>
      <c r="M2209">
        <v>164</v>
      </c>
      <c r="N2209">
        <v>1</v>
      </c>
      <c r="O2209">
        <v>5859.79</v>
      </c>
      <c r="P2209" s="1">
        <v>45600.339826388888</v>
      </c>
      <c r="Q2209">
        <v>17</v>
      </c>
      <c r="R2209" t="s">
        <v>47</v>
      </c>
      <c r="S2209">
        <v>-0.99961477320318404</v>
      </c>
      <c r="T2209" t="b">
        <v>0</v>
      </c>
      <c r="U2209" t="b">
        <v>0</v>
      </c>
      <c r="V2209" t="b">
        <f t="shared" si="68"/>
        <v>1</v>
      </c>
      <c r="W2209">
        <v>0</v>
      </c>
      <c r="Y2209">
        <f t="shared" si="69"/>
        <v>0</v>
      </c>
    </row>
    <row r="2210" spans="1:25" x14ac:dyDescent="0.3">
      <c r="A2210" t="s">
        <v>4129</v>
      </c>
      <c r="B2210" t="s">
        <v>2037</v>
      </c>
      <c r="C2210">
        <v>435.08</v>
      </c>
      <c r="D2210" s="1">
        <v>45131.667673611111</v>
      </c>
      <c r="E2210" t="s">
        <v>25</v>
      </c>
      <c r="F2210" t="s">
        <v>225</v>
      </c>
      <c r="G2210" t="s">
        <v>2303</v>
      </c>
      <c r="H2210" t="s">
        <v>4130</v>
      </c>
      <c r="I2210" t="s">
        <v>871</v>
      </c>
      <c r="J2210" t="s">
        <v>45</v>
      </c>
      <c r="K2210">
        <v>55</v>
      </c>
      <c r="L2210" t="s">
        <v>89</v>
      </c>
      <c r="M2210">
        <v>78</v>
      </c>
      <c r="N2210">
        <v>1</v>
      </c>
      <c r="O2210">
        <v>2103.41</v>
      </c>
      <c r="P2210" s="1">
        <v>45600.341145833336</v>
      </c>
      <c r="Q2210">
        <v>16</v>
      </c>
      <c r="R2210" t="s">
        <v>47</v>
      </c>
      <c r="S2210">
        <v>0.470929923745117</v>
      </c>
      <c r="T2210" t="b">
        <v>0</v>
      </c>
      <c r="U2210" t="b">
        <v>0</v>
      </c>
      <c r="V2210" t="b">
        <f t="shared" si="68"/>
        <v>1</v>
      </c>
      <c r="W2210">
        <v>0</v>
      </c>
      <c r="Y2210">
        <f t="shared" si="69"/>
        <v>0</v>
      </c>
    </row>
    <row r="2211" spans="1:25" x14ac:dyDescent="0.3">
      <c r="A2211" t="s">
        <v>4131</v>
      </c>
      <c r="B2211" t="s">
        <v>232</v>
      </c>
      <c r="C2211">
        <v>127.78</v>
      </c>
      <c r="D2211" s="1">
        <v>45041.695509259262</v>
      </c>
      <c r="E2211" t="s">
        <v>25</v>
      </c>
      <c r="F2211" t="s">
        <v>185</v>
      </c>
      <c r="G2211" t="s">
        <v>4132</v>
      </c>
      <c r="H2211" t="s">
        <v>1472</v>
      </c>
      <c r="I2211" t="s">
        <v>1358</v>
      </c>
      <c r="J2211" t="s">
        <v>30</v>
      </c>
      <c r="K2211">
        <v>20</v>
      </c>
      <c r="L2211" t="s">
        <v>46</v>
      </c>
      <c r="M2211">
        <v>170</v>
      </c>
      <c r="N2211">
        <v>1</v>
      </c>
      <c r="O2211">
        <v>1046.6600000000001</v>
      </c>
      <c r="P2211" s="1">
        <v>45600.340578703705</v>
      </c>
      <c r="Q2211">
        <v>16</v>
      </c>
      <c r="R2211" t="s">
        <v>32</v>
      </c>
      <c r="S2211">
        <v>-0.58166111643985596</v>
      </c>
      <c r="T2211" t="b">
        <v>0</v>
      </c>
      <c r="U2211" t="b">
        <v>0</v>
      </c>
      <c r="V2211" t="b">
        <f t="shared" si="68"/>
        <v>1</v>
      </c>
      <c r="W2211">
        <v>0</v>
      </c>
      <c r="Y2211">
        <f t="shared" si="69"/>
        <v>0</v>
      </c>
    </row>
    <row r="2212" spans="1:25" x14ac:dyDescent="0.3">
      <c r="A2212" t="s">
        <v>4133</v>
      </c>
      <c r="B2212" t="s">
        <v>649</v>
      </c>
      <c r="C2212">
        <v>23.14</v>
      </c>
      <c r="D2212" s="1">
        <v>45245.724768518521</v>
      </c>
      <c r="E2212" t="s">
        <v>57</v>
      </c>
      <c r="F2212" t="s">
        <v>41</v>
      </c>
      <c r="G2212" t="s">
        <v>4134</v>
      </c>
      <c r="H2212" t="s">
        <v>4135</v>
      </c>
      <c r="I2212" t="s">
        <v>344</v>
      </c>
      <c r="J2212" t="s">
        <v>45</v>
      </c>
      <c r="K2212">
        <v>47</v>
      </c>
      <c r="L2212" t="s">
        <v>31</v>
      </c>
      <c r="M2212">
        <v>93</v>
      </c>
      <c r="N2212">
        <v>1</v>
      </c>
      <c r="O2212">
        <v>10536.54</v>
      </c>
      <c r="P2212" s="1">
        <v>45600.339826388888</v>
      </c>
      <c r="Q2212">
        <v>17</v>
      </c>
      <c r="R2212" t="s">
        <v>74</v>
      </c>
      <c r="S2212">
        <v>-0.94008326562617495</v>
      </c>
      <c r="T2212" t="b">
        <v>0</v>
      </c>
      <c r="U2212" t="b">
        <v>0</v>
      </c>
      <c r="V2212" t="b">
        <f t="shared" si="68"/>
        <v>1</v>
      </c>
      <c r="W2212">
        <v>0</v>
      </c>
      <c r="Y2212">
        <f t="shared" si="69"/>
        <v>0</v>
      </c>
    </row>
    <row r="2213" spans="1:25" x14ac:dyDescent="0.3">
      <c r="A2213" t="s">
        <v>4136</v>
      </c>
      <c r="B2213" t="s">
        <v>533</v>
      </c>
      <c r="C2213">
        <v>545.87</v>
      </c>
      <c r="D2213" s="1">
        <v>44928.688518518517</v>
      </c>
      <c r="E2213" t="s">
        <v>25</v>
      </c>
      <c r="F2213" t="s">
        <v>185</v>
      </c>
      <c r="G2213" t="s">
        <v>937</v>
      </c>
      <c r="H2213" t="s">
        <v>1143</v>
      </c>
      <c r="I2213" t="s">
        <v>620</v>
      </c>
      <c r="J2213" t="s">
        <v>81</v>
      </c>
      <c r="K2213">
        <v>27</v>
      </c>
      <c r="L2213" t="s">
        <v>89</v>
      </c>
      <c r="M2213">
        <v>41</v>
      </c>
      <c r="N2213">
        <v>1</v>
      </c>
      <c r="O2213">
        <v>4860.01</v>
      </c>
      <c r="P2213" s="1">
        <v>45600.340092592596</v>
      </c>
      <c r="Q2213">
        <v>16</v>
      </c>
      <c r="R2213" t="s">
        <v>47</v>
      </c>
      <c r="S2213">
        <v>0.85041759488762803</v>
      </c>
      <c r="T2213" t="b">
        <v>0</v>
      </c>
      <c r="U2213" t="b">
        <v>0</v>
      </c>
      <c r="V2213" t="b">
        <f t="shared" si="68"/>
        <v>1</v>
      </c>
      <c r="W2213">
        <v>0</v>
      </c>
      <c r="Y2213">
        <f t="shared" si="69"/>
        <v>0</v>
      </c>
    </row>
    <row r="2214" spans="1:25" x14ac:dyDescent="0.3">
      <c r="A2214" t="s">
        <v>4137</v>
      </c>
      <c r="B2214" t="s">
        <v>2703</v>
      </c>
      <c r="C2214">
        <v>21.21</v>
      </c>
      <c r="D2214" s="1">
        <v>45264.68074074074</v>
      </c>
      <c r="E2214" t="s">
        <v>25</v>
      </c>
      <c r="F2214" t="s">
        <v>92</v>
      </c>
      <c r="G2214" t="s">
        <v>3831</v>
      </c>
      <c r="H2214" t="s">
        <v>2359</v>
      </c>
      <c r="I2214" t="s">
        <v>383</v>
      </c>
      <c r="J2214" t="s">
        <v>45</v>
      </c>
      <c r="K2214">
        <v>55</v>
      </c>
      <c r="L2214" t="s">
        <v>89</v>
      </c>
      <c r="M2214">
        <v>37</v>
      </c>
      <c r="N2214">
        <v>1</v>
      </c>
      <c r="O2214">
        <v>9575.42</v>
      </c>
      <c r="P2214" s="1">
        <v>45600.338402777779</v>
      </c>
      <c r="Q2214">
        <v>16</v>
      </c>
      <c r="R2214" t="s">
        <v>47</v>
      </c>
      <c r="S2214">
        <v>-0.94669407170348396</v>
      </c>
      <c r="T2214" t="b">
        <v>0</v>
      </c>
      <c r="U2214" t="b">
        <v>0</v>
      </c>
      <c r="V2214" t="b">
        <f t="shared" si="68"/>
        <v>1</v>
      </c>
      <c r="W2214">
        <v>0</v>
      </c>
      <c r="Y2214">
        <f t="shared" si="69"/>
        <v>0</v>
      </c>
    </row>
    <row r="2215" spans="1:25" x14ac:dyDescent="0.3">
      <c r="A2215" t="s">
        <v>4138</v>
      </c>
      <c r="B2215" t="s">
        <v>2684</v>
      </c>
      <c r="C2215">
        <v>423.53</v>
      </c>
      <c r="D2215" s="1">
        <v>45148.714490740742</v>
      </c>
      <c r="E2215" t="s">
        <v>57</v>
      </c>
      <c r="F2215" t="s">
        <v>304</v>
      </c>
      <c r="G2215" t="s">
        <v>3038</v>
      </c>
      <c r="H2215" t="s">
        <v>1531</v>
      </c>
      <c r="I2215" t="s">
        <v>117</v>
      </c>
      <c r="J2215" t="s">
        <v>81</v>
      </c>
      <c r="K2215">
        <v>50</v>
      </c>
      <c r="L2215" t="s">
        <v>31</v>
      </c>
      <c r="M2215">
        <v>81</v>
      </c>
      <c r="N2215">
        <v>1</v>
      </c>
      <c r="O2215">
        <v>5453.4</v>
      </c>
      <c r="P2215" s="1">
        <v>45600.338460648149</v>
      </c>
      <c r="Q2215">
        <v>17</v>
      </c>
      <c r="R2215" t="s">
        <v>141</v>
      </c>
      <c r="S2215">
        <v>0.43136784592495298</v>
      </c>
      <c r="T2215" t="b">
        <v>0</v>
      </c>
      <c r="U2215" t="b">
        <v>0</v>
      </c>
      <c r="V2215" t="b">
        <f t="shared" si="68"/>
        <v>1</v>
      </c>
      <c r="W2215">
        <v>0</v>
      </c>
      <c r="Y2215">
        <f t="shared" si="69"/>
        <v>0</v>
      </c>
    </row>
    <row r="2216" spans="1:25" x14ac:dyDescent="0.3">
      <c r="A2216" t="s">
        <v>4139</v>
      </c>
      <c r="B2216" t="s">
        <v>2096</v>
      </c>
      <c r="C2216">
        <v>142.1</v>
      </c>
      <c r="D2216" s="1">
        <v>45085.713958333334</v>
      </c>
      <c r="E2216" t="s">
        <v>57</v>
      </c>
      <c r="F2216" t="s">
        <v>225</v>
      </c>
      <c r="G2216" t="s">
        <v>1382</v>
      </c>
      <c r="H2216" t="s">
        <v>3087</v>
      </c>
      <c r="I2216" t="s">
        <v>695</v>
      </c>
      <c r="J2216" t="s">
        <v>45</v>
      </c>
      <c r="K2216">
        <v>18</v>
      </c>
      <c r="L2216" t="s">
        <v>46</v>
      </c>
      <c r="M2216">
        <v>109</v>
      </c>
      <c r="N2216">
        <v>1</v>
      </c>
      <c r="O2216">
        <v>1545.64</v>
      </c>
      <c r="P2216" s="1">
        <v>45600.341620370367</v>
      </c>
      <c r="Q2216">
        <v>17</v>
      </c>
      <c r="R2216" t="s">
        <v>141</v>
      </c>
      <c r="S2216">
        <v>-0.53261099051909899</v>
      </c>
      <c r="T2216" t="b">
        <v>0</v>
      </c>
      <c r="U2216" t="b">
        <v>0</v>
      </c>
      <c r="V2216" t="b">
        <f t="shared" si="68"/>
        <v>1</v>
      </c>
      <c r="W2216">
        <v>0</v>
      </c>
      <c r="Y2216">
        <f t="shared" si="69"/>
        <v>0</v>
      </c>
    </row>
    <row r="2217" spans="1:25" x14ac:dyDescent="0.3">
      <c r="A2217" t="s">
        <v>4140</v>
      </c>
      <c r="B2217" t="s">
        <v>1600</v>
      </c>
      <c r="C2217">
        <v>1413.24</v>
      </c>
      <c r="D2217" s="1">
        <v>45236.791250000002</v>
      </c>
      <c r="E2217" t="s">
        <v>25</v>
      </c>
      <c r="F2217" t="s">
        <v>216</v>
      </c>
      <c r="G2217" t="s">
        <v>2410</v>
      </c>
      <c r="H2217" t="s">
        <v>1584</v>
      </c>
      <c r="I2217" t="s">
        <v>1823</v>
      </c>
      <c r="J2217" t="s">
        <v>30</v>
      </c>
      <c r="K2217">
        <v>58</v>
      </c>
      <c r="L2217" t="s">
        <v>89</v>
      </c>
      <c r="M2217">
        <v>199</v>
      </c>
      <c r="N2217">
        <v>1</v>
      </c>
      <c r="O2217">
        <v>7272.01</v>
      </c>
      <c r="P2217" s="1">
        <v>45600.341273148151</v>
      </c>
      <c r="Q2217">
        <v>18</v>
      </c>
      <c r="R2217" t="s">
        <v>47</v>
      </c>
      <c r="S2217">
        <v>3.8214097540976502</v>
      </c>
      <c r="T2217" t="b">
        <v>1</v>
      </c>
      <c r="U2217" t="b">
        <v>0</v>
      </c>
      <c r="V2217" t="b">
        <f t="shared" si="68"/>
        <v>1</v>
      </c>
      <c r="W2217">
        <v>1</v>
      </c>
      <c r="Y2217">
        <f t="shared" si="69"/>
        <v>1</v>
      </c>
    </row>
    <row r="2218" spans="1:25" x14ac:dyDescent="0.3">
      <c r="A2218" t="s">
        <v>4141</v>
      </c>
      <c r="B2218" t="s">
        <v>3149</v>
      </c>
      <c r="C2218">
        <v>114.15</v>
      </c>
      <c r="D2218" s="1">
        <v>44978.699930555558</v>
      </c>
      <c r="E2218" t="s">
        <v>25</v>
      </c>
      <c r="F2218" t="s">
        <v>58</v>
      </c>
      <c r="G2218" t="s">
        <v>1175</v>
      </c>
      <c r="H2218" t="s">
        <v>243</v>
      </c>
      <c r="I2218" t="s">
        <v>366</v>
      </c>
      <c r="J2218" t="s">
        <v>30</v>
      </c>
      <c r="K2218">
        <v>19</v>
      </c>
      <c r="L2218" t="s">
        <v>46</v>
      </c>
      <c r="M2218">
        <v>52</v>
      </c>
      <c r="N2218">
        <v>1</v>
      </c>
      <c r="O2218">
        <v>1612.4</v>
      </c>
      <c r="P2218" s="1">
        <v>45600.339328703703</v>
      </c>
      <c r="Q2218">
        <v>16</v>
      </c>
      <c r="R2218" t="s">
        <v>32</v>
      </c>
      <c r="S2218">
        <v>-0.62834779355577297</v>
      </c>
      <c r="T2218" t="b">
        <v>0</v>
      </c>
      <c r="U2218" t="b">
        <v>0</v>
      </c>
      <c r="V2218" t="b">
        <f t="shared" si="68"/>
        <v>1</v>
      </c>
      <c r="W2218">
        <v>0</v>
      </c>
      <c r="Y2218">
        <f t="shared" si="69"/>
        <v>0</v>
      </c>
    </row>
    <row r="2219" spans="1:25" x14ac:dyDescent="0.3">
      <c r="A2219" t="s">
        <v>4142</v>
      </c>
      <c r="B2219" t="s">
        <v>642</v>
      </c>
      <c r="C2219">
        <v>275.98</v>
      </c>
      <c r="D2219" s="1">
        <v>45275.669675925928</v>
      </c>
      <c r="E2219" t="s">
        <v>57</v>
      </c>
      <c r="F2219" t="s">
        <v>466</v>
      </c>
      <c r="G2219" t="s">
        <v>968</v>
      </c>
      <c r="H2219" t="s">
        <v>3499</v>
      </c>
      <c r="I2219" t="s">
        <v>213</v>
      </c>
      <c r="J2219" t="s">
        <v>45</v>
      </c>
      <c r="K2219">
        <v>72</v>
      </c>
      <c r="L2219" t="s">
        <v>82</v>
      </c>
      <c r="M2219">
        <v>67</v>
      </c>
      <c r="N2219">
        <v>1</v>
      </c>
      <c r="O2219">
        <v>6151.05</v>
      </c>
      <c r="P2219" s="1">
        <v>45600.338379629633</v>
      </c>
      <c r="Q2219">
        <v>16</v>
      </c>
      <c r="R2219" t="s">
        <v>54</v>
      </c>
      <c r="S2219">
        <v>-7.4033416617490105E-2</v>
      </c>
      <c r="T2219" t="b">
        <v>0</v>
      </c>
      <c r="U2219" t="b">
        <v>0</v>
      </c>
      <c r="V2219" t="b">
        <f t="shared" si="68"/>
        <v>1</v>
      </c>
      <c r="W2219">
        <v>0</v>
      </c>
      <c r="Y2219">
        <f t="shared" si="69"/>
        <v>0</v>
      </c>
    </row>
    <row r="2220" spans="1:25" x14ac:dyDescent="0.3">
      <c r="A2220" t="s">
        <v>4143</v>
      </c>
      <c r="B2220" t="s">
        <v>1251</v>
      </c>
      <c r="C2220">
        <v>590.67999999999995</v>
      </c>
      <c r="D2220" s="1">
        <v>45194.70579861111</v>
      </c>
      <c r="E2220" t="s">
        <v>25</v>
      </c>
      <c r="F2220" t="s">
        <v>466</v>
      </c>
      <c r="G2220" t="s">
        <v>1139</v>
      </c>
      <c r="H2220" t="s">
        <v>311</v>
      </c>
      <c r="I2220" t="s">
        <v>993</v>
      </c>
      <c r="J2220" t="s">
        <v>81</v>
      </c>
      <c r="K2220">
        <v>27</v>
      </c>
      <c r="L2220" t="s">
        <v>46</v>
      </c>
      <c r="M2220">
        <v>23</v>
      </c>
      <c r="N2220">
        <v>1</v>
      </c>
      <c r="O2220">
        <v>852.2</v>
      </c>
      <c r="P2220" s="1">
        <v>45600.339756944442</v>
      </c>
      <c r="Q2220">
        <v>16</v>
      </c>
      <c r="R2220" t="s">
        <v>47</v>
      </c>
      <c r="S2220">
        <v>1.0039047556773699</v>
      </c>
      <c r="T2220" t="b">
        <v>0</v>
      </c>
      <c r="U2220" t="b">
        <v>0</v>
      </c>
      <c r="V2220" t="b">
        <f t="shared" si="68"/>
        <v>1</v>
      </c>
      <c r="W2220">
        <v>0</v>
      </c>
      <c r="Y2220">
        <f t="shared" si="69"/>
        <v>0</v>
      </c>
    </row>
    <row r="2221" spans="1:25" x14ac:dyDescent="0.3">
      <c r="A2221" t="s">
        <v>4144</v>
      </c>
      <c r="B2221" t="s">
        <v>451</v>
      </c>
      <c r="C2221">
        <v>152.41999999999999</v>
      </c>
      <c r="D2221" s="1">
        <v>45222.698344907411</v>
      </c>
      <c r="E2221" t="s">
        <v>25</v>
      </c>
      <c r="F2221" t="s">
        <v>236</v>
      </c>
      <c r="G2221" t="s">
        <v>525</v>
      </c>
      <c r="H2221" t="s">
        <v>1892</v>
      </c>
      <c r="I2221" t="s">
        <v>112</v>
      </c>
      <c r="J2221" t="s">
        <v>30</v>
      </c>
      <c r="K2221">
        <v>42</v>
      </c>
      <c r="L2221" t="s">
        <v>31</v>
      </c>
      <c r="M2221">
        <v>176</v>
      </c>
      <c r="N2221">
        <v>1</v>
      </c>
      <c r="O2221">
        <v>9141.7900000000009</v>
      </c>
      <c r="P2221" s="1">
        <v>45600.341874999998</v>
      </c>
      <c r="Q2221">
        <v>16</v>
      </c>
      <c r="R2221" t="s">
        <v>47</v>
      </c>
      <c r="S2221">
        <v>-0.49726201709017298</v>
      </c>
      <c r="T2221" t="b">
        <v>0</v>
      </c>
      <c r="U2221" t="b">
        <v>0</v>
      </c>
      <c r="V2221" t="b">
        <f t="shared" si="68"/>
        <v>1</v>
      </c>
      <c r="W2221">
        <v>0</v>
      </c>
      <c r="Y2221">
        <f t="shared" si="69"/>
        <v>0</v>
      </c>
    </row>
    <row r="2222" spans="1:25" x14ac:dyDescent="0.3">
      <c r="A2222" t="s">
        <v>4145</v>
      </c>
      <c r="B2222" t="s">
        <v>164</v>
      </c>
      <c r="C2222">
        <v>395.77</v>
      </c>
      <c r="D2222" s="1">
        <v>44984.68346064815</v>
      </c>
      <c r="E2222" t="s">
        <v>57</v>
      </c>
      <c r="F2222" t="s">
        <v>519</v>
      </c>
      <c r="G2222" t="s">
        <v>751</v>
      </c>
      <c r="H2222" t="s">
        <v>4146</v>
      </c>
      <c r="I2222" t="s">
        <v>325</v>
      </c>
      <c r="J2222" t="s">
        <v>81</v>
      </c>
      <c r="K2222">
        <v>43</v>
      </c>
      <c r="L2222" t="s">
        <v>31</v>
      </c>
      <c r="M2222">
        <v>118</v>
      </c>
      <c r="N2222">
        <v>1</v>
      </c>
      <c r="O2222">
        <v>6425.99</v>
      </c>
      <c r="P2222" s="1">
        <v>45600.339085648149</v>
      </c>
      <c r="Q2222">
        <v>16</v>
      </c>
      <c r="R2222" t="s">
        <v>47</v>
      </c>
      <c r="S2222">
        <v>0.33628184763164098</v>
      </c>
      <c r="T2222" t="b">
        <v>0</v>
      </c>
      <c r="U2222" t="b">
        <v>0</v>
      </c>
      <c r="V2222" t="b">
        <f t="shared" si="68"/>
        <v>1</v>
      </c>
      <c r="W2222">
        <v>0</v>
      </c>
      <c r="Y2222">
        <f t="shared" si="69"/>
        <v>0</v>
      </c>
    </row>
    <row r="2223" spans="1:25" x14ac:dyDescent="0.3">
      <c r="A2223" t="s">
        <v>4147</v>
      </c>
      <c r="B2223" t="s">
        <v>814</v>
      </c>
      <c r="C2223">
        <v>615.16</v>
      </c>
      <c r="D2223" s="1">
        <v>44963.694756944446</v>
      </c>
      <c r="E2223" t="s">
        <v>25</v>
      </c>
      <c r="F2223" t="s">
        <v>401</v>
      </c>
      <c r="G2223" t="s">
        <v>1368</v>
      </c>
      <c r="H2223" t="s">
        <v>953</v>
      </c>
      <c r="I2223" t="s">
        <v>1027</v>
      </c>
      <c r="J2223" t="s">
        <v>45</v>
      </c>
      <c r="K2223">
        <v>26</v>
      </c>
      <c r="L2223" t="s">
        <v>46</v>
      </c>
      <c r="M2223">
        <v>140</v>
      </c>
      <c r="N2223">
        <v>1</v>
      </c>
      <c r="O2223">
        <v>214.61</v>
      </c>
      <c r="P2223" s="1">
        <v>45600.33792824074</v>
      </c>
      <c r="Q2223">
        <v>16</v>
      </c>
      <c r="R2223" t="s">
        <v>47</v>
      </c>
      <c r="S2223">
        <v>1.08775580892738</v>
      </c>
      <c r="T2223" t="b">
        <v>0</v>
      </c>
      <c r="U2223" t="b">
        <v>0</v>
      </c>
      <c r="V2223" t="b">
        <f t="shared" si="68"/>
        <v>1</v>
      </c>
      <c r="W2223">
        <v>0</v>
      </c>
      <c r="Y2223">
        <f t="shared" si="69"/>
        <v>0</v>
      </c>
    </row>
    <row r="2224" spans="1:25" x14ac:dyDescent="0.3">
      <c r="A2224" t="s">
        <v>4148</v>
      </c>
      <c r="B2224" t="s">
        <v>437</v>
      </c>
      <c r="C2224">
        <v>207.82</v>
      </c>
      <c r="D2224" s="1">
        <v>44985.690798611111</v>
      </c>
      <c r="E2224" t="s">
        <v>57</v>
      </c>
      <c r="F2224" t="s">
        <v>159</v>
      </c>
      <c r="G2224" t="s">
        <v>1628</v>
      </c>
      <c r="H2224" t="s">
        <v>1531</v>
      </c>
      <c r="I2224" t="s">
        <v>316</v>
      </c>
      <c r="J2224" t="s">
        <v>45</v>
      </c>
      <c r="K2224">
        <v>19</v>
      </c>
      <c r="L2224" t="s">
        <v>46</v>
      </c>
      <c r="M2224">
        <v>30</v>
      </c>
      <c r="N2224">
        <v>1</v>
      </c>
      <c r="O2224">
        <v>229.02</v>
      </c>
      <c r="P2224" s="1">
        <v>45600.338217592594</v>
      </c>
      <c r="Q2224">
        <v>16</v>
      </c>
      <c r="R2224" t="s">
        <v>32</v>
      </c>
      <c r="S2224">
        <v>-0.307501055078303</v>
      </c>
      <c r="T2224" t="b">
        <v>0</v>
      </c>
      <c r="U2224" t="b">
        <v>0</v>
      </c>
      <c r="V2224" t="b">
        <f t="shared" si="68"/>
        <v>1</v>
      </c>
      <c r="W2224">
        <v>0</v>
      </c>
      <c r="Y2224">
        <f t="shared" si="69"/>
        <v>0</v>
      </c>
    </row>
    <row r="2225" spans="1:25" x14ac:dyDescent="0.3">
      <c r="A2225" t="s">
        <v>4149</v>
      </c>
      <c r="B2225" t="s">
        <v>91</v>
      </c>
      <c r="C2225">
        <v>220.52</v>
      </c>
      <c r="D2225" s="1">
        <v>45084.671782407408</v>
      </c>
      <c r="E2225" t="s">
        <v>25</v>
      </c>
      <c r="F2225" t="s">
        <v>70</v>
      </c>
      <c r="G2225" t="s">
        <v>4150</v>
      </c>
      <c r="H2225" t="s">
        <v>1304</v>
      </c>
      <c r="I2225" t="s">
        <v>67</v>
      </c>
      <c r="J2225" t="s">
        <v>30</v>
      </c>
      <c r="K2225">
        <v>57</v>
      </c>
      <c r="L2225" t="s">
        <v>82</v>
      </c>
      <c r="M2225">
        <v>152</v>
      </c>
      <c r="N2225">
        <v>1</v>
      </c>
      <c r="O2225">
        <v>1793.09</v>
      </c>
      <c r="P2225" s="1">
        <v>45600.338414351849</v>
      </c>
      <c r="Q2225">
        <v>16</v>
      </c>
      <c r="R2225" t="s">
        <v>74</v>
      </c>
      <c r="S2225">
        <v>-0.263999895916737</v>
      </c>
      <c r="T2225" t="b">
        <v>0</v>
      </c>
      <c r="U2225" t="b">
        <v>0</v>
      </c>
      <c r="V2225" t="b">
        <f t="shared" si="68"/>
        <v>1</v>
      </c>
      <c r="W2225">
        <v>0</v>
      </c>
      <c r="Y2225">
        <f t="shared" si="69"/>
        <v>0</v>
      </c>
    </row>
    <row r="2226" spans="1:25" x14ac:dyDescent="0.3">
      <c r="A2226" t="s">
        <v>4151</v>
      </c>
      <c r="B2226" t="s">
        <v>341</v>
      </c>
      <c r="C2226">
        <v>281.47000000000003</v>
      </c>
      <c r="D2226" s="1">
        <v>45156.70989583333</v>
      </c>
      <c r="E2226" t="s">
        <v>25</v>
      </c>
      <c r="F2226" t="s">
        <v>256</v>
      </c>
      <c r="G2226" t="s">
        <v>551</v>
      </c>
      <c r="H2226" t="s">
        <v>1738</v>
      </c>
      <c r="I2226" t="s">
        <v>188</v>
      </c>
      <c r="J2226" t="s">
        <v>30</v>
      </c>
      <c r="K2226">
        <v>34</v>
      </c>
      <c r="L2226" t="s">
        <v>89</v>
      </c>
      <c r="M2226">
        <v>142</v>
      </c>
      <c r="N2226">
        <v>1</v>
      </c>
      <c r="O2226">
        <v>4437.4799999999996</v>
      </c>
      <c r="P2226" s="1">
        <v>45600.341122685182</v>
      </c>
      <c r="Q2226">
        <v>17</v>
      </c>
      <c r="R2226" t="s">
        <v>54</v>
      </c>
      <c r="S2226">
        <v>-5.5228584822451E-2</v>
      </c>
      <c r="T2226" t="b">
        <v>0</v>
      </c>
      <c r="U2226" t="b">
        <v>0</v>
      </c>
      <c r="V2226" t="b">
        <f t="shared" si="68"/>
        <v>1</v>
      </c>
      <c r="W2226">
        <v>0</v>
      </c>
      <c r="Y2226">
        <f t="shared" si="69"/>
        <v>0</v>
      </c>
    </row>
    <row r="2227" spans="1:25" x14ac:dyDescent="0.3">
      <c r="A2227" t="s">
        <v>4152</v>
      </c>
      <c r="B2227" t="s">
        <v>1070</v>
      </c>
      <c r="C2227">
        <v>57.91</v>
      </c>
      <c r="D2227" s="1">
        <v>45258.698009259257</v>
      </c>
      <c r="E2227" t="s">
        <v>57</v>
      </c>
      <c r="F2227" t="s">
        <v>298</v>
      </c>
      <c r="G2227" t="s">
        <v>1336</v>
      </c>
      <c r="H2227" t="s">
        <v>2686</v>
      </c>
      <c r="I2227" t="s">
        <v>1294</v>
      </c>
      <c r="J2227" t="s">
        <v>81</v>
      </c>
      <c r="K2227">
        <v>58</v>
      </c>
      <c r="L2227" t="s">
        <v>89</v>
      </c>
      <c r="M2227">
        <v>97</v>
      </c>
      <c r="N2227">
        <v>1</v>
      </c>
      <c r="O2227">
        <v>3641.06</v>
      </c>
      <c r="P2227" s="1">
        <v>45600.338229166664</v>
      </c>
      <c r="Q2227">
        <v>16</v>
      </c>
      <c r="R2227" t="s">
        <v>32</v>
      </c>
      <c r="S2227">
        <v>-0.82098599759092705</v>
      </c>
      <c r="T2227" t="b">
        <v>0</v>
      </c>
      <c r="U2227" t="b">
        <v>0</v>
      </c>
      <c r="V2227" t="b">
        <f t="shared" si="68"/>
        <v>1</v>
      </c>
      <c r="W2227">
        <v>0</v>
      </c>
      <c r="Y2227">
        <f t="shared" si="69"/>
        <v>0</v>
      </c>
    </row>
    <row r="2228" spans="1:25" x14ac:dyDescent="0.3">
      <c r="A2228" t="s">
        <v>4153</v>
      </c>
      <c r="B2228" t="s">
        <v>798</v>
      </c>
      <c r="C2228">
        <v>30.48</v>
      </c>
      <c r="D2228" s="1">
        <v>45264.685543981483</v>
      </c>
      <c r="E2228" t="s">
        <v>57</v>
      </c>
      <c r="F2228" t="s">
        <v>70</v>
      </c>
      <c r="G2228" t="s">
        <v>481</v>
      </c>
      <c r="H2228" t="s">
        <v>247</v>
      </c>
      <c r="I2228" t="s">
        <v>101</v>
      </c>
      <c r="J2228" t="s">
        <v>81</v>
      </c>
      <c r="K2228">
        <v>32</v>
      </c>
      <c r="L2228" t="s">
        <v>31</v>
      </c>
      <c r="M2228">
        <v>78</v>
      </c>
      <c r="N2228">
        <v>1</v>
      </c>
      <c r="O2228">
        <v>11481.85</v>
      </c>
      <c r="P2228" s="1">
        <v>45600.338634259257</v>
      </c>
      <c r="Q2228">
        <v>16</v>
      </c>
      <c r="R2228" t="s">
        <v>47</v>
      </c>
      <c r="S2228">
        <v>-0.91494165080366396</v>
      </c>
      <c r="T2228" t="b">
        <v>0</v>
      </c>
      <c r="U2228" t="b">
        <v>0</v>
      </c>
      <c r="V2228" t="b">
        <f t="shared" si="68"/>
        <v>1</v>
      </c>
      <c r="W2228">
        <v>0</v>
      </c>
      <c r="Y2228">
        <f t="shared" si="69"/>
        <v>0</v>
      </c>
    </row>
    <row r="2229" spans="1:25" x14ac:dyDescent="0.3">
      <c r="A2229" t="s">
        <v>4154</v>
      </c>
      <c r="B2229" t="s">
        <v>209</v>
      </c>
      <c r="C2229">
        <v>1152.58</v>
      </c>
      <c r="D2229" s="1">
        <v>45182.748796296299</v>
      </c>
      <c r="E2229" t="s">
        <v>25</v>
      </c>
      <c r="F2229" t="s">
        <v>131</v>
      </c>
      <c r="G2229" t="s">
        <v>2173</v>
      </c>
      <c r="H2229" t="s">
        <v>279</v>
      </c>
      <c r="I2229" t="s">
        <v>80</v>
      </c>
      <c r="J2229" t="s">
        <v>81</v>
      </c>
      <c r="K2229">
        <v>65</v>
      </c>
      <c r="L2229" t="s">
        <v>82</v>
      </c>
      <c r="M2229">
        <v>180</v>
      </c>
      <c r="N2229">
        <v>1</v>
      </c>
      <c r="O2229">
        <v>7567.17</v>
      </c>
      <c r="P2229" s="1">
        <v>45600.341493055559</v>
      </c>
      <c r="Q2229">
        <v>17</v>
      </c>
      <c r="R2229" t="s">
        <v>74</v>
      </c>
      <c r="S2229">
        <v>2.92857415196743</v>
      </c>
      <c r="T2229" t="b">
        <v>1</v>
      </c>
      <c r="U2229" t="b">
        <v>0</v>
      </c>
      <c r="V2229" t="b">
        <f t="shared" si="68"/>
        <v>1</v>
      </c>
      <c r="W2229">
        <v>1</v>
      </c>
      <c r="Y2229">
        <f t="shared" si="69"/>
        <v>1</v>
      </c>
    </row>
    <row r="2230" spans="1:25" x14ac:dyDescent="0.3">
      <c r="A2230" t="s">
        <v>4155</v>
      </c>
      <c r="B2230" t="s">
        <v>1029</v>
      </c>
      <c r="C2230">
        <v>453.09</v>
      </c>
      <c r="D2230" s="1">
        <v>45082.683587962965</v>
      </c>
      <c r="E2230" t="s">
        <v>25</v>
      </c>
      <c r="F2230" t="s">
        <v>236</v>
      </c>
      <c r="G2230" t="s">
        <v>1058</v>
      </c>
      <c r="H2230" t="s">
        <v>3399</v>
      </c>
      <c r="I2230" t="s">
        <v>782</v>
      </c>
      <c r="J2230" t="s">
        <v>81</v>
      </c>
      <c r="K2230">
        <v>48</v>
      </c>
      <c r="L2230" t="s">
        <v>31</v>
      </c>
      <c r="M2230">
        <v>97</v>
      </c>
      <c r="N2230">
        <v>1</v>
      </c>
      <c r="O2230">
        <v>6708.65</v>
      </c>
      <c r="P2230" s="1">
        <v>45600.33902777778</v>
      </c>
      <c r="Q2230">
        <v>16</v>
      </c>
      <c r="R2230" t="s">
        <v>47</v>
      </c>
      <c r="S2230">
        <v>0.53261936283958999</v>
      </c>
      <c r="T2230" t="b">
        <v>0</v>
      </c>
      <c r="U2230" t="b">
        <v>0</v>
      </c>
      <c r="V2230" t="b">
        <f t="shared" si="68"/>
        <v>1</v>
      </c>
      <c r="W2230">
        <v>0</v>
      </c>
      <c r="Y2230">
        <f t="shared" si="69"/>
        <v>0</v>
      </c>
    </row>
    <row r="2231" spans="1:25" x14ac:dyDescent="0.3">
      <c r="A2231" t="s">
        <v>4156</v>
      </c>
      <c r="B2231" t="s">
        <v>762</v>
      </c>
      <c r="C2231">
        <v>424.47</v>
      </c>
      <c r="D2231" s="1">
        <v>44984.670543981483</v>
      </c>
      <c r="E2231" t="s">
        <v>25</v>
      </c>
      <c r="F2231" t="s">
        <v>64</v>
      </c>
      <c r="G2231" t="s">
        <v>1003</v>
      </c>
      <c r="H2231" t="s">
        <v>1702</v>
      </c>
      <c r="I2231" t="s">
        <v>1358</v>
      </c>
      <c r="J2231" t="s">
        <v>45</v>
      </c>
      <c r="K2231">
        <v>22</v>
      </c>
      <c r="L2231" t="s">
        <v>46</v>
      </c>
      <c r="M2231">
        <v>116</v>
      </c>
      <c r="N2231">
        <v>1</v>
      </c>
      <c r="O2231">
        <v>5491.55</v>
      </c>
      <c r="P2231" s="1">
        <v>45600.339386574073</v>
      </c>
      <c r="Q2231">
        <v>16</v>
      </c>
      <c r="R2231" t="s">
        <v>47</v>
      </c>
      <c r="S2231">
        <v>0.43458761676053398</v>
      </c>
      <c r="T2231" t="b">
        <v>0</v>
      </c>
      <c r="U2231" t="b">
        <v>0</v>
      </c>
      <c r="V2231" t="b">
        <f t="shared" si="68"/>
        <v>1</v>
      </c>
      <c r="W2231">
        <v>0</v>
      </c>
      <c r="Y2231">
        <f t="shared" si="69"/>
        <v>0</v>
      </c>
    </row>
    <row r="2232" spans="1:25" x14ac:dyDescent="0.3">
      <c r="A2232" t="s">
        <v>4157</v>
      </c>
      <c r="B2232" t="s">
        <v>1326</v>
      </c>
      <c r="C2232">
        <v>228.4</v>
      </c>
      <c r="D2232" s="1">
        <v>44931.682083333333</v>
      </c>
      <c r="E2232" t="s">
        <v>25</v>
      </c>
      <c r="F2232" t="s">
        <v>309</v>
      </c>
      <c r="G2232" t="s">
        <v>956</v>
      </c>
      <c r="H2232" t="s">
        <v>3954</v>
      </c>
      <c r="I2232" t="s">
        <v>419</v>
      </c>
      <c r="J2232" t="s">
        <v>30</v>
      </c>
      <c r="K2232">
        <v>67</v>
      </c>
      <c r="L2232" t="s">
        <v>31</v>
      </c>
      <c r="M2232">
        <v>116</v>
      </c>
      <c r="N2232">
        <v>1</v>
      </c>
      <c r="O2232">
        <v>9598.43</v>
      </c>
      <c r="P2232" s="1">
        <v>45600.34</v>
      </c>
      <c r="Q2232">
        <v>16</v>
      </c>
      <c r="R2232" t="s">
        <v>141</v>
      </c>
      <c r="S2232">
        <v>-0.237008625507828</v>
      </c>
      <c r="T2232" t="b">
        <v>0</v>
      </c>
      <c r="U2232" t="b">
        <v>0</v>
      </c>
      <c r="V2232" t="b">
        <f t="shared" si="68"/>
        <v>1</v>
      </c>
      <c r="W2232">
        <v>0</v>
      </c>
      <c r="Y2232">
        <f t="shared" si="69"/>
        <v>0</v>
      </c>
    </row>
    <row r="2233" spans="1:25" x14ac:dyDescent="0.3">
      <c r="A2233" t="s">
        <v>4158</v>
      </c>
      <c r="B2233" t="s">
        <v>2720</v>
      </c>
      <c r="C2233">
        <v>67.17</v>
      </c>
      <c r="D2233" s="1">
        <v>45110.752638888887</v>
      </c>
      <c r="E2233" t="s">
        <v>25</v>
      </c>
      <c r="F2233" t="s">
        <v>70</v>
      </c>
      <c r="G2233" t="s">
        <v>1360</v>
      </c>
      <c r="H2233" t="s">
        <v>478</v>
      </c>
      <c r="I2233" t="s">
        <v>652</v>
      </c>
      <c r="J2233" t="s">
        <v>45</v>
      </c>
      <c r="K2233">
        <v>63</v>
      </c>
      <c r="L2233" t="s">
        <v>31</v>
      </c>
      <c r="M2233">
        <v>48</v>
      </c>
      <c r="N2233">
        <v>1</v>
      </c>
      <c r="O2233">
        <v>14410.44</v>
      </c>
      <c r="P2233" s="1">
        <v>45600.339525462965</v>
      </c>
      <c r="Q2233">
        <v>18</v>
      </c>
      <c r="R2233" t="s">
        <v>47</v>
      </c>
      <c r="S2233">
        <v>-0.78926782957233699</v>
      </c>
      <c r="T2233" t="b">
        <v>0</v>
      </c>
      <c r="U2233" t="b">
        <v>0</v>
      </c>
      <c r="V2233" t="b">
        <f t="shared" si="68"/>
        <v>1</v>
      </c>
      <c r="W2233">
        <v>0</v>
      </c>
      <c r="Y2233">
        <f t="shared" si="69"/>
        <v>0</v>
      </c>
    </row>
    <row r="2234" spans="1:25" x14ac:dyDescent="0.3">
      <c r="A2234" t="s">
        <v>4159</v>
      </c>
      <c r="B2234" t="s">
        <v>2999</v>
      </c>
      <c r="C2234">
        <v>284.89</v>
      </c>
      <c r="D2234" s="1">
        <v>45278.745173611111</v>
      </c>
      <c r="E2234" t="s">
        <v>25</v>
      </c>
      <c r="F2234" t="s">
        <v>58</v>
      </c>
      <c r="G2234" t="s">
        <v>148</v>
      </c>
      <c r="H2234" t="s">
        <v>2194</v>
      </c>
      <c r="I2234" t="s">
        <v>577</v>
      </c>
      <c r="J2234" t="s">
        <v>45</v>
      </c>
      <c r="K2234">
        <v>53</v>
      </c>
      <c r="L2234" t="s">
        <v>31</v>
      </c>
      <c r="M2234">
        <v>115</v>
      </c>
      <c r="N2234">
        <v>1</v>
      </c>
      <c r="O2234">
        <v>9738.6</v>
      </c>
      <c r="P2234" s="1">
        <v>45600.338090277779</v>
      </c>
      <c r="Q2234">
        <v>17</v>
      </c>
      <c r="R2234" t="s">
        <v>47</v>
      </c>
      <c r="S2234">
        <v>-4.3514099441934899E-2</v>
      </c>
      <c r="T2234" t="b">
        <v>0</v>
      </c>
      <c r="U2234" t="b">
        <v>0</v>
      </c>
      <c r="V2234" t="b">
        <f t="shared" si="68"/>
        <v>1</v>
      </c>
      <c r="W2234">
        <v>0</v>
      </c>
      <c r="Y2234">
        <f t="shared" si="69"/>
        <v>0</v>
      </c>
    </row>
    <row r="2235" spans="1:25" x14ac:dyDescent="0.3">
      <c r="A2235" t="s">
        <v>4160</v>
      </c>
      <c r="B2235" t="s">
        <v>2115</v>
      </c>
      <c r="C2235">
        <v>118.69</v>
      </c>
      <c r="D2235" s="1">
        <v>44970.775243055556</v>
      </c>
      <c r="E2235" t="s">
        <v>25</v>
      </c>
      <c r="F2235" t="s">
        <v>309</v>
      </c>
      <c r="G2235" t="s">
        <v>1116</v>
      </c>
      <c r="H2235" t="s">
        <v>407</v>
      </c>
      <c r="I2235" t="s">
        <v>188</v>
      </c>
      <c r="J2235" t="s">
        <v>45</v>
      </c>
      <c r="K2235">
        <v>33</v>
      </c>
      <c r="L2235" t="s">
        <v>31</v>
      </c>
      <c r="M2235">
        <v>296</v>
      </c>
      <c r="N2235">
        <v>1</v>
      </c>
      <c r="O2235">
        <v>749.34</v>
      </c>
      <c r="P2235" s="1">
        <v>45600.340277777781</v>
      </c>
      <c r="Q2235">
        <v>18</v>
      </c>
      <c r="R2235" t="s">
        <v>47</v>
      </c>
      <c r="S2235">
        <v>-0.61279698547754402</v>
      </c>
      <c r="T2235" t="b">
        <v>0</v>
      </c>
      <c r="U2235" t="b">
        <v>0</v>
      </c>
      <c r="V2235" t="b">
        <f t="shared" si="68"/>
        <v>1</v>
      </c>
      <c r="W2235">
        <v>0</v>
      </c>
      <c r="Y2235">
        <f t="shared" si="69"/>
        <v>0</v>
      </c>
    </row>
    <row r="2236" spans="1:25" x14ac:dyDescent="0.3">
      <c r="A2236" t="s">
        <v>4161</v>
      </c>
      <c r="B2236" t="s">
        <v>1809</v>
      </c>
      <c r="C2236">
        <v>221.33</v>
      </c>
      <c r="D2236" s="1">
        <v>45217.761863425927</v>
      </c>
      <c r="E2236" t="s">
        <v>25</v>
      </c>
      <c r="F2236" t="s">
        <v>120</v>
      </c>
      <c r="G2236" t="s">
        <v>1165</v>
      </c>
      <c r="H2236" t="s">
        <v>555</v>
      </c>
      <c r="I2236" t="s">
        <v>29</v>
      </c>
      <c r="J2236" t="s">
        <v>30</v>
      </c>
      <c r="K2236">
        <v>27</v>
      </c>
      <c r="L2236" t="s">
        <v>46</v>
      </c>
      <c r="M2236">
        <v>276</v>
      </c>
      <c r="N2236">
        <v>1</v>
      </c>
      <c r="O2236">
        <v>1185.43</v>
      </c>
      <c r="P2236" s="1">
        <v>45600.340173611112</v>
      </c>
      <c r="Q2236">
        <v>18</v>
      </c>
      <c r="R2236" t="s">
        <v>74</v>
      </c>
      <c r="S2236">
        <v>-0.26122541253714099</v>
      </c>
      <c r="T2236" t="b">
        <v>0</v>
      </c>
      <c r="U2236" t="b">
        <v>0</v>
      </c>
      <c r="V2236" t="b">
        <f t="shared" si="68"/>
        <v>1</v>
      </c>
      <c r="W2236">
        <v>0</v>
      </c>
      <c r="Y2236">
        <f t="shared" si="69"/>
        <v>0</v>
      </c>
    </row>
    <row r="2237" spans="1:25" x14ac:dyDescent="0.3">
      <c r="A2237" t="s">
        <v>4162</v>
      </c>
      <c r="B2237" t="s">
        <v>1871</v>
      </c>
      <c r="C2237">
        <v>252.31</v>
      </c>
      <c r="D2237" s="1">
        <v>45014.673993055556</v>
      </c>
      <c r="E2237" t="s">
        <v>57</v>
      </c>
      <c r="F2237" t="s">
        <v>70</v>
      </c>
      <c r="G2237" t="s">
        <v>1003</v>
      </c>
      <c r="H2237" t="s">
        <v>2286</v>
      </c>
      <c r="I2237" t="s">
        <v>993</v>
      </c>
      <c r="J2237" t="s">
        <v>30</v>
      </c>
      <c r="K2237">
        <v>26</v>
      </c>
      <c r="L2237" t="s">
        <v>46</v>
      </c>
      <c r="M2237">
        <v>172</v>
      </c>
      <c r="N2237">
        <v>1</v>
      </c>
      <c r="O2237">
        <v>1584.6</v>
      </c>
      <c r="P2237" s="1">
        <v>45600.341747685183</v>
      </c>
      <c r="Q2237">
        <v>16</v>
      </c>
      <c r="R2237" t="s">
        <v>74</v>
      </c>
      <c r="S2237">
        <v>-0.155109986487904</v>
      </c>
      <c r="T2237" t="b">
        <v>0</v>
      </c>
      <c r="U2237" t="b">
        <v>0</v>
      </c>
      <c r="V2237" t="b">
        <f t="shared" si="68"/>
        <v>1</v>
      </c>
      <c r="W2237">
        <v>0</v>
      </c>
      <c r="Y2237">
        <f t="shared" si="69"/>
        <v>0</v>
      </c>
    </row>
    <row r="2238" spans="1:25" x14ac:dyDescent="0.3">
      <c r="A2238" t="s">
        <v>4163</v>
      </c>
      <c r="B2238" t="s">
        <v>808</v>
      </c>
      <c r="C2238">
        <v>58.85</v>
      </c>
      <c r="D2238" s="1">
        <v>45061.719039351854</v>
      </c>
      <c r="E2238" t="s">
        <v>57</v>
      </c>
      <c r="F2238" t="s">
        <v>191</v>
      </c>
      <c r="G2238" t="s">
        <v>927</v>
      </c>
      <c r="H2238" t="s">
        <v>128</v>
      </c>
      <c r="I2238" t="s">
        <v>589</v>
      </c>
      <c r="J2238" t="s">
        <v>45</v>
      </c>
      <c r="K2238">
        <v>71</v>
      </c>
      <c r="L2238" t="s">
        <v>82</v>
      </c>
      <c r="M2238">
        <v>115</v>
      </c>
      <c r="N2238">
        <v>1</v>
      </c>
      <c r="O2238">
        <v>1789.8</v>
      </c>
      <c r="P2238" s="1">
        <v>45600.337893518517</v>
      </c>
      <c r="Q2238">
        <v>17</v>
      </c>
      <c r="R2238" t="s">
        <v>47</v>
      </c>
      <c r="S2238">
        <v>-0.81776622675534705</v>
      </c>
      <c r="T2238" t="b">
        <v>0</v>
      </c>
      <c r="U2238" t="b">
        <v>0</v>
      </c>
      <c r="V2238" t="b">
        <f t="shared" si="68"/>
        <v>1</v>
      </c>
      <c r="W2238">
        <v>0</v>
      </c>
      <c r="Y2238">
        <f t="shared" si="69"/>
        <v>0</v>
      </c>
    </row>
    <row r="2239" spans="1:25" x14ac:dyDescent="0.3">
      <c r="A2239" t="s">
        <v>4164</v>
      </c>
      <c r="B2239" t="s">
        <v>738</v>
      </c>
      <c r="C2239">
        <v>194.68</v>
      </c>
      <c r="D2239" s="1">
        <v>45040.689444444448</v>
      </c>
      <c r="E2239" t="s">
        <v>25</v>
      </c>
      <c r="F2239" t="s">
        <v>104</v>
      </c>
      <c r="G2239" t="s">
        <v>481</v>
      </c>
      <c r="H2239" t="s">
        <v>876</v>
      </c>
      <c r="I2239" t="s">
        <v>53</v>
      </c>
      <c r="J2239" t="s">
        <v>45</v>
      </c>
      <c r="K2239">
        <v>32</v>
      </c>
      <c r="L2239" t="s">
        <v>31</v>
      </c>
      <c r="M2239">
        <v>165</v>
      </c>
      <c r="N2239">
        <v>1</v>
      </c>
      <c r="O2239">
        <v>14494.18</v>
      </c>
      <c r="P2239" s="1">
        <v>45600.341597222221</v>
      </c>
      <c r="Q2239">
        <v>16</v>
      </c>
      <c r="R2239" t="s">
        <v>47</v>
      </c>
      <c r="S2239">
        <v>-0.35250934101397002</v>
      </c>
      <c r="T2239" t="b">
        <v>0</v>
      </c>
      <c r="U2239" t="b">
        <v>0</v>
      </c>
      <c r="V2239" t="b">
        <f t="shared" si="68"/>
        <v>1</v>
      </c>
      <c r="W2239">
        <v>0</v>
      </c>
      <c r="Y2239">
        <f t="shared" si="69"/>
        <v>0</v>
      </c>
    </row>
    <row r="2240" spans="1:25" x14ac:dyDescent="0.3">
      <c r="A2240" t="s">
        <v>4165</v>
      </c>
      <c r="B2240" t="s">
        <v>1435</v>
      </c>
      <c r="C2240">
        <v>433.53</v>
      </c>
      <c r="D2240" s="1">
        <v>45218.713159722225</v>
      </c>
      <c r="E2240" t="s">
        <v>25</v>
      </c>
      <c r="F2240" t="s">
        <v>256</v>
      </c>
      <c r="G2240" t="s">
        <v>1466</v>
      </c>
      <c r="H2240" t="s">
        <v>1832</v>
      </c>
      <c r="I2240" t="s">
        <v>647</v>
      </c>
      <c r="J2240" t="s">
        <v>81</v>
      </c>
      <c r="K2240">
        <v>38</v>
      </c>
      <c r="L2240" t="s">
        <v>31</v>
      </c>
      <c r="M2240">
        <v>231</v>
      </c>
      <c r="N2240">
        <v>1</v>
      </c>
      <c r="O2240">
        <v>6368.32</v>
      </c>
      <c r="P2240" s="1">
        <v>45600.339675925927</v>
      </c>
      <c r="Q2240">
        <v>17</v>
      </c>
      <c r="R2240" t="s">
        <v>141</v>
      </c>
      <c r="S2240">
        <v>0.46562072715453301</v>
      </c>
      <c r="T2240" t="b">
        <v>0</v>
      </c>
      <c r="U2240" t="b">
        <v>0</v>
      </c>
      <c r="V2240" t="b">
        <f t="shared" si="68"/>
        <v>1</v>
      </c>
      <c r="W2240">
        <v>0</v>
      </c>
      <c r="Y2240">
        <f t="shared" si="69"/>
        <v>0</v>
      </c>
    </row>
    <row r="2241" spans="1:25" x14ac:dyDescent="0.3">
      <c r="A2241" t="s">
        <v>4166</v>
      </c>
      <c r="B2241" t="s">
        <v>784</v>
      </c>
      <c r="C2241">
        <v>178.26</v>
      </c>
      <c r="D2241" s="1">
        <v>45215.705543981479</v>
      </c>
      <c r="E2241" t="s">
        <v>25</v>
      </c>
      <c r="F2241" t="s">
        <v>64</v>
      </c>
      <c r="G2241" t="s">
        <v>3467</v>
      </c>
      <c r="H2241" t="s">
        <v>4167</v>
      </c>
      <c r="I2241" t="s">
        <v>375</v>
      </c>
      <c r="J2241" t="s">
        <v>30</v>
      </c>
      <c r="K2241">
        <v>59</v>
      </c>
      <c r="L2241" t="s">
        <v>82</v>
      </c>
      <c r="M2241">
        <v>59</v>
      </c>
      <c r="N2241">
        <v>1</v>
      </c>
      <c r="O2241">
        <v>1137.1300000000001</v>
      </c>
      <c r="P2241" s="1">
        <v>45600.339479166665</v>
      </c>
      <c r="Q2241">
        <v>16</v>
      </c>
      <c r="R2241" t="s">
        <v>47</v>
      </c>
      <c r="S2241">
        <v>-0.40875257199294002</v>
      </c>
      <c r="T2241" t="b">
        <v>0</v>
      </c>
      <c r="U2241" t="b">
        <v>0</v>
      </c>
      <c r="V2241" t="b">
        <f t="shared" si="68"/>
        <v>1</v>
      </c>
      <c r="W2241">
        <v>0</v>
      </c>
      <c r="Y2241">
        <f t="shared" si="69"/>
        <v>0</v>
      </c>
    </row>
    <row r="2242" spans="1:25" x14ac:dyDescent="0.3">
      <c r="A2242" t="s">
        <v>4168</v>
      </c>
      <c r="B2242" t="s">
        <v>3167</v>
      </c>
      <c r="C2242">
        <v>207.65</v>
      </c>
      <c r="D2242" s="1">
        <v>45180.703020833331</v>
      </c>
      <c r="E2242" t="s">
        <v>25</v>
      </c>
      <c r="F2242" t="s">
        <v>225</v>
      </c>
      <c r="G2242" t="s">
        <v>1220</v>
      </c>
      <c r="H2242" t="s">
        <v>198</v>
      </c>
      <c r="I2242" t="s">
        <v>399</v>
      </c>
      <c r="J2242" t="s">
        <v>45</v>
      </c>
      <c r="K2242">
        <v>34</v>
      </c>
      <c r="L2242" t="s">
        <v>89</v>
      </c>
      <c r="M2242">
        <v>98</v>
      </c>
      <c r="N2242">
        <v>1</v>
      </c>
      <c r="O2242">
        <v>5143.8</v>
      </c>
      <c r="P2242" s="1">
        <v>45600.339918981481</v>
      </c>
      <c r="Q2242">
        <v>16</v>
      </c>
      <c r="R2242" t="s">
        <v>47</v>
      </c>
      <c r="S2242">
        <v>-0.308083354059206</v>
      </c>
      <c r="T2242" t="b">
        <v>0</v>
      </c>
      <c r="U2242" t="b">
        <v>0</v>
      </c>
      <c r="V2242" t="b">
        <f t="shared" si="68"/>
        <v>1</v>
      </c>
      <c r="W2242">
        <v>0</v>
      </c>
      <c r="Y2242">
        <f t="shared" si="69"/>
        <v>0</v>
      </c>
    </row>
    <row r="2243" spans="1:25" x14ac:dyDescent="0.3">
      <c r="A2243" t="s">
        <v>4169</v>
      </c>
      <c r="B2243" t="s">
        <v>1465</v>
      </c>
      <c r="C2243">
        <v>237</v>
      </c>
      <c r="D2243" s="1">
        <v>44967.701504629629</v>
      </c>
      <c r="E2243" t="s">
        <v>25</v>
      </c>
      <c r="F2243" t="s">
        <v>268</v>
      </c>
      <c r="G2243" t="s">
        <v>1419</v>
      </c>
      <c r="H2243" t="s">
        <v>4170</v>
      </c>
      <c r="I2243" t="s">
        <v>605</v>
      </c>
      <c r="J2243" t="s">
        <v>45</v>
      </c>
      <c r="K2243">
        <v>49</v>
      </c>
      <c r="L2243" t="s">
        <v>31</v>
      </c>
      <c r="M2243">
        <v>115</v>
      </c>
      <c r="N2243">
        <v>1</v>
      </c>
      <c r="O2243">
        <v>14021.4</v>
      </c>
      <c r="P2243" s="1">
        <v>45600.339039351849</v>
      </c>
      <c r="Q2243">
        <v>16</v>
      </c>
      <c r="R2243" t="s">
        <v>54</v>
      </c>
      <c r="S2243">
        <v>-0.20755114765039001</v>
      </c>
      <c r="T2243" t="b">
        <v>0</v>
      </c>
      <c r="U2243" t="b">
        <v>0</v>
      </c>
      <c r="V2243" t="b">
        <f t="shared" ref="V2243:V2306" si="70">ISLOGICAL(T2243)</f>
        <v>1</v>
      </c>
      <c r="W2243">
        <v>0</v>
      </c>
      <c r="Y2243">
        <f t="shared" ref="Y2243:Y2306" si="71">--T2243</f>
        <v>0</v>
      </c>
    </row>
    <row r="2244" spans="1:25" x14ac:dyDescent="0.3">
      <c r="A2244" t="s">
        <v>4171</v>
      </c>
      <c r="B2244" t="s">
        <v>3918</v>
      </c>
      <c r="C2244">
        <v>1169.5899999999999</v>
      </c>
      <c r="D2244" s="1">
        <v>45285.716909722221</v>
      </c>
      <c r="E2244" t="s">
        <v>25</v>
      </c>
      <c r="F2244" t="s">
        <v>216</v>
      </c>
      <c r="G2244" t="s">
        <v>1128</v>
      </c>
      <c r="H2244" t="s">
        <v>1654</v>
      </c>
      <c r="I2244" t="s">
        <v>665</v>
      </c>
      <c r="J2244" t="s">
        <v>45</v>
      </c>
      <c r="K2244">
        <v>28</v>
      </c>
      <c r="L2244" t="s">
        <v>46</v>
      </c>
      <c r="M2244">
        <v>114</v>
      </c>
      <c r="N2244">
        <v>1</v>
      </c>
      <c r="O2244">
        <v>5946.45</v>
      </c>
      <c r="P2244" s="1">
        <v>45600.341354166667</v>
      </c>
      <c r="Q2244">
        <v>17</v>
      </c>
      <c r="R2244" t="s">
        <v>47</v>
      </c>
      <c r="S2244">
        <v>2.98683830293895</v>
      </c>
      <c r="T2244" t="b">
        <v>1</v>
      </c>
      <c r="U2244" t="b">
        <v>0</v>
      </c>
      <c r="V2244" t="b">
        <f t="shared" si="70"/>
        <v>1</v>
      </c>
      <c r="W2244">
        <v>1</v>
      </c>
      <c r="Y2244">
        <f t="shared" si="71"/>
        <v>1</v>
      </c>
    </row>
    <row r="2245" spans="1:25" x14ac:dyDescent="0.3">
      <c r="A2245" t="s">
        <v>4172</v>
      </c>
      <c r="B2245" t="s">
        <v>1017</v>
      </c>
      <c r="C2245">
        <v>347.63</v>
      </c>
      <c r="D2245" s="1">
        <v>45273.695289351854</v>
      </c>
      <c r="E2245" t="s">
        <v>57</v>
      </c>
      <c r="F2245" t="s">
        <v>278</v>
      </c>
      <c r="G2245" t="s">
        <v>426</v>
      </c>
      <c r="H2245" t="s">
        <v>1832</v>
      </c>
      <c r="I2245" t="s">
        <v>117</v>
      </c>
      <c r="J2245" t="s">
        <v>45</v>
      </c>
      <c r="K2245">
        <v>25</v>
      </c>
      <c r="L2245" t="s">
        <v>46</v>
      </c>
      <c r="M2245">
        <v>272</v>
      </c>
      <c r="N2245">
        <v>1</v>
      </c>
      <c r="O2245">
        <v>1400.04</v>
      </c>
      <c r="P2245" s="1">
        <v>45600.33934027778</v>
      </c>
      <c r="Q2245">
        <v>16</v>
      </c>
      <c r="R2245" t="s">
        <v>74</v>
      </c>
      <c r="S2245">
        <v>0.171388477392446</v>
      </c>
      <c r="T2245" t="b">
        <v>0</v>
      </c>
      <c r="U2245" t="b">
        <v>0</v>
      </c>
      <c r="V2245" t="b">
        <f t="shared" si="70"/>
        <v>1</v>
      </c>
      <c r="W2245">
        <v>0</v>
      </c>
      <c r="Y2245">
        <f t="shared" si="71"/>
        <v>0</v>
      </c>
    </row>
    <row r="2246" spans="1:25" x14ac:dyDescent="0.3">
      <c r="A2246" t="s">
        <v>4173</v>
      </c>
      <c r="B2246" t="s">
        <v>638</v>
      </c>
      <c r="C2246">
        <v>517.67999999999995</v>
      </c>
      <c r="D2246" s="1">
        <v>45021.744722222225</v>
      </c>
      <c r="E2246" t="s">
        <v>25</v>
      </c>
      <c r="F2246" t="s">
        <v>309</v>
      </c>
      <c r="G2246" t="s">
        <v>739</v>
      </c>
      <c r="H2246" t="s">
        <v>230</v>
      </c>
      <c r="I2246" t="s">
        <v>399</v>
      </c>
      <c r="J2246" t="s">
        <v>30</v>
      </c>
      <c r="K2246">
        <v>31</v>
      </c>
      <c r="L2246" t="s">
        <v>31</v>
      </c>
      <c r="M2246">
        <v>24</v>
      </c>
      <c r="N2246">
        <v>1</v>
      </c>
      <c r="O2246">
        <v>11305.81</v>
      </c>
      <c r="P2246" s="1">
        <v>45600.338958333334</v>
      </c>
      <c r="Q2246">
        <v>17</v>
      </c>
      <c r="R2246" t="s">
        <v>74</v>
      </c>
      <c r="S2246">
        <v>0.75385872270144305</v>
      </c>
      <c r="T2246" t="b">
        <v>0</v>
      </c>
      <c r="U2246" t="b">
        <v>0</v>
      </c>
      <c r="V2246" t="b">
        <f t="shared" si="70"/>
        <v>1</v>
      </c>
      <c r="W2246">
        <v>0</v>
      </c>
      <c r="Y2246">
        <f t="shared" si="71"/>
        <v>0</v>
      </c>
    </row>
    <row r="2247" spans="1:25" x14ac:dyDescent="0.3">
      <c r="A2247" t="s">
        <v>4174</v>
      </c>
      <c r="B2247" t="s">
        <v>1404</v>
      </c>
      <c r="C2247">
        <v>36.25</v>
      </c>
      <c r="D2247" s="1">
        <v>45257.770104166666</v>
      </c>
      <c r="E2247" t="s">
        <v>25</v>
      </c>
      <c r="F2247" t="s">
        <v>268</v>
      </c>
      <c r="G2247" t="s">
        <v>293</v>
      </c>
      <c r="H2247" t="s">
        <v>950</v>
      </c>
      <c r="I2247" t="s">
        <v>140</v>
      </c>
      <c r="J2247" t="s">
        <v>81</v>
      </c>
      <c r="K2247">
        <v>52</v>
      </c>
      <c r="L2247" t="s">
        <v>31</v>
      </c>
      <c r="M2247">
        <v>76</v>
      </c>
      <c r="N2247">
        <v>1</v>
      </c>
      <c r="O2247">
        <v>193.06</v>
      </c>
      <c r="P2247" s="1">
        <v>45600.340381944443</v>
      </c>
      <c r="Q2247">
        <v>18</v>
      </c>
      <c r="R2247" t="s">
        <v>47</v>
      </c>
      <c r="S2247">
        <v>-0.895177738334196</v>
      </c>
      <c r="T2247" t="b">
        <v>0</v>
      </c>
      <c r="U2247" t="b">
        <v>0</v>
      </c>
      <c r="V2247" t="b">
        <f t="shared" si="70"/>
        <v>1</v>
      </c>
      <c r="W2247">
        <v>0</v>
      </c>
      <c r="Y2247">
        <f t="shared" si="71"/>
        <v>0</v>
      </c>
    </row>
    <row r="2248" spans="1:25" x14ac:dyDescent="0.3">
      <c r="A2248" t="s">
        <v>4175</v>
      </c>
      <c r="B2248" t="s">
        <v>1138</v>
      </c>
      <c r="C2248">
        <v>46.53</v>
      </c>
      <c r="D2248" s="1">
        <v>45099.727662037039</v>
      </c>
      <c r="E2248" t="s">
        <v>25</v>
      </c>
      <c r="F2248" t="s">
        <v>225</v>
      </c>
      <c r="G2248" t="s">
        <v>1454</v>
      </c>
      <c r="H2248" t="s">
        <v>218</v>
      </c>
      <c r="I2248" t="s">
        <v>997</v>
      </c>
      <c r="J2248" t="s">
        <v>30</v>
      </c>
      <c r="K2248">
        <v>42</v>
      </c>
      <c r="L2248" t="s">
        <v>89</v>
      </c>
      <c r="M2248">
        <v>34</v>
      </c>
      <c r="N2248">
        <v>1</v>
      </c>
      <c r="O2248">
        <v>4468.12</v>
      </c>
      <c r="P2248" s="1">
        <v>45600.338449074072</v>
      </c>
      <c r="Q2248">
        <v>17</v>
      </c>
      <c r="R2248" t="s">
        <v>141</v>
      </c>
      <c r="S2248">
        <v>-0.85996577643018901</v>
      </c>
      <c r="T2248" t="b">
        <v>0</v>
      </c>
      <c r="U2248" t="b">
        <v>0</v>
      </c>
      <c r="V2248" t="b">
        <f t="shared" si="70"/>
        <v>1</v>
      </c>
      <c r="W2248">
        <v>0</v>
      </c>
      <c r="Y2248">
        <f t="shared" si="71"/>
        <v>0</v>
      </c>
    </row>
    <row r="2249" spans="1:25" x14ac:dyDescent="0.3">
      <c r="A2249" t="s">
        <v>4176</v>
      </c>
      <c r="B2249" t="s">
        <v>3715</v>
      </c>
      <c r="C2249">
        <v>207.47</v>
      </c>
      <c r="D2249" s="1">
        <v>45201.789803240739</v>
      </c>
      <c r="E2249" t="s">
        <v>25</v>
      </c>
      <c r="F2249" t="s">
        <v>185</v>
      </c>
      <c r="G2249" t="s">
        <v>1950</v>
      </c>
      <c r="H2249" t="s">
        <v>636</v>
      </c>
      <c r="I2249" t="s">
        <v>427</v>
      </c>
      <c r="J2249" t="s">
        <v>30</v>
      </c>
      <c r="K2249">
        <v>53</v>
      </c>
      <c r="L2249" t="s">
        <v>31</v>
      </c>
      <c r="M2249">
        <v>12</v>
      </c>
      <c r="N2249">
        <v>1</v>
      </c>
      <c r="O2249">
        <v>1688.9</v>
      </c>
      <c r="P2249" s="1">
        <v>45600.338206018518</v>
      </c>
      <c r="Q2249">
        <v>18</v>
      </c>
      <c r="R2249" t="s">
        <v>47</v>
      </c>
      <c r="S2249">
        <v>-0.308699905921338</v>
      </c>
      <c r="T2249" t="b">
        <v>0</v>
      </c>
      <c r="U2249" t="b">
        <v>0</v>
      </c>
      <c r="V2249" t="b">
        <f t="shared" si="70"/>
        <v>1</v>
      </c>
      <c r="W2249">
        <v>0</v>
      </c>
      <c r="Y2249">
        <f t="shared" si="71"/>
        <v>0</v>
      </c>
    </row>
    <row r="2250" spans="1:25" x14ac:dyDescent="0.3">
      <c r="A2250" t="s">
        <v>4177</v>
      </c>
      <c r="B2250" t="s">
        <v>1883</v>
      </c>
      <c r="C2250">
        <v>199.7</v>
      </c>
      <c r="D2250" s="1">
        <v>45019.779131944444</v>
      </c>
      <c r="E2250" t="s">
        <v>25</v>
      </c>
      <c r="F2250" t="s">
        <v>77</v>
      </c>
      <c r="G2250" t="s">
        <v>2957</v>
      </c>
      <c r="H2250" t="s">
        <v>3124</v>
      </c>
      <c r="I2250" t="s">
        <v>833</v>
      </c>
      <c r="J2250" t="s">
        <v>30</v>
      </c>
      <c r="K2250">
        <v>43</v>
      </c>
      <c r="L2250" t="s">
        <v>89</v>
      </c>
      <c r="M2250">
        <v>285</v>
      </c>
      <c r="N2250">
        <v>1</v>
      </c>
      <c r="O2250">
        <v>7574.45</v>
      </c>
      <c r="P2250" s="1">
        <v>45600.339560185188</v>
      </c>
      <c r="Q2250">
        <v>18</v>
      </c>
      <c r="R2250" t="s">
        <v>47</v>
      </c>
      <c r="S2250">
        <v>-0.33531439463672102</v>
      </c>
      <c r="T2250" t="b">
        <v>0</v>
      </c>
      <c r="U2250" t="b">
        <v>0</v>
      </c>
      <c r="V2250" t="b">
        <f t="shared" si="70"/>
        <v>1</v>
      </c>
      <c r="W2250">
        <v>0</v>
      </c>
      <c r="Y2250">
        <f t="shared" si="71"/>
        <v>0</v>
      </c>
    </row>
    <row r="2251" spans="1:25" x14ac:dyDescent="0.3">
      <c r="A2251" t="s">
        <v>4178</v>
      </c>
      <c r="B2251" t="s">
        <v>1182</v>
      </c>
      <c r="C2251">
        <v>307.89</v>
      </c>
      <c r="D2251" s="1">
        <v>45117.690775462965</v>
      </c>
      <c r="E2251" t="s">
        <v>57</v>
      </c>
      <c r="F2251" t="s">
        <v>92</v>
      </c>
      <c r="G2251" t="s">
        <v>3705</v>
      </c>
      <c r="H2251" t="s">
        <v>2627</v>
      </c>
      <c r="I2251" t="s">
        <v>431</v>
      </c>
      <c r="J2251" t="s">
        <v>45</v>
      </c>
      <c r="K2251">
        <v>62</v>
      </c>
      <c r="L2251" t="s">
        <v>82</v>
      </c>
      <c r="M2251">
        <v>90</v>
      </c>
      <c r="N2251">
        <v>1</v>
      </c>
      <c r="O2251">
        <v>2637.55</v>
      </c>
      <c r="P2251" s="1">
        <v>45600.341365740744</v>
      </c>
      <c r="Q2251">
        <v>16</v>
      </c>
      <c r="R2251" t="s">
        <v>47</v>
      </c>
      <c r="S2251">
        <v>3.5267527386097598E-2</v>
      </c>
      <c r="T2251" t="b">
        <v>0</v>
      </c>
      <c r="U2251" t="b">
        <v>0</v>
      </c>
      <c r="V2251" t="b">
        <f t="shared" si="70"/>
        <v>1</v>
      </c>
      <c r="W2251">
        <v>0</v>
      </c>
      <c r="Y2251">
        <f t="shared" si="71"/>
        <v>0</v>
      </c>
    </row>
    <row r="2252" spans="1:25" x14ac:dyDescent="0.3">
      <c r="A2252" t="s">
        <v>4179</v>
      </c>
      <c r="B2252" t="s">
        <v>363</v>
      </c>
      <c r="C2252">
        <v>403.63</v>
      </c>
      <c r="D2252" s="1">
        <v>45085.705740740741</v>
      </c>
      <c r="E2252" t="s">
        <v>25</v>
      </c>
      <c r="F2252" t="s">
        <v>159</v>
      </c>
      <c r="G2252" t="s">
        <v>1466</v>
      </c>
      <c r="H2252" t="s">
        <v>2396</v>
      </c>
      <c r="I2252" t="s">
        <v>577</v>
      </c>
      <c r="J2252" t="s">
        <v>81</v>
      </c>
      <c r="K2252">
        <v>31</v>
      </c>
      <c r="L2252" t="s">
        <v>89</v>
      </c>
      <c r="M2252">
        <v>167</v>
      </c>
      <c r="N2252">
        <v>3</v>
      </c>
      <c r="O2252">
        <v>3304.02</v>
      </c>
      <c r="P2252" s="1">
        <v>45600.338865740741</v>
      </c>
      <c r="Q2252">
        <v>16</v>
      </c>
      <c r="R2252" t="s">
        <v>141</v>
      </c>
      <c r="S2252">
        <v>0.36320461227808998</v>
      </c>
      <c r="T2252" t="b">
        <v>0</v>
      </c>
      <c r="U2252" t="b">
        <v>1</v>
      </c>
      <c r="V2252" t="b">
        <f t="shared" si="70"/>
        <v>1</v>
      </c>
      <c r="W2252">
        <v>1</v>
      </c>
      <c r="Y2252">
        <f t="shared" si="71"/>
        <v>0</v>
      </c>
    </row>
    <row r="2253" spans="1:25" x14ac:dyDescent="0.3">
      <c r="A2253" t="s">
        <v>4180</v>
      </c>
      <c r="B2253" t="s">
        <v>136</v>
      </c>
      <c r="C2253">
        <v>20.059999999999999</v>
      </c>
      <c r="D2253" s="1">
        <v>45035.695451388892</v>
      </c>
      <c r="E2253" t="s">
        <v>25</v>
      </c>
      <c r="F2253" t="s">
        <v>104</v>
      </c>
      <c r="G2253" t="s">
        <v>2045</v>
      </c>
      <c r="H2253" t="s">
        <v>3507</v>
      </c>
      <c r="I2253" t="s">
        <v>123</v>
      </c>
      <c r="J2253" t="s">
        <v>30</v>
      </c>
      <c r="K2253">
        <v>27</v>
      </c>
      <c r="L2253" t="s">
        <v>46</v>
      </c>
      <c r="M2253">
        <v>144</v>
      </c>
      <c r="N2253">
        <v>1</v>
      </c>
      <c r="O2253">
        <v>445.21</v>
      </c>
      <c r="P2253" s="1">
        <v>45600.340289351851</v>
      </c>
      <c r="Q2253">
        <v>16</v>
      </c>
      <c r="R2253" t="s">
        <v>74</v>
      </c>
      <c r="S2253">
        <v>-0.95063315304488505</v>
      </c>
      <c r="T2253" t="b">
        <v>0</v>
      </c>
      <c r="U2253" t="b">
        <v>0</v>
      </c>
      <c r="V2253" t="b">
        <f t="shared" si="70"/>
        <v>1</v>
      </c>
      <c r="W2253">
        <v>0</v>
      </c>
      <c r="Y2253">
        <f t="shared" si="71"/>
        <v>0</v>
      </c>
    </row>
    <row r="2254" spans="1:25" x14ac:dyDescent="0.3">
      <c r="A2254" t="s">
        <v>4181</v>
      </c>
      <c r="B2254" t="s">
        <v>241</v>
      </c>
      <c r="C2254">
        <v>236.57</v>
      </c>
      <c r="D2254" s="1">
        <v>45170.744143518517</v>
      </c>
      <c r="E2254" t="s">
        <v>25</v>
      </c>
      <c r="F2254" t="s">
        <v>298</v>
      </c>
      <c r="G2254" t="s">
        <v>3951</v>
      </c>
      <c r="H2254" t="s">
        <v>270</v>
      </c>
      <c r="I2254" t="s">
        <v>295</v>
      </c>
      <c r="J2254" t="s">
        <v>30</v>
      </c>
      <c r="K2254">
        <v>79</v>
      </c>
      <c r="L2254" t="s">
        <v>82</v>
      </c>
      <c r="M2254">
        <v>112</v>
      </c>
      <c r="N2254">
        <v>1</v>
      </c>
      <c r="O2254">
        <v>3488.77</v>
      </c>
      <c r="P2254" s="1">
        <v>45600.337858796294</v>
      </c>
      <c r="Q2254">
        <v>17</v>
      </c>
      <c r="R2254" t="s">
        <v>54</v>
      </c>
      <c r="S2254">
        <v>-0.209024021543262</v>
      </c>
      <c r="T2254" t="b">
        <v>0</v>
      </c>
      <c r="U2254" t="b">
        <v>0</v>
      </c>
      <c r="V2254" t="b">
        <f t="shared" si="70"/>
        <v>1</v>
      </c>
      <c r="W2254">
        <v>0</v>
      </c>
      <c r="Y2254">
        <f t="shared" si="71"/>
        <v>0</v>
      </c>
    </row>
    <row r="2255" spans="1:25" x14ac:dyDescent="0.3">
      <c r="A2255" t="s">
        <v>4182</v>
      </c>
      <c r="B2255" t="s">
        <v>442</v>
      </c>
      <c r="C2255">
        <v>0.32</v>
      </c>
      <c r="D2255" s="1">
        <v>45142.739305555559</v>
      </c>
      <c r="E2255" t="s">
        <v>25</v>
      </c>
      <c r="F2255" t="s">
        <v>401</v>
      </c>
      <c r="G2255" t="s">
        <v>878</v>
      </c>
      <c r="H2255" t="s">
        <v>270</v>
      </c>
      <c r="I2255" t="s">
        <v>463</v>
      </c>
      <c r="J2255" t="s">
        <v>30</v>
      </c>
      <c r="K2255">
        <v>39</v>
      </c>
      <c r="L2255" t="s">
        <v>89</v>
      </c>
      <c r="M2255">
        <v>136</v>
      </c>
      <c r="N2255">
        <v>1</v>
      </c>
      <c r="O2255">
        <v>7158.58</v>
      </c>
      <c r="P2255" s="1">
        <v>45600.340243055558</v>
      </c>
      <c r="Q2255">
        <v>17</v>
      </c>
      <c r="R2255" t="s">
        <v>54</v>
      </c>
      <c r="S2255">
        <v>-1.0182483405920699</v>
      </c>
      <c r="T2255" t="b">
        <v>0</v>
      </c>
      <c r="U2255" t="b">
        <v>0</v>
      </c>
      <c r="V2255" t="b">
        <f t="shared" si="70"/>
        <v>1</v>
      </c>
      <c r="W2255">
        <v>0</v>
      </c>
      <c r="Y2255">
        <f t="shared" si="71"/>
        <v>0</v>
      </c>
    </row>
    <row r="2256" spans="1:25" x14ac:dyDescent="0.3">
      <c r="A2256" t="s">
        <v>4183</v>
      </c>
      <c r="B2256" t="s">
        <v>119</v>
      </c>
      <c r="C2256">
        <v>14.28</v>
      </c>
      <c r="D2256" s="1">
        <v>45184.710925925923</v>
      </c>
      <c r="E2256" t="s">
        <v>25</v>
      </c>
      <c r="F2256" t="s">
        <v>438</v>
      </c>
      <c r="G2256" t="s">
        <v>2426</v>
      </c>
      <c r="H2256" t="s">
        <v>1427</v>
      </c>
      <c r="I2256" t="s">
        <v>140</v>
      </c>
      <c r="J2256" t="s">
        <v>30</v>
      </c>
      <c r="K2256">
        <v>23</v>
      </c>
      <c r="L2256" t="s">
        <v>46</v>
      </c>
      <c r="M2256">
        <v>81</v>
      </c>
      <c r="N2256">
        <v>1</v>
      </c>
      <c r="O2256">
        <v>1597.51</v>
      </c>
      <c r="P2256" s="1">
        <v>45600.338460648149</v>
      </c>
      <c r="Q2256">
        <v>17</v>
      </c>
      <c r="R2256" t="s">
        <v>54</v>
      </c>
      <c r="S2256">
        <v>-0.97043131839558205</v>
      </c>
      <c r="T2256" t="b">
        <v>0</v>
      </c>
      <c r="U2256" t="b">
        <v>0</v>
      </c>
      <c r="V2256" t="b">
        <f t="shared" si="70"/>
        <v>1</v>
      </c>
      <c r="W2256">
        <v>0</v>
      </c>
      <c r="Y2256">
        <f t="shared" si="71"/>
        <v>0</v>
      </c>
    </row>
    <row r="2257" spans="1:25" x14ac:dyDescent="0.3">
      <c r="A2257" t="s">
        <v>4184</v>
      </c>
      <c r="B2257" t="s">
        <v>649</v>
      </c>
      <c r="C2257">
        <v>232.35</v>
      </c>
      <c r="D2257" s="1">
        <v>45058.67664351852</v>
      </c>
      <c r="E2257" t="s">
        <v>57</v>
      </c>
      <c r="F2257" t="s">
        <v>58</v>
      </c>
      <c r="G2257" t="s">
        <v>2285</v>
      </c>
      <c r="H2257" t="s">
        <v>760</v>
      </c>
      <c r="I2257" t="s">
        <v>134</v>
      </c>
      <c r="J2257" t="s">
        <v>81</v>
      </c>
      <c r="K2257">
        <v>33</v>
      </c>
      <c r="L2257" t="s">
        <v>89</v>
      </c>
      <c r="M2257">
        <v>153</v>
      </c>
      <c r="N2257">
        <v>1</v>
      </c>
      <c r="O2257">
        <v>4186.25</v>
      </c>
      <c r="P2257" s="1">
        <v>45600.339143518519</v>
      </c>
      <c r="Q2257">
        <v>16</v>
      </c>
      <c r="R2257" t="s">
        <v>54</v>
      </c>
      <c r="S2257">
        <v>-0.223478737422145</v>
      </c>
      <c r="T2257" t="b">
        <v>0</v>
      </c>
      <c r="U2257" t="b">
        <v>0</v>
      </c>
      <c r="V2257" t="b">
        <f t="shared" si="70"/>
        <v>1</v>
      </c>
      <c r="W2257">
        <v>0</v>
      </c>
      <c r="Y2257">
        <f t="shared" si="71"/>
        <v>0</v>
      </c>
    </row>
    <row r="2258" spans="1:25" x14ac:dyDescent="0.3">
      <c r="A2258" t="s">
        <v>4185</v>
      </c>
      <c r="B2258" t="s">
        <v>959</v>
      </c>
      <c r="C2258">
        <v>317.52999999999997</v>
      </c>
      <c r="D2258" s="1">
        <v>44981.767754629633</v>
      </c>
      <c r="E2258" t="s">
        <v>25</v>
      </c>
      <c r="F2258" t="s">
        <v>185</v>
      </c>
      <c r="G2258" t="s">
        <v>1762</v>
      </c>
      <c r="H2258" t="s">
        <v>2478</v>
      </c>
      <c r="I2258" t="s">
        <v>285</v>
      </c>
      <c r="J2258" t="s">
        <v>45</v>
      </c>
      <c r="K2258">
        <v>44</v>
      </c>
      <c r="L2258" t="s">
        <v>89</v>
      </c>
      <c r="M2258">
        <v>104</v>
      </c>
      <c r="N2258">
        <v>1</v>
      </c>
      <c r="O2258">
        <v>6237.68</v>
      </c>
      <c r="P2258" s="1">
        <v>45600.337951388887</v>
      </c>
      <c r="Q2258">
        <v>18</v>
      </c>
      <c r="R2258" t="s">
        <v>54</v>
      </c>
      <c r="S2258">
        <v>6.8287304891412104E-2</v>
      </c>
      <c r="T2258" t="b">
        <v>0</v>
      </c>
      <c r="U2258" t="b">
        <v>0</v>
      </c>
      <c r="V2258" t="b">
        <f t="shared" si="70"/>
        <v>1</v>
      </c>
      <c r="W2258">
        <v>0</v>
      </c>
      <c r="Y2258">
        <f t="shared" si="71"/>
        <v>0</v>
      </c>
    </row>
    <row r="2259" spans="1:25" x14ac:dyDescent="0.3">
      <c r="A2259" t="s">
        <v>4186</v>
      </c>
      <c r="B2259" t="s">
        <v>2013</v>
      </c>
      <c r="C2259">
        <v>74.67</v>
      </c>
      <c r="D2259" s="1">
        <v>45061.734398148146</v>
      </c>
      <c r="E2259" t="s">
        <v>25</v>
      </c>
      <c r="F2259" t="s">
        <v>77</v>
      </c>
      <c r="G2259" t="s">
        <v>1664</v>
      </c>
      <c r="H2259" t="s">
        <v>462</v>
      </c>
      <c r="I2259" t="s">
        <v>239</v>
      </c>
      <c r="J2259" t="s">
        <v>30</v>
      </c>
      <c r="K2259">
        <v>43</v>
      </c>
      <c r="L2259" t="s">
        <v>89</v>
      </c>
      <c r="M2259">
        <v>283</v>
      </c>
      <c r="N2259">
        <v>1</v>
      </c>
      <c r="O2259">
        <v>3449.35</v>
      </c>
      <c r="P2259" s="1">
        <v>45600.340983796297</v>
      </c>
      <c r="Q2259">
        <v>17</v>
      </c>
      <c r="R2259" t="s">
        <v>47</v>
      </c>
      <c r="S2259">
        <v>-0.76357816865015204</v>
      </c>
      <c r="T2259" t="b">
        <v>0</v>
      </c>
      <c r="U2259" t="b">
        <v>0</v>
      </c>
      <c r="V2259" t="b">
        <f t="shared" si="70"/>
        <v>1</v>
      </c>
      <c r="W2259">
        <v>0</v>
      </c>
      <c r="Y2259">
        <f t="shared" si="71"/>
        <v>0</v>
      </c>
    </row>
    <row r="2260" spans="1:25" x14ac:dyDescent="0.3">
      <c r="A2260" t="s">
        <v>4187</v>
      </c>
      <c r="B2260" t="s">
        <v>2264</v>
      </c>
      <c r="C2260">
        <v>65.010000000000005</v>
      </c>
      <c r="D2260" s="1">
        <v>45223.727986111109</v>
      </c>
      <c r="E2260" t="s">
        <v>57</v>
      </c>
      <c r="F2260" t="s">
        <v>131</v>
      </c>
      <c r="G2260" t="s">
        <v>1646</v>
      </c>
      <c r="H2260" t="s">
        <v>4105</v>
      </c>
      <c r="I2260" t="s">
        <v>445</v>
      </c>
      <c r="J2260" t="s">
        <v>45</v>
      </c>
      <c r="K2260">
        <v>29</v>
      </c>
      <c r="L2260" t="s">
        <v>31</v>
      </c>
      <c r="M2260">
        <v>67</v>
      </c>
      <c r="N2260">
        <v>1</v>
      </c>
      <c r="O2260">
        <v>10235.19</v>
      </c>
      <c r="P2260" s="1">
        <v>45600.339884259258</v>
      </c>
      <c r="Q2260">
        <v>17</v>
      </c>
      <c r="R2260" t="s">
        <v>32</v>
      </c>
      <c r="S2260">
        <v>-0.79666645191792596</v>
      </c>
      <c r="T2260" t="b">
        <v>0</v>
      </c>
      <c r="U2260" t="b">
        <v>0</v>
      </c>
      <c r="V2260" t="b">
        <f t="shared" si="70"/>
        <v>1</v>
      </c>
      <c r="W2260">
        <v>0</v>
      </c>
      <c r="Y2260">
        <f t="shared" si="71"/>
        <v>0</v>
      </c>
    </row>
    <row r="2261" spans="1:25" x14ac:dyDescent="0.3">
      <c r="A2261" t="s">
        <v>4188</v>
      </c>
      <c r="B2261" t="s">
        <v>2242</v>
      </c>
      <c r="C2261">
        <v>0.45</v>
      </c>
      <c r="D2261" s="1">
        <v>45133.728750000002</v>
      </c>
      <c r="E2261" t="s">
        <v>25</v>
      </c>
      <c r="F2261" t="s">
        <v>304</v>
      </c>
      <c r="G2261" t="s">
        <v>2400</v>
      </c>
      <c r="H2261" t="s">
        <v>2338</v>
      </c>
      <c r="I2261" t="s">
        <v>316</v>
      </c>
      <c r="J2261" t="s">
        <v>81</v>
      </c>
      <c r="K2261">
        <v>34</v>
      </c>
      <c r="L2261" t="s">
        <v>89</v>
      </c>
      <c r="M2261">
        <v>172</v>
      </c>
      <c r="N2261">
        <v>1</v>
      </c>
      <c r="O2261">
        <v>8670.23</v>
      </c>
      <c r="P2261" s="1">
        <v>45600.340381944443</v>
      </c>
      <c r="Q2261">
        <v>17</v>
      </c>
      <c r="R2261" t="s">
        <v>74</v>
      </c>
      <c r="S2261">
        <v>-1.01780305313609</v>
      </c>
      <c r="T2261" t="b">
        <v>0</v>
      </c>
      <c r="U2261" t="b">
        <v>0</v>
      </c>
      <c r="V2261" t="b">
        <f t="shared" si="70"/>
        <v>1</v>
      </c>
      <c r="W2261">
        <v>0</v>
      </c>
      <c r="Y2261">
        <f t="shared" si="71"/>
        <v>0</v>
      </c>
    </row>
    <row r="2262" spans="1:25" x14ac:dyDescent="0.3">
      <c r="A2262" t="s">
        <v>4189</v>
      </c>
      <c r="B2262" t="s">
        <v>164</v>
      </c>
      <c r="C2262">
        <v>364.13</v>
      </c>
      <c r="D2262" s="1">
        <v>44960.67083333333</v>
      </c>
      <c r="E2262" t="s">
        <v>25</v>
      </c>
      <c r="F2262" t="s">
        <v>170</v>
      </c>
      <c r="G2262" t="s">
        <v>3139</v>
      </c>
      <c r="H2262" t="s">
        <v>37</v>
      </c>
      <c r="I2262" t="s">
        <v>285</v>
      </c>
      <c r="J2262" t="s">
        <v>30</v>
      </c>
      <c r="K2262">
        <v>63</v>
      </c>
      <c r="L2262" t="s">
        <v>31</v>
      </c>
      <c r="M2262">
        <v>61</v>
      </c>
      <c r="N2262">
        <v>1</v>
      </c>
      <c r="O2262">
        <v>8198</v>
      </c>
      <c r="P2262" s="1">
        <v>45600.340543981481</v>
      </c>
      <c r="Q2262">
        <v>16</v>
      </c>
      <c r="R2262" t="s">
        <v>54</v>
      </c>
      <c r="S2262">
        <v>0.22790573142125201</v>
      </c>
      <c r="T2262" t="b">
        <v>0</v>
      </c>
      <c r="U2262" t="b">
        <v>0</v>
      </c>
      <c r="V2262" t="b">
        <f t="shared" si="70"/>
        <v>1</v>
      </c>
      <c r="W2262">
        <v>0</v>
      </c>
      <c r="Y2262">
        <f t="shared" si="71"/>
        <v>0</v>
      </c>
    </row>
    <row r="2263" spans="1:25" x14ac:dyDescent="0.3">
      <c r="A2263" t="s">
        <v>4190</v>
      </c>
      <c r="B2263" t="s">
        <v>1815</v>
      </c>
      <c r="C2263">
        <v>340.13</v>
      </c>
      <c r="D2263" s="1">
        <v>44963.724907407406</v>
      </c>
      <c r="E2263" t="s">
        <v>25</v>
      </c>
      <c r="F2263" t="s">
        <v>41</v>
      </c>
      <c r="G2263" t="s">
        <v>941</v>
      </c>
      <c r="H2263" t="s">
        <v>2043</v>
      </c>
      <c r="I2263" t="s">
        <v>188</v>
      </c>
      <c r="J2263" t="s">
        <v>81</v>
      </c>
      <c r="K2263">
        <v>24</v>
      </c>
      <c r="L2263" t="s">
        <v>46</v>
      </c>
      <c r="M2263">
        <v>32</v>
      </c>
      <c r="N2263">
        <v>3</v>
      </c>
      <c r="O2263">
        <v>1149.74</v>
      </c>
      <c r="P2263" s="1">
        <v>45600.341527777775</v>
      </c>
      <c r="Q2263">
        <v>17</v>
      </c>
      <c r="R2263" t="s">
        <v>47</v>
      </c>
      <c r="S2263">
        <v>0.14569881647026101</v>
      </c>
      <c r="T2263" t="b">
        <v>0</v>
      </c>
      <c r="U2263" t="b">
        <v>1</v>
      </c>
      <c r="V2263" t="b">
        <f t="shared" si="70"/>
        <v>1</v>
      </c>
      <c r="W2263">
        <v>1</v>
      </c>
      <c r="Y2263">
        <f t="shared" si="71"/>
        <v>0</v>
      </c>
    </row>
    <row r="2264" spans="1:25" x14ac:dyDescent="0.3">
      <c r="A2264" t="s">
        <v>4191</v>
      </c>
      <c r="B2264" t="s">
        <v>700</v>
      </c>
      <c r="C2264">
        <v>15.81</v>
      </c>
      <c r="D2264" s="1">
        <v>44987.775636574072</v>
      </c>
      <c r="E2264" t="s">
        <v>25</v>
      </c>
      <c r="F2264" t="s">
        <v>64</v>
      </c>
      <c r="G2264" t="s">
        <v>763</v>
      </c>
      <c r="H2264" t="s">
        <v>1776</v>
      </c>
      <c r="I2264" t="s">
        <v>775</v>
      </c>
      <c r="J2264" t="s">
        <v>81</v>
      </c>
      <c r="K2264">
        <v>69</v>
      </c>
      <c r="L2264" t="s">
        <v>31</v>
      </c>
      <c r="M2264">
        <v>11</v>
      </c>
      <c r="N2264">
        <v>4</v>
      </c>
      <c r="O2264">
        <v>8384.85</v>
      </c>
      <c r="P2264" s="1">
        <v>45600.341736111113</v>
      </c>
      <c r="Q2264">
        <v>18</v>
      </c>
      <c r="R2264" t="s">
        <v>141</v>
      </c>
      <c r="S2264">
        <v>-0.96519062756745699</v>
      </c>
      <c r="T2264" t="b">
        <v>0</v>
      </c>
      <c r="U2264" t="b">
        <v>1</v>
      </c>
      <c r="V2264" t="b">
        <f t="shared" si="70"/>
        <v>1</v>
      </c>
      <c r="W2264">
        <v>1</v>
      </c>
      <c r="Y2264">
        <f t="shared" si="71"/>
        <v>0</v>
      </c>
    </row>
    <row r="2265" spans="1:25" x14ac:dyDescent="0.3">
      <c r="A2265" t="s">
        <v>4192</v>
      </c>
      <c r="B2265" t="s">
        <v>1196</v>
      </c>
      <c r="C2265">
        <v>222.66</v>
      </c>
      <c r="D2265" s="1">
        <v>45105.670358796298</v>
      </c>
      <c r="E2265" t="s">
        <v>25</v>
      </c>
      <c r="F2265" t="s">
        <v>85</v>
      </c>
      <c r="G2265" t="s">
        <v>1408</v>
      </c>
      <c r="H2265" t="s">
        <v>207</v>
      </c>
      <c r="I2265" t="s">
        <v>871</v>
      </c>
      <c r="J2265" t="s">
        <v>45</v>
      </c>
      <c r="K2265">
        <v>39</v>
      </c>
      <c r="L2265" t="s">
        <v>31</v>
      </c>
      <c r="M2265">
        <v>88</v>
      </c>
      <c r="N2265">
        <v>1</v>
      </c>
      <c r="O2265">
        <v>14466.38</v>
      </c>
      <c r="P2265" s="1">
        <v>45600.340856481482</v>
      </c>
      <c r="Q2265">
        <v>16</v>
      </c>
      <c r="R2265" t="s">
        <v>74</v>
      </c>
      <c r="S2265">
        <v>-0.25666977933360702</v>
      </c>
      <c r="T2265" t="b">
        <v>0</v>
      </c>
      <c r="U2265" t="b">
        <v>0</v>
      </c>
      <c r="V2265" t="b">
        <f t="shared" si="70"/>
        <v>1</v>
      </c>
      <c r="W2265">
        <v>0</v>
      </c>
      <c r="Y2265">
        <f t="shared" si="71"/>
        <v>0</v>
      </c>
    </row>
    <row r="2266" spans="1:25" x14ac:dyDescent="0.3">
      <c r="A2266" t="s">
        <v>4193</v>
      </c>
      <c r="B2266" t="s">
        <v>1766</v>
      </c>
      <c r="C2266">
        <v>638.24</v>
      </c>
      <c r="D2266" s="1">
        <v>44994.753148148149</v>
      </c>
      <c r="E2266" t="s">
        <v>25</v>
      </c>
      <c r="F2266" t="s">
        <v>438</v>
      </c>
      <c r="G2266" t="s">
        <v>1874</v>
      </c>
      <c r="H2266" t="s">
        <v>1026</v>
      </c>
      <c r="I2266" t="s">
        <v>491</v>
      </c>
      <c r="J2266" t="s">
        <v>81</v>
      </c>
      <c r="K2266">
        <v>48</v>
      </c>
      <c r="L2266" t="s">
        <v>89</v>
      </c>
      <c r="M2266">
        <v>64</v>
      </c>
      <c r="N2266">
        <v>1</v>
      </c>
      <c r="O2266">
        <v>5695.78</v>
      </c>
      <c r="P2266" s="1">
        <v>45600.341539351852</v>
      </c>
      <c r="Q2266">
        <v>18</v>
      </c>
      <c r="R2266" t="s">
        <v>141</v>
      </c>
      <c r="S2266">
        <v>1.1668114588052501</v>
      </c>
      <c r="T2266" t="b">
        <v>0</v>
      </c>
      <c r="U2266" t="b">
        <v>0</v>
      </c>
      <c r="V2266" t="b">
        <f t="shared" si="70"/>
        <v>1</v>
      </c>
      <c r="W2266">
        <v>0</v>
      </c>
      <c r="Y2266">
        <f t="shared" si="71"/>
        <v>0</v>
      </c>
    </row>
    <row r="2267" spans="1:25" x14ac:dyDescent="0.3">
      <c r="A2267" t="s">
        <v>4194</v>
      </c>
      <c r="B2267" t="s">
        <v>2720</v>
      </c>
      <c r="C2267">
        <v>241.21</v>
      </c>
      <c r="D2267" s="1">
        <v>45194.692407407405</v>
      </c>
      <c r="E2267" t="s">
        <v>25</v>
      </c>
      <c r="F2267" t="s">
        <v>309</v>
      </c>
      <c r="G2267" t="s">
        <v>1561</v>
      </c>
      <c r="H2267" t="s">
        <v>1334</v>
      </c>
      <c r="I2267" t="s">
        <v>993</v>
      </c>
      <c r="J2267" t="s">
        <v>30</v>
      </c>
      <c r="K2267">
        <v>31</v>
      </c>
      <c r="L2267" t="s">
        <v>89</v>
      </c>
      <c r="M2267">
        <v>108</v>
      </c>
      <c r="N2267">
        <v>1</v>
      </c>
      <c r="O2267">
        <v>1220.8599999999999</v>
      </c>
      <c r="P2267" s="1">
        <v>45600.339768518519</v>
      </c>
      <c r="Q2267">
        <v>16</v>
      </c>
      <c r="R2267" t="s">
        <v>47</v>
      </c>
      <c r="S2267">
        <v>-0.193130684652737</v>
      </c>
      <c r="T2267" t="b">
        <v>0</v>
      </c>
      <c r="U2267" t="b">
        <v>0</v>
      </c>
      <c r="V2267" t="b">
        <f t="shared" si="70"/>
        <v>1</v>
      </c>
      <c r="W2267">
        <v>0</v>
      </c>
      <c r="Y2267">
        <f t="shared" si="71"/>
        <v>0</v>
      </c>
    </row>
    <row r="2268" spans="1:25" x14ac:dyDescent="0.3">
      <c r="A2268" t="s">
        <v>4195</v>
      </c>
      <c r="B2268" t="s">
        <v>790</v>
      </c>
      <c r="C2268">
        <v>171.16</v>
      </c>
      <c r="D2268" s="1">
        <v>45197.689675925925</v>
      </c>
      <c r="E2268" t="s">
        <v>25</v>
      </c>
      <c r="F2268" t="s">
        <v>216</v>
      </c>
      <c r="G2268" t="s">
        <v>4196</v>
      </c>
      <c r="H2268" t="s">
        <v>841</v>
      </c>
      <c r="I2268" t="s">
        <v>720</v>
      </c>
      <c r="J2268" t="s">
        <v>45</v>
      </c>
      <c r="K2268">
        <v>51</v>
      </c>
      <c r="L2268" t="s">
        <v>82</v>
      </c>
      <c r="M2268">
        <v>42</v>
      </c>
      <c r="N2268">
        <v>1</v>
      </c>
      <c r="O2268">
        <v>6126.5</v>
      </c>
      <c r="P2268" s="1">
        <v>45600.340995370374</v>
      </c>
      <c r="Q2268">
        <v>16</v>
      </c>
      <c r="R2268" t="s">
        <v>141</v>
      </c>
      <c r="S2268">
        <v>-0.433072117665941</v>
      </c>
      <c r="T2268" t="b">
        <v>0</v>
      </c>
      <c r="U2268" t="b">
        <v>0</v>
      </c>
      <c r="V2268" t="b">
        <f t="shared" si="70"/>
        <v>1</v>
      </c>
      <c r="W2268">
        <v>0</v>
      </c>
      <c r="Y2268">
        <f t="shared" si="71"/>
        <v>0</v>
      </c>
    </row>
    <row r="2269" spans="1:25" x14ac:dyDescent="0.3">
      <c r="A2269" t="s">
        <v>4197</v>
      </c>
      <c r="B2269" t="s">
        <v>1995</v>
      </c>
      <c r="C2269">
        <v>1360.67</v>
      </c>
      <c r="D2269" s="1">
        <v>45035.693530092591</v>
      </c>
      <c r="E2269" t="s">
        <v>25</v>
      </c>
      <c r="F2269" t="s">
        <v>50</v>
      </c>
      <c r="G2269" t="s">
        <v>2883</v>
      </c>
      <c r="H2269" t="s">
        <v>1117</v>
      </c>
      <c r="I2269" t="s">
        <v>199</v>
      </c>
      <c r="J2269" t="s">
        <v>81</v>
      </c>
      <c r="K2269">
        <v>29</v>
      </c>
      <c r="L2269" t="s">
        <v>89</v>
      </c>
      <c r="M2269">
        <v>118</v>
      </c>
      <c r="N2269">
        <v>1</v>
      </c>
      <c r="O2269">
        <v>2861.65</v>
      </c>
      <c r="P2269" s="1">
        <v>45600.337812500002</v>
      </c>
      <c r="Q2269">
        <v>16</v>
      </c>
      <c r="R2269" t="s">
        <v>74</v>
      </c>
      <c r="S2269">
        <v>3.64134235747375</v>
      </c>
      <c r="T2269" t="b">
        <v>1</v>
      </c>
      <c r="U2269" t="b">
        <v>0</v>
      </c>
      <c r="V2269" t="b">
        <f t="shared" si="70"/>
        <v>1</v>
      </c>
      <c r="W2269">
        <v>1</v>
      </c>
      <c r="Y2269">
        <f t="shared" si="71"/>
        <v>1</v>
      </c>
    </row>
    <row r="2270" spans="1:25" x14ac:dyDescent="0.3">
      <c r="A2270" t="s">
        <v>4198</v>
      </c>
      <c r="B2270" t="s">
        <v>2013</v>
      </c>
      <c r="C2270">
        <v>37.65</v>
      </c>
      <c r="D2270" s="1">
        <v>45194.728483796294</v>
      </c>
      <c r="E2270" t="s">
        <v>57</v>
      </c>
      <c r="F2270" t="s">
        <v>236</v>
      </c>
      <c r="G2270" t="s">
        <v>2561</v>
      </c>
      <c r="H2270" t="s">
        <v>2648</v>
      </c>
      <c r="I2270" t="s">
        <v>632</v>
      </c>
      <c r="J2270" t="s">
        <v>45</v>
      </c>
      <c r="K2270">
        <v>27</v>
      </c>
      <c r="L2270" t="s">
        <v>46</v>
      </c>
      <c r="M2270">
        <v>109</v>
      </c>
      <c r="N2270">
        <v>1</v>
      </c>
      <c r="O2270">
        <v>411.78</v>
      </c>
      <c r="P2270" s="1">
        <v>45600.340995370374</v>
      </c>
      <c r="Q2270">
        <v>17</v>
      </c>
      <c r="R2270" t="s">
        <v>47</v>
      </c>
      <c r="S2270">
        <v>-0.89038233496205499</v>
      </c>
      <c r="T2270" t="b">
        <v>0</v>
      </c>
      <c r="U2270" t="b">
        <v>0</v>
      </c>
      <c r="V2270" t="b">
        <f t="shared" si="70"/>
        <v>1</v>
      </c>
      <c r="W2270">
        <v>0</v>
      </c>
      <c r="Y2270">
        <f t="shared" si="71"/>
        <v>0</v>
      </c>
    </row>
    <row r="2271" spans="1:25" x14ac:dyDescent="0.3">
      <c r="A2271" t="s">
        <v>4199</v>
      </c>
      <c r="B2271" t="s">
        <v>3569</v>
      </c>
      <c r="C2271">
        <v>25.77</v>
      </c>
      <c r="D2271" s="1">
        <v>45201.689247685186</v>
      </c>
      <c r="E2271" t="s">
        <v>25</v>
      </c>
      <c r="F2271" t="s">
        <v>104</v>
      </c>
      <c r="G2271" t="s">
        <v>461</v>
      </c>
      <c r="H2271" t="s">
        <v>985</v>
      </c>
      <c r="I2271" t="s">
        <v>67</v>
      </c>
      <c r="J2271" t="s">
        <v>45</v>
      </c>
      <c r="K2271">
        <v>68</v>
      </c>
      <c r="L2271" t="s">
        <v>82</v>
      </c>
      <c r="M2271">
        <v>18</v>
      </c>
      <c r="N2271">
        <v>1</v>
      </c>
      <c r="O2271">
        <v>4331.54</v>
      </c>
      <c r="P2271" s="1">
        <v>45600.337962962964</v>
      </c>
      <c r="Q2271">
        <v>16</v>
      </c>
      <c r="R2271" t="s">
        <v>47</v>
      </c>
      <c r="S2271">
        <v>-0.93107475786279603</v>
      </c>
      <c r="T2271" t="b">
        <v>0</v>
      </c>
      <c r="U2271" t="b">
        <v>0</v>
      </c>
      <c r="V2271" t="b">
        <f t="shared" si="70"/>
        <v>1</v>
      </c>
      <c r="W2271">
        <v>0</v>
      </c>
      <c r="Y2271">
        <f t="shared" si="71"/>
        <v>0</v>
      </c>
    </row>
    <row r="2272" spans="1:25" x14ac:dyDescent="0.3">
      <c r="A2272" t="s">
        <v>4200</v>
      </c>
      <c r="B2272" t="s">
        <v>563</v>
      </c>
      <c r="C2272">
        <v>789.8</v>
      </c>
      <c r="D2272" s="1">
        <v>45117.669895833336</v>
      </c>
      <c r="E2272" t="s">
        <v>25</v>
      </c>
      <c r="F2272" t="s">
        <v>405</v>
      </c>
      <c r="G2272" t="s">
        <v>1521</v>
      </c>
      <c r="H2272" t="s">
        <v>3067</v>
      </c>
      <c r="I2272" t="s">
        <v>871</v>
      </c>
      <c r="J2272" t="s">
        <v>30</v>
      </c>
      <c r="K2272">
        <v>40</v>
      </c>
      <c r="L2272" t="s">
        <v>31</v>
      </c>
      <c r="M2272">
        <v>94</v>
      </c>
      <c r="N2272">
        <v>1</v>
      </c>
      <c r="O2272">
        <v>13948.09</v>
      </c>
      <c r="P2272" s="1">
        <v>45600.338564814818</v>
      </c>
      <c r="Q2272">
        <v>16</v>
      </c>
      <c r="R2272" t="s">
        <v>47</v>
      </c>
      <c r="S2272">
        <v>1.6859481267207499</v>
      </c>
      <c r="T2272" t="b">
        <v>0</v>
      </c>
      <c r="U2272" t="b">
        <v>0</v>
      </c>
      <c r="V2272" t="b">
        <f t="shared" si="70"/>
        <v>1</v>
      </c>
      <c r="W2272">
        <v>0</v>
      </c>
      <c r="Y2272">
        <f t="shared" si="71"/>
        <v>0</v>
      </c>
    </row>
    <row r="2273" spans="1:25" x14ac:dyDescent="0.3">
      <c r="A2273" t="s">
        <v>4201</v>
      </c>
      <c r="B2273" t="s">
        <v>594</v>
      </c>
      <c r="C2273">
        <v>308.85000000000002</v>
      </c>
      <c r="D2273" s="1">
        <v>45259.752615740741</v>
      </c>
      <c r="E2273" t="s">
        <v>57</v>
      </c>
      <c r="F2273" t="s">
        <v>153</v>
      </c>
      <c r="G2273" t="s">
        <v>4202</v>
      </c>
      <c r="H2273" t="s">
        <v>2540</v>
      </c>
      <c r="I2273" t="s">
        <v>107</v>
      </c>
      <c r="J2273" t="s">
        <v>81</v>
      </c>
      <c r="K2273">
        <v>20</v>
      </c>
      <c r="L2273" t="s">
        <v>46</v>
      </c>
      <c r="M2273">
        <v>33</v>
      </c>
      <c r="N2273">
        <v>2</v>
      </c>
      <c r="O2273">
        <v>333.19</v>
      </c>
      <c r="P2273" s="1">
        <v>45600.339062500003</v>
      </c>
      <c r="Q2273">
        <v>18</v>
      </c>
      <c r="R2273" t="s">
        <v>74</v>
      </c>
      <c r="S2273">
        <v>3.8555803984137299E-2</v>
      </c>
      <c r="T2273" t="b">
        <v>0</v>
      </c>
      <c r="U2273" t="b">
        <v>1</v>
      </c>
      <c r="V2273" t="b">
        <f t="shared" si="70"/>
        <v>1</v>
      </c>
      <c r="W2273">
        <v>1</v>
      </c>
      <c r="Y2273">
        <f t="shared" si="71"/>
        <v>0</v>
      </c>
    </row>
    <row r="2274" spans="1:25" x14ac:dyDescent="0.3">
      <c r="A2274" t="s">
        <v>4203</v>
      </c>
      <c r="B2274" t="s">
        <v>777</v>
      </c>
      <c r="C2274">
        <v>1454.52</v>
      </c>
      <c r="D2274" s="1">
        <v>45191.675763888888</v>
      </c>
      <c r="E2274" t="s">
        <v>25</v>
      </c>
      <c r="F2274" t="s">
        <v>185</v>
      </c>
      <c r="G2274" t="s">
        <v>310</v>
      </c>
      <c r="H2274" t="s">
        <v>920</v>
      </c>
      <c r="I2274" t="s">
        <v>782</v>
      </c>
      <c r="J2274" t="s">
        <v>30</v>
      </c>
      <c r="K2274">
        <v>27</v>
      </c>
      <c r="L2274" t="s">
        <v>46</v>
      </c>
      <c r="M2274">
        <v>20</v>
      </c>
      <c r="N2274">
        <v>1</v>
      </c>
      <c r="O2274">
        <v>1189.03</v>
      </c>
      <c r="P2274" s="1">
        <v>45600.338402777779</v>
      </c>
      <c r="Q2274">
        <v>16</v>
      </c>
      <c r="R2274" t="s">
        <v>54</v>
      </c>
      <c r="S2274">
        <v>3.96280564781335</v>
      </c>
      <c r="T2274" t="b">
        <v>1</v>
      </c>
      <c r="U2274" t="b">
        <v>0</v>
      </c>
      <c r="V2274" t="b">
        <f t="shared" si="70"/>
        <v>1</v>
      </c>
      <c r="W2274">
        <v>1</v>
      </c>
      <c r="Y2274">
        <f t="shared" si="71"/>
        <v>1</v>
      </c>
    </row>
    <row r="2275" spans="1:25" x14ac:dyDescent="0.3">
      <c r="A2275" t="s">
        <v>4204</v>
      </c>
      <c r="B2275" t="s">
        <v>1530</v>
      </c>
      <c r="C2275">
        <v>806.97</v>
      </c>
      <c r="D2275" s="1">
        <v>44992.741724537038</v>
      </c>
      <c r="E2275" t="s">
        <v>25</v>
      </c>
      <c r="F2275" t="s">
        <v>70</v>
      </c>
      <c r="G2275" t="s">
        <v>3373</v>
      </c>
      <c r="H2275" t="s">
        <v>2057</v>
      </c>
      <c r="I2275" t="s">
        <v>178</v>
      </c>
      <c r="J2275" t="s">
        <v>45</v>
      </c>
      <c r="K2275">
        <v>25</v>
      </c>
      <c r="L2275" t="s">
        <v>46</v>
      </c>
      <c r="M2275">
        <v>11</v>
      </c>
      <c r="N2275">
        <v>1</v>
      </c>
      <c r="O2275">
        <v>102.2</v>
      </c>
      <c r="P2275" s="1">
        <v>45600.339502314811</v>
      </c>
      <c r="Q2275">
        <v>17</v>
      </c>
      <c r="R2275" t="s">
        <v>32</v>
      </c>
      <c r="S2275">
        <v>1.74476032379194</v>
      </c>
      <c r="T2275" t="b">
        <v>0</v>
      </c>
      <c r="U2275" t="b">
        <v>0</v>
      </c>
      <c r="V2275" t="b">
        <f t="shared" si="70"/>
        <v>1</v>
      </c>
      <c r="W2275">
        <v>0</v>
      </c>
      <c r="Y2275">
        <f t="shared" si="71"/>
        <v>0</v>
      </c>
    </row>
    <row r="2276" spans="1:25" x14ac:dyDescent="0.3">
      <c r="A2276" t="s">
        <v>4205</v>
      </c>
      <c r="B2276" t="s">
        <v>1520</v>
      </c>
      <c r="C2276">
        <v>364.81</v>
      </c>
      <c r="D2276" s="1">
        <v>45103.731944444444</v>
      </c>
      <c r="E2276" t="s">
        <v>25</v>
      </c>
      <c r="F2276" t="s">
        <v>262</v>
      </c>
      <c r="G2276" t="s">
        <v>1588</v>
      </c>
      <c r="H2276" t="s">
        <v>1718</v>
      </c>
      <c r="I2276" t="s">
        <v>1575</v>
      </c>
      <c r="J2276" t="s">
        <v>45</v>
      </c>
      <c r="K2276">
        <v>25</v>
      </c>
      <c r="L2276" t="s">
        <v>46</v>
      </c>
      <c r="M2276">
        <v>53</v>
      </c>
      <c r="N2276">
        <v>1</v>
      </c>
      <c r="O2276">
        <v>1145.23</v>
      </c>
      <c r="P2276" s="1">
        <v>45600.338414351849</v>
      </c>
      <c r="Q2276">
        <v>17</v>
      </c>
      <c r="R2276" t="s">
        <v>47</v>
      </c>
      <c r="S2276">
        <v>0.23023492734486301</v>
      </c>
      <c r="T2276" t="b">
        <v>0</v>
      </c>
      <c r="U2276" t="b">
        <v>0</v>
      </c>
      <c r="V2276" t="b">
        <f t="shared" si="70"/>
        <v>1</v>
      </c>
      <c r="W2276">
        <v>0</v>
      </c>
      <c r="Y2276">
        <f t="shared" si="71"/>
        <v>0</v>
      </c>
    </row>
    <row r="2277" spans="1:25" x14ac:dyDescent="0.3">
      <c r="A2277" t="s">
        <v>4206</v>
      </c>
      <c r="B2277" t="s">
        <v>205</v>
      </c>
      <c r="C2277">
        <v>490.82</v>
      </c>
      <c r="D2277" s="1">
        <v>45078.753182870372</v>
      </c>
      <c r="E2277" t="s">
        <v>25</v>
      </c>
      <c r="F2277" t="s">
        <v>304</v>
      </c>
      <c r="G2277" t="s">
        <v>1466</v>
      </c>
      <c r="H2277" t="s">
        <v>3082</v>
      </c>
      <c r="I2277" t="s">
        <v>188</v>
      </c>
      <c r="J2277" t="s">
        <v>30</v>
      </c>
      <c r="K2277">
        <v>26</v>
      </c>
      <c r="L2277" t="s">
        <v>89</v>
      </c>
      <c r="M2277">
        <v>114</v>
      </c>
      <c r="N2277">
        <v>1</v>
      </c>
      <c r="O2277">
        <v>8704.27</v>
      </c>
      <c r="P2277" s="1">
        <v>45600.340057870373</v>
      </c>
      <c r="Q2277">
        <v>18</v>
      </c>
      <c r="R2277" t="s">
        <v>141</v>
      </c>
      <c r="S2277">
        <v>0.66185548371879299</v>
      </c>
      <c r="T2277" t="b">
        <v>0</v>
      </c>
      <c r="U2277" t="b">
        <v>0</v>
      </c>
      <c r="V2277" t="b">
        <f t="shared" si="70"/>
        <v>1</v>
      </c>
      <c r="W2277">
        <v>0</v>
      </c>
      <c r="Y2277">
        <f t="shared" si="71"/>
        <v>0</v>
      </c>
    </row>
    <row r="2278" spans="1:25" x14ac:dyDescent="0.3">
      <c r="A2278" t="s">
        <v>4207</v>
      </c>
      <c r="B2278" t="s">
        <v>1150</v>
      </c>
      <c r="C2278">
        <v>1021.38</v>
      </c>
      <c r="D2278" s="1">
        <v>44953.79146990741</v>
      </c>
      <c r="E2278" t="s">
        <v>25</v>
      </c>
      <c r="F2278" t="s">
        <v>85</v>
      </c>
      <c r="G2278" t="s">
        <v>583</v>
      </c>
      <c r="H2278" t="s">
        <v>506</v>
      </c>
      <c r="I2278" t="s">
        <v>772</v>
      </c>
      <c r="J2278" t="s">
        <v>81</v>
      </c>
      <c r="K2278">
        <v>61</v>
      </c>
      <c r="L2278" t="s">
        <v>31</v>
      </c>
      <c r="M2278">
        <v>125</v>
      </c>
      <c r="N2278">
        <v>1</v>
      </c>
      <c r="O2278">
        <v>6223.26</v>
      </c>
      <c r="P2278" s="1">
        <v>45600.339421296296</v>
      </c>
      <c r="Q2278">
        <v>18</v>
      </c>
      <c r="R2278" t="s">
        <v>54</v>
      </c>
      <c r="S2278">
        <v>2.4791763502353499</v>
      </c>
      <c r="T2278" t="b">
        <v>1</v>
      </c>
      <c r="U2278" t="b">
        <v>0</v>
      </c>
      <c r="V2278" t="b">
        <f t="shared" si="70"/>
        <v>1</v>
      </c>
      <c r="W2278">
        <v>1</v>
      </c>
      <c r="Y2278">
        <f t="shared" si="71"/>
        <v>1</v>
      </c>
    </row>
    <row r="2279" spans="1:25" x14ac:dyDescent="0.3">
      <c r="A2279" t="s">
        <v>4208</v>
      </c>
      <c r="B2279" t="s">
        <v>654</v>
      </c>
      <c r="C2279">
        <v>311.27999999999997</v>
      </c>
      <c r="D2279" s="1">
        <v>45068.695277777777</v>
      </c>
      <c r="E2279" t="s">
        <v>25</v>
      </c>
      <c r="F2279" t="s">
        <v>58</v>
      </c>
      <c r="G2279" t="s">
        <v>2325</v>
      </c>
      <c r="H2279" t="s">
        <v>950</v>
      </c>
      <c r="I2279" t="s">
        <v>427</v>
      </c>
      <c r="J2279" t="s">
        <v>81</v>
      </c>
      <c r="K2279">
        <v>49</v>
      </c>
      <c r="L2279" t="s">
        <v>31</v>
      </c>
      <c r="M2279">
        <v>198</v>
      </c>
      <c r="N2279">
        <v>1</v>
      </c>
      <c r="O2279">
        <v>135.96</v>
      </c>
      <c r="P2279" s="1">
        <v>45600.339733796296</v>
      </c>
      <c r="Q2279">
        <v>16</v>
      </c>
      <c r="R2279" t="s">
        <v>47</v>
      </c>
      <c r="S2279">
        <v>4.6879254122924902E-2</v>
      </c>
      <c r="T2279" t="b">
        <v>0</v>
      </c>
      <c r="U2279" t="b">
        <v>0</v>
      </c>
      <c r="V2279" t="b">
        <f t="shared" si="70"/>
        <v>1</v>
      </c>
      <c r="W2279">
        <v>0</v>
      </c>
      <c r="Y2279">
        <f t="shared" si="71"/>
        <v>0</v>
      </c>
    </row>
    <row r="2280" spans="1:25" x14ac:dyDescent="0.3">
      <c r="A2280" t="s">
        <v>4209</v>
      </c>
      <c r="B2280" t="s">
        <v>3228</v>
      </c>
      <c r="C2280">
        <v>85.03</v>
      </c>
      <c r="D2280" s="1">
        <v>45026.703368055554</v>
      </c>
      <c r="E2280" t="s">
        <v>25</v>
      </c>
      <c r="F2280" t="s">
        <v>26</v>
      </c>
      <c r="G2280" t="s">
        <v>693</v>
      </c>
      <c r="H2280" t="s">
        <v>2153</v>
      </c>
      <c r="I2280" t="s">
        <v>80</v>
      </c>
      <c r="J2280" t="s">
        <v>30</v>
      </c>
      <c r="K2280">
        <v>51</v>
      </c>
      <c r="L2280" t="s">
        <v>82</v>
      </c>
      <c r="M2280">
        <v>48</v>
      </c>
      <c r="N2280">
        <v>1</v>
      </c>
      <c r="O2280">
        <v>4597.57</v>
      </c>
      <c r="P2280" s="1">
        <v>45600.338182870371</v>
      </c>
      <c r="Q2280">
        <v>16</v>
      </c>
      <c r="R2280" t="s">
        <v>47</v>
      </c>
      <c r="S2280">
        <v>-0.72809218369630802</v>
      </c>
      <c r="T2280" t="b">
        <v>0</v>
      </c>
      <c r="U2280" t="b">
        <v>0</v>
      </c>
      <c r="V2280" t="b">
        <f t="shared" si="70"/>
        <v>1</v>
      </c>
      <c r="W2280">
        <v>0</v>
      </c>
      <c r="Y2280">
        <f t="shared" si="71"/>
        <v>0</v>
      </c>
    </row>
    <row r="2281" spans="1:25" x14ac:dyDescent="0.3">
      <c r="A2281" t="s">
        <v>4210</v>
      </c>
      <c r="B2281" t="s">
        <v>1783</v>
      </c>
      <c r="C2281">
        <v>307.75</v>
      </c>
      <c r="D2281" s="1">
        <v>45028.746377314812</v>
      </c>
      <c r="E2281" t="s">
        <v>25</v>
      </c>
      <c r="F2281" t="s">
        <v>85</v>
      </c>
      <c r="G2281" t="s">
        <v>2797</v>
      </c>
      <c r="H2281" t="s">
        <v>2380</v>
      </c>
      <c r="I2281" t="s">
        <v>687</v>
      </c>
      <c r="J2281" t="s">
        <v>81</v>
      </c>
      <c r="K2281">
        <v>64</v>
      </c>
      <c r="L2281" t="s">
        <v>31</v>
      </c>
      <c r="M2281">
        <v>63</v>
      </c>
      <c r="N2281">
        <v>1</v>
      </c>
      <c r="O2281">
        <v>1061.58</v>
      </c>
      <c r="P2281" s="1">
        <v>45600.340312499997</v>
      </c>
      <c r="Q2281">
        <v>17</v>
      </c>
      <c r="R2281" t="s">
        <v>74</v>
      </c>
      <c r="S2281">
        <v>3.4787987048883501E-2</v>
      </c>
      <c r="T2281" t="b">
        <v>0</v>
      </c>
      <c r="U2281" t="b">
        <v>0</v>
      </c>
      <c r="V2281" t="b">
        <f t="shared" si="70"/>
        <v>1</v>
      </c>
      <c r="W2281">
        <v>0</v>
      </c>
      <c r="Y2281">
        <f t="shared" si="71"/>
        <v>0</v>
      </c>
    </row>
    <row r="2282" spans="1:25" x14ac:dyDescent="0.3">
      <c r="A2282" t="s">
        <v>4211</v>
      </c>
      <c r="B2282" t="s">
        <v>2131</v>
      </c>
      <c r="C2282">
        <v>333.67</v>
      </c>
      <c r="D2282" s="1">
        <v>45113.756319444445</v>
      </c>
      <c r="E2282" t="s">
        <v>25</v>
      </c>
      <c r="F2282" t="s">
        <v>170</v>
      </c>
      <c r="G2282" t="s">
        <v>2139</v>
      </c>
      <c r="H2282" t="s">
        <v>3622</v>
      </c>
      <c r="I2282" t="s">
        <v>993</v>
      </c>
      <c r="J2282" t="s">
        <v>45</v>
      </c>
      <c r="K2282">
        <v>36</v>
      </c>
      <c r="L2282" t="s">
        <v>89</v>
      </c>
      <c r="M2282">
        <v>68</v>
      </c>
      <c r="N2282">
        <v>1</v>
      </c>
      <c r="O2282">
        <v>9238.08</v>
      </c>
      <c r="P2282" s="1">
        <v>45600.339398148149</v>
      </c>
      <c r="Q2282">
        <v>18</v>
      </c>
      <c r="R2282" t="s">
        <v>141</v>
      </c>
      <c r="S2282">
        <v>0.123571455195953</v>
      </c>
      <c r="T2282" t="b">
        <v>0</v>
      </c>
      <c r="U2282" t="b">
        <v>0</v>
      </c>
      <c r="V2282" t="b">
        <f t="shared" si="70"/>
        <v>1</v>
      </c>
      <c r="W2282">
        <v>0</v>
      </c>
      <c r="Y2282">
        <f t="shared" si="71"/>
        <v>0</v>
      </c>
    </row>
    <row r="2283" spans="1:25" x14ac:dyDescent="0.3">
      <c r="A2283" t="s">
        <v>4212</v>
      </c>
      <c r="B2283" t="s">
        <v>814</v>
      </c>
      <c r="C2283">
        <v>589.89</v>
      </c>
      <c r="D2283" s="1">
        <v>45219.687314814815</v>
      </c>
      <c r="E2283" t="s">
        <v>25</v>
      </c>
      <c r="F2283" t="s">
        <v>405</v>
      </c>
      <c r="G2283" t="s">
        <v>4213</v>
      </c>
      <c r="H2283" t="s">
        <v>2490</v>
      </c>
      <c r="I2283" t="s">
        <v>178</v>
      </c>
      <c r="J2283" t="s">
        <v>81</v>
      </c>
      <c r="K2283">
        <v>56</v>
      </c>
      <c r="L2283" t="s">
        <v>89</v>
      </c>
      <c r="M2283">
        <v>213</v>
      </c>
      <c r="N2283">
        <v>3</v>
      </c>
      <c r="O2283">
        <v>9404.6299999999992</v>
      </c>
      <c r="P2283" s="1">
        <v>45600.34170138889</v>
      </c>
      <c r="Q2283">
        <v>16</v>
      </c>
      <c r="R2283" t="s">
        <v>54</v>
      </c>
      <c r="S2283">
        <v>1.0011987780602301</v>
      </c>
      <c r="T2283" t="b">
        <v>0</v>
      </c>
      <c r="U2283" t="b">
        <v>1</v>
      </c>
      <c r="V2283" t="b">
        <f t="shared" si="70"/>
        <v>1</v>
      </c>
      <c r="W2283">
        <v>1</v>
      </c>
      <c r="Y2283">
        <f t="shared" si="71"/>
        <v>0</v>
      </c>
    </row>
    <row r="2284" spans="1:25" x14ac:dyDescent="0.3">
      <c r="A2284" t="s">
        <v>4214</v>
      </c>
      <c r="B2284" t="s">
        <v>2714</v>
      </c>
      <c r="C2284">
        <v>372.08</v>
      </c>
      <c r="D2284" s="1">
        <v>44991.692627314813</v>
      </c>
      <c r="E2284" t="s">
        <v>25</v>
      </c>
      <c r="F2284" t="s">
        <v>35</v>
      </c>
      <c r="G2284" t="s">
        <v>1095</v>
      </c>
      <c r="H2284" t="s">
        <v>4215</v>
      </c>
      <c r="I2284" t="s">
        <v>431</v>
      </c>
      <c r="J2284" t="s">
        <v>81</v>
      </c>
      <c r="K2284">
        <v>66</v>
      </c>
      <c r="L2284" t="s">
        <v>31</v>
      </c>
      <c r="M2284">
        <v>63</v>
      </c>
      <c r="N2284">
        <v>1</v>
      </c>
      <c r="O2284">
        <v>13330.74</v>
      </c>
      <c r="P2284" s="1">
        <v>45600.341840277775</v>
      </c>
      <c r="Q2284">
        <v>16</v>
      </c>
      <c r="R2284" t="s">
        <v>47</v>
      </c>
      <c r="S2284">
        <v>0.255136771998767</v>
      </c>
      <c r="T2284" t="b">
        <v>0</v>
      </c>
      <c r="U2284" t="b">
        <v>0</v>
      </c>
      <c r="V2284" t="b">
        <f t="shared" si="70"/>
        <v>1</v>
      </c>
      <c r="W2284">
        <v>0</v>
      </c>
      <c r="Y2284">
        <f t="shared" si="71"/>
        <v>0</v>
      </c>
    </row>
    <row r="2285" spans="1:25" x14ac:dyDescent="0.3">
      <c r="A2285" t="s">
        <v>4216</v>
      </c>
      <c r="B2285" t="s">
        <v>465</v>
      </c>
      <c r="C2285">
        <v>502.9</v>
      </c>
      <c r="D2285" s="1">
        <v>45187.717731481483</v>
      </c>
      <c r="E2285" t="s">
        <v>57</v>
      </c>
      <c r="F2285" t="s">
        <v>571</v>
      </c>
      <c r="G2285" t="s">
        <v>2155</v>
      </c>
      <c r="H2285" t="s">
        <v>2163</v>
      </c>
      <c r="I2285" t="s">
        <v>366</v>
      </c>
      <c r="J2285" t="s">
        <v>45</v>
      </c>
      <c r="K2285">
        <v>26</v>
      </c>
      <c r="L2285" t="s">
        <v>46</v>
      </c>
      <c r="M2285">
        <v>141</v>
      </c>
      <c r="N2285">
        <v>1</v>
      </c>
      <c r="O2285">
        <v>341.24</v>
      </c>
      <c r="P2285" s="1">
        <v>45600.33935185185</v>
      </c>
      <c r="Q2285">
        <v>17</v>
      </c>
      <c r="R2285" t="s">
        <v>47</v>
      </c>
      <c r="S2285">
        <v>0.70323296424412496</v>
      </c>
      <c r="T2285" t="b">
        <v>0</v>
      </c>
      <c r="U2285" t="b">
        <v>0</v>
      </c>
      <c r="V2285" t="b">
        <f t="shared" si="70"/>
        <v>1</v>
      </c>
      <c r="W2285">
        <v>0</v>
      </c>
      <c r="Y2285">
        <f t="shared" si="71"/>
        <v>0</v>
      </c>
    </row>
    <row r="2286" spans="1:25" x14ac:dyDescent="0.3">
      <c r="A2286" t="s">
        <v>4217</v>
      </c>
      <c r="B2286" t="s">
        <v>1716</v>
      </c>
      <c r="C2286">
        <v>103.81</v>
      </c>
      <c r="D2286" s="1">
        <v>45196.694189814814</v>
      </c>
      <c r="E2286" t="s">
        <v>25</v>
      </c>
      <c r="F2286" t="s">
        <v>64</v>
      </c>
      <c r="G2286" t="s">
        <v>1315</v>
      </c>
      <c r="H2286" t="s">
        <v>2548</v>
      </c>
      <c r="I2286" t="s">
        <v>647</v>
      </c>
      <c r="J2286" t="s">
        <v>30</v>
      </c>
      <c r="K2286">
        <v>36</v>
      </c>
      <c r="L2286" t="s">
        <v>31</v>
      </c>
      <c r="M2286">
        <v>34</v>
      </c>
      <c r="N2286">
        <v>1</v>
      </c>
      <c r="O2286">
        <v>7044.63</v>
      </c>
      <c r="P2286" s="1">
        <v>45600.341597222221</v>
      </c>
      <c r="Q2286">
        <v>16</v>
      </c>
      <c r="R2286" t="s">
        <v>74</v>
      </c>
      <c r="S2286">
        <v>-0.66376527274715802</v>
      </c>
      <c r="T2286" t="b">
        <v>0</v>
      </c>
      <c r="U2286" t="b">
        <v>0</v>
      </c>
      <c r="V2286" t="b">
        <f t="shared" si="70"/>
        <v>1</v>
      </c>
      <c r="W2286">
        <v>0</v>
      </c>
      <c r="Y2286">
        <f t="shared" si="71"/>
        <v>0</v>
      </c>
    </row>
    <row r="2287" spans="1:25" x14ac:dyDescent="0.3">
      <c r="A2287" t="s">
        <v>4218</v>
      </c>
      <c r="B2287" t="s">
        <v>484</v>
      </c>
      <c r="C2287">
        <v>69.430000000000007</v>
      </c>
      <c r="D2287" s="1">
        <v>44963.735335648147</v>
      </c>
      <c r="E2287" t="s">
        <v>25</v>
      </c>
      <c r="F2287" t="s">
        <v>159</v>
      </c>
      <c r="G2287" t="s">
        <v>2374</v>
      </c>
      <c r="H2287" t="s">
        <v>1107</v>
      </c>
      <c r="I2287" t="s">
        <v>375</v>
      </c>
      <c r="J2287" t="s">
        <v>30</v>
      </c>
      <c r="K2287">
        <v>30</v>
      </c>
      <c r="L2287" t="s">
        <v>89</v>
      </c>
      <c r="M2287">
        <v>162</v>
      </c>
      <c r="N2287">
        <v>1</v>
      </c>
      <c r="O2287">
        <v>9281.85</v>
      </c>
      <c r="P2287" s="1">
        <v>45600.339247685188</v>
      </c>
      <c r="Q2287">
        <v>17</v>
      </c>
      <c r="R2287" t="s">
        <v>47</v>
      </c>
      <c r="S2287">
        <v>-0.781526678414452</v>
      </c>
      <c r="T2287" t="b">
        <v>0</v>
      </c>
      <c r="U2287" t="b">
        <v>0</v>
      </c>
      <c r="V2287" t="b">
        <f t="shared" si="70"/>
        <v>1</v>
      </c>
      <c r="W2287">
        <v>0</v>
      </c>
      <c r="Y2287">
        <f t="shared" si="71"/>
        <v>0</v>
      </c>
    </row>
    <row r="2288" spans="1:25" x14ac:dyDescent="0.3">
      <c r="A2288" t="s">
        <v>4219</v>
      </c>
      <c r="B2288" t="s">
        <v>169</v>
      </c>
      <c r="C2288">
        <v>110.4</v>
      </c>
      <c r="D2288" s="1">
        <v>45190.702986111108</v>
      </c>
      <c r="E2288" t="s">
        <v>57</v>
      </c>
      <c r="F2288" t="s">
        <v>26</v>
      </c>
      <c r="G2288" t="s">
        <v>1969</v>
      </c>
      <c r="H2288" t="s">
        <v>486</v>
      </c>
      <c r="I2288" t="s">
        <v>463</v>
      </c>
      <c r="J2288" t="s">
        <v>30</v>
      </c>
      <c r="K2288">
        <v>56</v>
      </c>
      <c r="L2288" t="s">
        <v>31</v>
      </c>
      <c r="M2288">
        <v>62</v>
      </c>
      <c r="N2288">
        <v>1</v>
      </c>
      <c r="O2288">
        <v>8639.36</v>
      </c>
      <c r="P2288" s="1">
        <v>45600.339270833334</v>
      </c>
      <c r="Q2288">
        <v>16</v>
      </c>
      <c r="R2288" t="s">
        <v>141</v>
      </c>
      <c r="S2288">
        <v>-0.64119262401686505</v>
      </c>
      <c r="T2288" t="b">
        <v>0</v>
      </c>
      <c r="U2288" t="b">
        <v>0</v>
      </c>
      <c r="V2288" t="b">
        <f t="shared" si="70"/>
        <v>1</v>
      </c>
      <c r="W2288">
        <v>0</v>
      </c>
      <c r="Y2288">
        <f t="shared" si="71"/>
        <v>0</v>
      </c>
    </row>
    <row r="2289" spans="1:25" x14ac:dyDescent="0.3">
      <c r="A2289" t="s">
        <v>4220</v>
      </c>
      <c r="B2289" t="s">
        <v>1033</v>
      </c>
      <c r="C2289">
        <v>275.64999999999998</v>
      </c>
      <c r="D2289" s="1">
        <v>45152.703148148146</v>
      </c>
      <c r="E2289" t="s">
        <v>57</v>
      </c>
      <c r="F2289" t="s">
        <v>58</v>
      </c>
      <c r="G2289" t="s">
        <v>71</v>
      </c>
      <c r="H2289" t="s">
        <v>1061</v>
      </c>
      <c r="I2289" t="s">
        <v>772</v>
      </c>
      <c r="J2289" t="s">
        <v>81</v>
      </c>
      <c r="K2289">
        <v>28</v>
      </c>
      <c r="L2289" t="s">
        <v>89</v>
      </c>
      <c r="M2289">
        <v>14</v>
      </c>
      <c r="N2289">
        <v>1</v>
      </c>
      <c r="O2289">
        <v>4957.57</v>
      </c>
      <c r="P2289" s="1">
        <v>45600.339097222219</v>
      </c>
      <c r="Q2289">
        <v>16</v>
      </c>
      <c r="R2289" t="s">
        <v>47</v>
      </c>
      <c r="S2289">
        <v>-7.5163761698066295E-2</v>
      </c>
      <c r="T2289" t="b">
        <v>0</v>
      </c>
      <c r="U2289" t="b">
        <v>0</v>
      </c>
      <c r="V2289" t="b">
        <f t="shared" si="70"/>
        <v>1</v>
      </c>
      <c r="W2289">
        <v>0</v>
      </c>
      <c r="Y2289">
        <f t="shared" si="71"/>
        <v>0</v>
      </c>
    </row>
    <row r="2290" spans="1:25" x14ac:dyDescent="0.3">
      <c r="A2290" t="s">
        <v>4221</v>
      </c>
      <c r="B2290" t="s">
        <v>484</v>
      </c>
      <c r="C2290">
        <v>336.01</v>
      </c>
      <c r="D2290" s="1">
        <v>45239.781365740739</v>
      </c>
      <c r="E2290" t="s">
        <v>25</v>
      </c>
      <c r="F2290" t="s">
        <v>534</v>
      </c>
      <c r="G2290" t="s">
        <v>1693</v>
      </c>
      <c r="H2290" t="s">
        <v>3601</v>
      </c>
      <c r="I2290" t="s">
        <v>182</v>
      </c>
      <c r="J2290" t="s">
        <v>45</v>
      </c>
      <c r="K2290">
        <v>63</v>
      </c>
      <c r="L2290" t="s">
        <v>31</v>
      </c>
      <c r="M2290">
        <v>121</v>
      </c>
      <c r="N2290">
        <v>4</v>
      </c>
      <c r="O2290">
        <v>9938.2000000000007</v>
      </c>
      <c r="P2290" s="1">
        <v>45600.339479166665</v>
      </c>
      <c r="Q2290">
        <v>18</v>
      </c>
      <c r="R2290" t="s">
        <v>141</v>
      </c>
      <c r="S2290">
        <v>0.13158662940367399</v>
      </c>
      <c r="T2290" t="b">
        <v>0</v>
      </c>
      <c r="U2290" t="b">
        <v>1</v>
      </c>
      <c r="V2290" t="b">
        <f t="shared" si="70"/>
        <v>1</v>
      </c>
      <c r="W2290">
        <v>1</v>
      </c>
      <c r="Y2290">
        <f t="shared" si="71"/>
        <v>0</v>
      </c>
    </row>
    <row r="2291" spans="1:25" x14ac:dyDescent="0.3">
      <c r="A2291" t="s">
        <v>4222</v>
      </c>
      <c r="B2291" t="s">
        <v>136</v>
      </c>
      <c r="C2291">
        <v>251.8</v>
      </c>
      <c r="D2291" s="1">
        <v>45019.676782407405</v>
      </c>
      <c r="E2291" t="s">
        <v>25</v>
      </c>
      <c r="F2291" t="s">
        <v>41</v>
      </c>
      <c r="G2291" t="s">
        <v>894</v>
      </c>
      <c r="H2291" t="s">
        <v>1319</v>
      </c>
      <c r="I2291" t="s">
        <v>80</v>
      </c>
      <c r="J2291" t="s">
        <v>30</v>
      </c>
      <c r="K2291">
        <v>62</v>
      </c>
      <c r="L2291" t="s">
        <v>31</v>
      </c>
      <c r="M2291">
        <v>102</v>
      </c>
      <c r="N2291">
        <v>1</v>
      </c>
      <c r="O2291">
        <v>11796.66</v>
      </c>
      <c r="P2291" s="1">
        <v>45600.340451388889</v>
      </c>
      <c r="Q2291">
        <v>16</v>
      </c>
      <c r="R2291" t="s">
        <v>47</v>
      </c>
      <c r="S2291">
        <v>-0.15685688343061299</v>
      </c>
      <c r="T2291" t="b">
        <v>0</v>
      </c>
      <c r="U2291" t="b">
        <v>0</v>
      </c>
      <c r="V2291" t="b">
        <f t="shared" si="70"/>
        <v>1</v>
      </c>
      <c r="W2291">
        <v>0</v>
      </c>
      <c r="Y2291">
        <f t="shared" si="71"/>
        <v>0</v>
      </c>
    </row>
    <row r="2292" spans="1:25" x14ac:dyDescent="0.3">
      <c r="A2292" t="s">
        <v>4223</v>
      </c>
      <c r="B2292" t="s">
        <v>2322</v>
      </c>
      <c r="C2292">
        <v>334.07</v>
      </c>
      <c r="D2292" s="1">
        <v>45149.727268518516</v>
      </c>
      <c r="E2292" t="s">
        <v>25</v>
      </c>
      <c r="F2292" t="s">
        <v>216</v>
      </c>
      <c r="G2292" t="s">
        <v>964</v>
      </c>
      <c r="H2292" t="s">
        <v>664</v>
      </c>
      <c r="I2292" t="s">
        <v>67</v>
      </c>
      <c r="J2292" t="s">
        <v>81</v>
      </c>
      <c r="K2292">
        <v>59</v>
      </c>
      <c r="L2292" t="s">
        <v>89</v>
      </c>
      <c r="M2292">
        <v>200</v>
      </c>
      <c r="N2292">
        <v>1</v>
      </c>
      <c r="O2292">
        <v>7306.79</v>
      </c>
      <c r="P2292" s="1">
        <v>45600.340601851851</v>
      </c>
      <c r="Q2292">
        <v>17</v>
      </c>
      <c r="R2292" t="s">
        <v>54</v>
      </c>
      <c r="S2292">
        <v>0.124941570445136</v>
      </c>
      <c r="T2292" t="b">
        <v>0</v>
      </c>
      <c r="U2292" t="b">
        <v>0</v>
      </c>
      <c r="V2292" t="b">
        <f t="shared" si="70"/>
        <v>1</v>
      </c>
      <c r="W2292">
        <v>0</v>
      </c>
      <c r="Y2292">
        <f t="shared" si="71"/>
        <v>0</v>
      </c>
    </row>
    <row r="2293" spans="1:25" x14ac:dyDescent="0.3">
      <c r="A2293" t="s">
        <v>4224</v>
      </c>
      <c r="B2293" t="s">
        <v>1644</v>
      </c>
      <c r="C2293">
        <v>52.44</v>
      </c>
      <c r="D2293" s="1">
        <v>45175.789166666669</v>
      </c>
      <c r="E2293" t="s">
        <v>25</v>
      </c>
      <c r="F2293" t="s">
        <v>50</v>
      </c>
      <c r="G2293" t="s">
        <v>1264</v>
      </c>
      <c r="H2293" t="s">
        <v>478</v>
      </c>
      <c r="I2293" t="s">
        <v>259</v>
      </c>
      <c r="J2293" t="s">
        <v>45</v>
      </c>
      <c r="K2293">
        <v>27</v>
      </c>
      <c r="L2293" t="s">
        <v>46</v>
      </c>
      <c r="M2293">
        <v>87</v>
      </c>
      <c r="N2293">
        <v>1</v>
      </c>
      <c r="O2293">
        <v>3157.75</v>
      </c>
      <c r="P2293" s="1">
        <v>45600.339942129627</v>
      </c>
      <c r="Q2293">
        <v>18</v>
      </c>
      <c r="R2293" t="s">
        <v>74</v>
      </c>
      <c r="S2293">
        <v>-0.83972232362350796</v>
      </c>
      <c r="T2293" t="b">
        <v>0</v>
      </c>
      <c r="U2293" t="b">
        <v>0</v>
      </c>
      <c r="V2293" t="b">
        <f t="shared" si="70"/>
        <v>1</v>
      </c>
      <c r="W2293">
        <v>0</v>
      </c>
      <c r="Y2293">
        <f t="shared" si="71"/>
        <v>0</v>
      </c>
    </row>
    <row r="2294" spans="1:25" x14ac:dyDescent="0.3">
      <c r="A2294" t="s">
        <v>4225</v>
      </c>
      <c r="B2294" t="s">
        <v>3903</v>
      </c>
      <c r="C2294">
        <v>1030.8499999999999</v>
      </c>
      <c r="D2294" s="1">
        <v>45173.72388888889</v>
      </c>
      <c r="E2294" t="s">
        <v>25</v>
      </c>
      <c r="F2294" t="s">
        <v>26</v>
      </c>
      <c r="G2294" t="s">
        <v>489</v>
      </c>
      <c r="H2294" t="s">
        <v>675</v>
      </c>
      <c r="I2294" t="s">
        <v>419</v>
      </c>
      <c r="J2294" t="s">
        <v>30</v>
      </c>
      <c r="K2294">
        <v>25</v>
      </c>
      <c r="L2294" t="s">
        <v>46</v>
      </c>
      <c r="M2294">
        <v>39</v>
      </c>
      <c r="N2294">
        <v>1</v>
      </c>
      <c r="O2294">
        <v>1941.8</v>
      </c>
      <c r="P2294" s="1">
        <v>45600.340983796297</v>
      </c>
      <c r="Q2294">
        <v>17</v>
      </c>
      <c r="R2294" t="s">
        <v>47</v>
      </c>
      <c r="S2294">
        <v>2.51161382875976</v>
      </c>
      <c r="T2294" t="b">
        <v>1</v>
      </c>
      <c r="U2294" t="b">
        <v>0</v>
      </c>
      <c r="V2294" t="b">
        <f t="shared" si="70"/>
        <v>1</v>
      </c>
      <c r="W2294">
        <v>1</v>
      </c>
      <c r="Y2294">
        <f t="shared" si="71"/>
        <v>1</v>
      </c>
    </row>
    <row r="2295" spans="1:25" x14ac:dyDescent="0.3">
      <c r="A2295" t="s">
        <v>4226</v>
      </c>
      <c r="B2295" t="s">
        <v>1381</v>
      </c>
      <c r="C2295">
        <v>141.37</v>
      </c>
      <c r="D2295" s="1">
        <v>45128.704282407409</v>
      </c>
      <c r="E2295" t="s">
        <v>25</v>
      </c>
      <c r="F2295" t="s">
        <v>126</v>
      </c>
      <c r="G2295" t="s">
        <v>1822</v>
      </c>
      <c r="H2295" t="s">
        <v>1049</v>
      </c>
      <c r="I2295" t="s">
        <v>620</v>
      </c>
      <c r="J2295" t="s">
        <v>45</v>
      </c>
      <c r="K2295">
        <v>46</v>
      </c>
      <c r="L2295" t="s">
        <v>89</v>
      </c>
      <c r="M2295">
        <v>77</v>
      </c>
      <c r="N2295">
        <v>1</v>
      </c>
      <c r="O2295">
        <v>1019.77</v>
      </c>
      <c r="P2295" s="1">
        <v>45600.341446759259</v>
      </c>
      <c r="Q2295">
        <v>16</v>
      </c>
      <c r="R2295" t="s">
        <v>54</v>
      </c>
      <c r="S2295">
        <v>-0.53511145084885803</v>
      </c>
      <c r="T2295" t="b">
        <v>0</v>
      </c>
      <c r="U2295" t="b">
        <v>0</v>
      </c>
      <c r="V2295" t="b">
        <f t="shared" si="70"/>
        <v>1</v>
      </c>
      <c r="W2295">
        <v>0</v>
      </c>
      <c r="Y2295">
        <f t="shared" si="71"/>
        <v>0</v>
      </c>
    </row>
    <row r="2296" spans="1:25" x14ac:dyDescent="0.3">
      <c r="A2296" t="s">
        <v>4227</v>
      </c>
      <c r="B2296" t="s">
        <v>451</v>
      </c>
      <c r="C2296">
        <v>211.7</v>
      </c>
      <c r="D2296" s="1">
        <v>45243.70716435185</v>
      </c>
      <c r="E2296" t="s">
        <v>57</v>
      </c>
      <c r="F2296" t="s">
        <v>278</v>
      </c>
      <c r="G2296" t="s">
        <v>3003</v>
      </c>
      <c r="H2296" t="s">
        <v>1536</v>
      </c>
      <c r="I2296" t="s">
        <v>344</v>
      </c>
      <c r="J2296" t="s">
        <v>45</v>
      </c>
      <c r="K2296">
        <v>50</v>
      </c>
      <c r="L2296" t="s">
        <v>31</v>
      </c>
      <c r="M2296">
        <v>205</v>
      </c>
      <c r="N2296">
        <v>1</v>
      </c>
      <c r="O2296">
        <v>12272.78</v>
      </c>
      <c r="P2296" s="1">
        <v>45600.338287037041</v>
      </c>
      <c r="Q2296">
        <v>16</v>
      </c>
      <c r="R2296" t="s">
        <v>47</v>
      </c>
      <c r="S2296">
        <v>-0.29421093716122598</v>
      </c>
      <c r="T2296" t="b">
        <v>0</v>
      </c>
      <c r="U2296" t="b">
        <v>0</v>
      </c>
      <c r="V2296" t="b">
        <f t="shared" si="70"/>
        <v>1</v>
      </c>
      <c r="W2296">
        <v>0</v>
      </c>
      <c r="Y2296">
        <f t="shared" si="71"/>
        <v>0</v>
      </c>
    </row>
    <row r="2297" spans="1:25" x14ac:dyDescent="0.3">
      <c r="A2297" t="s">
        <v>4228</v>
      </c>
      <c r="B2297" t="s">
        <v>3029</v>
      </c>
      <c r="C2297">
        <v>61.4</v>
      </c>
      <c r="D2297" s="1">
        <v>44956.69804398148</v>
      </c>
      <c r="E2297" t="s">
        <v>25</v>
      </c>
      <c r="F2297" t="s">
        <v>236</v>
      </c>
      <c r="G2297" t="s">
        <v>1506</v>
      </c>
      <c r="H2297" t="s">
        <v>2104</v>
      </c>
      <c r="I2297" t="s">
        <v>101</v>
      </c>
      <c r="J2297" t="s">
        <v>81</v>
      </c>
      <c r="K2297">
        <v>41</v>
      </c>
      <c r="L2297" t="s">
        <v>89</v>
      </c>
      <c r="M2297">
        <v>20</v>
      </c>
      <c r="N2297">
        <v>2</v>
      </c>
      <c r="O2297">
        <v>7892.87</v>
      </c>
      <c r="P2297" s="1">
        <v>45600.339201388888</v>
      </c>
      <c r="Q2297">
        <v>16</v>
      </c>
      <c r="R2297" t="s">
        <v>47</v>
      </c>
      <c r="S2297">
        <v>-0.80903174204180395</v>
      </c>
      <c r="T2297" t="b">
        <v>0</v>
      </c>
      <c r="U2297" t="b">
        <v>1</v>
      </c>
      <c r="V2297" t="b">
        <f t="shared" si="70"/>
        <v>1</v>
      </c>
      <c r="W2297">
        <v>1</v>
      </c>
      <c r="Y2297">
        <f t="shared" si="71"/>
        <v>0</v>
      </c>
    </row>
    <row r="2298" spans="1:25" x14ac:dyDescent="0.3">
      <c r="A2298" t="s">
        <v>4229</v>
      </c>
      <c r="B2298" t="s">
        <v>3599</v>
      </c>
      <c r="C2298">
        <v>308.23</v>
      </c>
      <c r="D2298" s="1">
        <v>45033.675254629627</v>
      </c>
      <c r="E2298" t="s">
        <v>25</v>
      </c>
      <c r="F2298" t="s">
        <v>159</v>
      </c>
      <c r="G2298" t="s">
        <v>1442</v>
      </c>
      <c r="H2298" t="s">
        <v>338</v>
      </c>
      <c r="I2298" t="s">
        <v>720</v>
      </c>
      <c r="J2298" t="s">
        <v>30</v>
      </c>
      <c r="K2298">
        <v>60</v>
      </c>
      <c r="L2298" t="s">
        <v>82</v>
      </c>
      <c r="M2298">
        <v>23</v>
      </c>
      <c r="N2298">
        <v>1</v>
      </c>
      <c r="O2298">
        <v>4150.63</v>
      </c>
      <c r="P2298" s="1">
        <v>45600.341377314813</v>
      </c>
      <c r="Q2298">
        <v>16</v>
      </c>
      <c r="R2298" t="s">
        <v>47</v>
      </c>
      <c r="S2298">
        <v>3.6432125347903403E-2</v>
      </c>
      <c r="T2298" t="b">
        <v>0</v>
      </c>
      <c r="U2298" t="b">
        <v>0</v>
      </c>
      <c r="V2298" t="b">
        <f t="shared" si="70"/>
        <v>1</v>
      </c>
      <c r="W2298">
        <v>0</v>
      </c>
      <c r="Y2298">
        <f t="shared" si="71"/>
        <v>0</v>
      </c>
    </row>
    <row r="2299" spans="1:25" x14ac:dyDescent="0.3">
      <c r="A2299" t="s">
        <v>4230</v>
      </c>
      <c r="B2299" t="s">
        <v>1219</v>
      </c>
      <c r="C2299">
        <v>111.41</v>
      </c>
      <c r="D2299" s="1">
        <v>45287.721030092594</v>
      </c>
      <c r="E2299" t="s">
        <v>25</v>
      </c>
      <c r="F2299" t="s">
        <v>278</v>
      </c>
      <c r="G2299" t="s">
        <v>171</v>
      </c>
      <c r="H2299" t="s">
        <v>516</v>
      </c>
      <c r="I2299" t="s">
        <v>1294</v>
      </c>
      <c r="J2299" t="s">
        <v>81</v>
      </c>
      <c r="K2299">
        <v>21</v>
      </c>
      <c r="L2299" t="s">
        <v>46</v>
      </c>
      <c r="M2299">
        <v>181</v>
      </c>
      <c r="N2299">
        <v>1</v>
      </c>
      <c r="O2299">
        <v>1204.1099999999999</v>
      </c>
      <c r="P2299" s="1">
        <v>45600.340787037036</v>
      </c>
      <c r="Q2299">
        <v>17</v>
      </c>
      <c r="R2299" t="s">
        <v>74</v>
      </c>
      <c r="S2299">
        <v>-0.63773308301267795</v>
      </c>
      <c r="T2299" t="b">
        <v>0</v>
      </c>
      <c r="U2299" t="b">
        <v>0</v>
      </c>
      <c r="V2299" t="b">
        <f t="shared" si="70"/>
        <v>1</v>
      </c>
      <c r="W2299">
        <v>0</v>
      </c>
      <c r="Y2299">
        <f t="shared" si="71"/>
        <v>0</v>
      </c>
    </row>
    <row r="2300" spans="1:25" x14ac:dyDescent="0.3">
      <c r="A2300" t="s">
        <v>4231</v>
      </c>
      <c r="B2300" t="s">
        <v>902</v>
      </c>
      <c r="C2300">
        <v>675.49</v>
      </c>
      <c r="D2300" s="1">
        <v>45000.678391203706</v>
      </c>
      <c r="E2300" t="s">
        <v>25</v>
      </c>
      <c r="F2300" t="s">
        <v>262</v>
      </c>
      <c r="G2300" t="s">
        <v>2002</v>
      </c>
      <c r="H2300" t="s">
        <v>976</v>
      </c>
      <c r="I2300" t="s">
        <v>162</v>
      </c>
      <c r="J2300" t="s">
        <v>30</v>
      </c>
      <c r="K2300">
        <v>61</v>
      </c>
      <c r="L2300" t="s">
        <v>82</v>
      </c>
      <c r="M2300">
        <v>159</v>
      </c>
      <c r="N2300">
        <v>1</v>
      </c>
      <c r="O2300">
        <v>1893</v>
      </c>
      <c r="P2300" s="1">
        <v>45600.340821759259</v>
      </c>
      <c r="Q2300">
        <v>16</v>
      </c>
      <c r="R2300" t="s">
        <v>74</v>
      </c>
      <c r="S2300">
        <v>1.29440344138543</v>
      </c>
      <c r="T2300" t="b">
        <v>0</v>
      </c>
      <c r="U2300" t="b">
        <v>0</v>
      </c>
      <c r="V2300" t="b">
        <f t="shared" si="70"/>
        <v>1</v>
      </c>
      <c r="W2300">
        <v>0</v>
      </c>
      <c r="Y2300">
        <f t="shared" si="71"/>
        <v>0</v>
      </c>
    </row>
    <row r="2301" spans="1:25" x14ac:dyDescent="0.3">
      <c r="A2301" t="s">
        <v>4232</v>
      </c>
      <c r="B2301" t="s">
        <v>2520</v>
      </c>
      <c r="C2301">
        <v>29.72</v>
      </c>
      <c r="D2301" s="1">
        <v>45126.719652777778</v>
      </c>
      <c r="E2301" t="s">
        <v>25</v>
      </c>
      <c r="F2301" t="s">
        <v>250</v>
      </c>
      <c r="G2301" t="s">
        <v>3503</v>
      </c>
      <c r="H2301" t="s">
        <v>640</v>
      </c>
      <c r="I2301" t="s">
        <v>833</v>
      </c>
      <c r="J2301" t="s">
        <v>30</v>
      </c>
      <c r="K2301">
        <v>26</v>
      </c>
      <c r="L2301" t="s">
        <v>46</v>
      </c>
      <c r="M2301">
        <v>38</v>
      </c>
      <c r="N2301">
        <v>1</v>
      </c>
      <c r="O2301">
        <v>1059.6199999999999</v>
      </c>
      <c r="P2301" s="1">
        <v>45600.338773148149</v>
      </c>
      <c r="Q2301">
        <v>17</v>
      </c>
      <c r="R2301" t="s">
        <v>74</v>
      </c>
      <c r="S2301">
        <v>-0.91754486977711203</v>
      </c>
      <c r="T2301" t="b">
        <v>0</v>
      </c>
      <c r="U2301" t="b">
        <v>0</v>
      </c>
      <c r="V2301" t="b">
        <f t="shared" si="70"/>
        <v>1</v>
      </c>
      <c r="W2301">
        <v>0</v>
      </c>
      <c r="Y2301">
        <f t="shared" si="71"/>
        <v>0</v>
      </c>
    </row>
    <row r="2302" spans="1:25" x14ac:dyDescent="0.3">
      <c r="A2302" t="s">
        <v>4233</v>
      </c>
      <c r="B2302" t="s">
        <v>4234</v>
      </c>
      <c r="C2302">
        <v>301.73</v>
      </c>
      <c r="D2302" s="1">
        <v>45104.695115740738</v>
      </c>
      <c r="E2302" t="s">
        <v>25</v>
      </c>
      <c r="F2302" t="s">
        <v>268</v>
      </c>
      <c r="G2302" t="s">
        <v>1851</v>
      </c>
      <c r="H2302" t="s">
        <v>3870</v>
      </c>
      <c r="I2302" t="s">
        <v>265</v>
      </c>
      <c r="J2302" t="s">
        <v>45</v>
      </c>
      <c r="K2302">
        <v>67</v>
      </c>
      <c r="L2302" t="s">
        <v>31</v>
      </c>
      <c r="M2302">
        <v>163</v>
      </c>
      <c r="N2302">
        <v>1</v>
      </c>
      <c r="O2302">
        <v>990.74</v>
      </c>
      <c r="P2302" s="1">
        <v>45600.338310185187</v>
      </c>
      <c r="Q2302">
        <v>16</v>
      </c>
      <c r="R2302" t="s">
        <v>32</v>
      </c>
      <c r="S2302">
        <v>1.4167752548676801E-2</v>
      </c>
      <c r="T2302" t="b">
        <v>0</v>
      </c>
      <c r="U2302" t="b">
        <v>0</v>
      </c>
      <c r="V2302" t="b">
        <f t="shared" si="70"/>
        <v>1</v>
      </c>
      <c r="W2302">
        <v>0</v>
      </c>
      <c r="Y2302">
        <f t="shared" si="71"/>
        <v>0</v>
      </c>
    </row>
    <row r="2303" spans="1:25" x14ac:dyDescent="0.3">
      <c r="A2303" t="s">
        <v>4235</v>
      </c>
      <c r="B2303" t="s">
        <v>1134</v>
      </c>
      <c r="C2303">
        <v>294.61</v>
      </c>
      <c r="D2303" s="1">
        <v>45197.786828703705</v>
      </c>
      <c r="E2303" t="s">
        <v>25</v>
      </c>
      <c r="F2303" t="s">
        <v>309</v>
      </c>
      <c r="G2303" t="s">
        <v>968</v>
      </c>
      <c r="H2303" t="s">
        <v>709</v>
      </c>
      <c r="I2303" t="s">
        <v>259</v>
      </c>
      <c r="J2303" t="s">
        <v>81</v>
      </c>
      <c r="K2303">
        <v>60</v>
      </c>
      <c r="L2303" t="s">
        <v>82</v>
      </c>
      <c r="M2303">
        <v>74</v>
      </c>
      <c r="N2303">
        <v>1</v>
      </c>
      <c r="O2303">
        <v>7375.59</v>
      </c>
      <c r="P2303" s="1">
        <v>45600.338576388887</v>
      </c>
      <c r="Q2303">
        <v>18</v>
      </c>
      <c r="R2303" t="s">
        <v>141</v>
      </c>
      <c r="S2303">
        <v>-1.0220298886783699E-2</v>
      </c>
      <c r="T2303" t="b">
        <v>0</v>
      </c>
      <c r="U2303" t="b">
        <v>0</v>
      </c>
      <c r="V2303" t="b">
        <f t="shared" si="70"/>
        <v>1</v>
      </c>
      <c r="W2303">
        <v>0</v>
      </c>
      <c r="Y2303">
        <f t="shared" si="71"/>
        <v>0</v>
      </c>
    </row>
    <row r="2304" spans="1:25" x14ac:dyDescent="0.3">
      <c r="A2304" t="s">
        <v>4236</v>
      </c>
      <c r="B2304" t="s">
        <v>1036</v>
      </c>
      <c r="C2304">
        <v>106.43</v>
      </c>
      <c r="D2304" s="1">
        <v>45033.730694444443</v>
      </c>
      <c r="E2304" t="s">
        <v>57</v>
      </c>
      <c r="F2304" t="s">
        <v>438</v>
      </c>
      <c r="G2304" t="s">
        <v>2042</v>
      </c>
      <c r="H2304" t="s">
        <v>1383</v>
      </c>
      <c r="I2304" t="s">
        <v>383</v>
      </c>
      <c r="J2304" t="s">
        <v>30</v>
      </c>
      <c r="K2304">
        <v>52</v>
      </c>
      <c r="L2304" t="s">
        <v>89</v>
      </c>
      <c r="M2304">
        <v>164</v>
      </c>
      <c r="N2304">
        <v>1</v>
      </c>
      <c r="O2304">
        <v>9403.1200000000008</v>
      </c>
      <c r="P2304" s="1">
        <v>45600.340682870374</v>
      </c>
      <c r="Q2304">
        <v>17</v>
      </c>
      <c r="R2304" t="s">
        <v>47</v>
      </c>
      <c r="S2304">
        <v>-0.65479101786500804</v>
      </c>
      <c r="T2304" t="b">
        <v>0</v>
      </c>
      <c r="U2304" t="b">
        <v>0</v>
      </c>
      <c r="V2304" t="b">
        <f t="shared" si="70"/>
        <v>1</v>
      </c>
      <c r="W2304">
        <v>0</v>
      </c>
      <c r="Y2304">
        <f t="shared" si="71"/>
        <v>0</v>
      </c>
    </row>
    <row r="2305" spans="1:25" x14ac:dyDescent="0.3">
      <c r="A2305" t="s">
        <v>4237</v>
      </c>
      <c r="B2305" t="s">
        <v>3478</v>
      </c>
      <c r="C2305">
        <v>381.52</v>
      </c>
      <c r="D2305" s="1">
        <v>45250.695972222224</v>
      </c>
      <c r="E2305" t="s">
        <v>25</v>
      </c>
      <c r="F2305" t="s">
        <v>70</v>
      </c>
      <c r="G2305" t="s">
        <v>4238</v>
      </c>
      <c r="H2305" t="s">
        <v>122</v>
      </c>
      <c r="I2305" t="s">
        <v>38</v>
      </c>
      <c r="J2305" t="s">
        <v>45</v>
      </c>
      <c r="K2305">
        <v>36</v>
      </c>
      <c r="L2305" t="s">
        <v>31</v>
      </c>
      <c r="M2305">
        <v>79</v>
      </c>
      <c r="N2305">
        <v>1</v>
      </c>
      <c r="O2305">
        <v>5798.92</v>
      </c>
      <c r="P2305" s="1">
        <v>45600.341053240743</v>
      </c>
      <c r="Q2305">
        <v>16</v>
      </c>
      <c r="R2305" t="s">
        <v>47</v>
      </c>
      <c r="S2305">
        <v>0.28747149187949</v>
      </c>
      <c r="T2305" t="b">
        <v>0</v>
      </c>
      <c r="U2305" t="b">
        <v>0</v>
      </c>
      <c r="V2305" t="b">
        <f t="shared" si="70"/>
        <v>1</v>
      </c>
      <c r="W2305">
        <v>0</v>
      </c>
      <c r="Y2305">
        <f t="shared" si="71"/>
        <v>0</v>
      </c>
    </row>
    <row r="2306" spans="1:25" x14ac:dyDescent="0.3">
      <c r="A2306" t="s">
        <v>4239</v>
      </c>
      <c r="B2306" t="s">
        <v>2962</v>
      </c>
      <c r="C2306">
        <v>1142.76</v>
      </c>
      <c r="D2306" s="1">
        <v>45000.715416666666</v>
      </c>
      <c r="E2306" t="s">
        <v>57</v>
      </c>
      <c r="F2306" t="s">
        <v>35</v>
      </c>
      <c r="G2306" t="s">
        <v>2047</v>
      </c>
      <c r="H2306" t="s">
        <v>374</v>
      </c>
      <c r="I2306" t="s">
        <v>720</v>
      </c>
      <c r="J2306" t="s">
        <v>45</v>
      </c>
      <c r="K2306">
        <v>25</v>
      </c>
      <c r="L2306" t="s">
        <v>46</v>
      </c>
      <c r="M2306">
        <v>71</v>
      </c>
      <c r="N2306">
        <v>1</v>
      </c>
      <c r="O2306">
        <v>1498.93</v>
      </c>
      <c r="P2306" s="1">
        <v>45600.340312499997</v>
      </c>
      <c r="Q2306">
        <v>17</v>
      </c>
      <c r="R2306" t="s">
        <v>74</v>
      </c>
      <c r="S2306">
        <v>2.89493782259999</v>
      </c>
      <c r="T2306" t="b">
        <v>1</v>
      </c>
      <c r="U2306" t="b">
        <v>0</v>
      </c>
      <c r="V2306" t="b">
        <f t="shared" si="70"/>
        <v>1</v>
      </c>
      <c r="W2306">
        <v>1</v>
      </c>
      <c r="Y2306">
        <f t="shared" si="71"/>
        <v>1</v>
      </c>
    </row>
    <row r="2307" spans="1:25" x14ac:dyDescent="0.3">
      <c r="A2307" t="s">
        <v>4240</v>
      </c>
      <c r="B2307" t="s">
        <v>235</v>
      </c>
      <c r="C2307">
        <v>5.66</v>
      </c>
      <c r="D2307" s="1">
        <v>45264.780289351853</v>
      </c>
      <c r="E2307" t="s">
        <v>25</v>
      </c>
      <c r="F2307" t="s">
        <v>571</v>
      </c>
      <c r="G2307" t="s">
        <v>865</v>
      </c>
      <c r="H2307" t="s">
        <v>270</v>
      </c>
      <c r="I2307" t="s">
        <v>188</v>
      </c>
      <c r="J2307" t="s">
        <v>81</v>
      </c>
      <c r="K2307">
        <v>40</v>
      </c>
      <c r="L2307" t="s">
        <v>89</v>
      </c>
      <c r="M2307">
        <v>33</v>
      </c>
      <c r="N2307">
        <v>1</v>
      </c>
      <c r="O2307">
        <v>5434.64</v>
      </c>
      <c r="P2307" s="1">
        <v>45600.341469907406</v>
      </c>
      <c r="Q2307">
        <v>18</v>
      </c>
      <c r="R2307" t="s">
        <v>47</v>
      </c>
      <c r="S2307">
        <v>-0.99995730201548005</v>
      </c>
      <c r="T2307" t="b">
        <v>0</v>
      </c>
      <c r="U2307" t="b">
        <v>0</v>
      </c>
      <c r="V2307" t="b">
        <f t="shared" ref="V2307:V2370" si="72">ISLOGICAL(T2307)</f>
        <v>1</v>
      </c>
      <c r="W2307">
        <v>0</v>
      </c>
      <c r="Y2307">
        <f t="shared" ref="Y2307:Y2370" si="73">--T2307</f>
        <v>0</v>
      </c>
    </row>
    <row r="2308" spans="1:25" x14ac:dyDescent="0.3">
      <c r="A2308" t="s">
        <v>4241</v>
      </c>
      <c r="B2308" t="s">
        <v>1189</v>
      </c>
      <c r="C2308">
        <v>209.09</v>
      </c>
      <c r="D2308" s="1">
        <v>45237.781087962961</v>
      </c>
      <c r="E2308" t="s">
        <v>25</v>
      </c>
      <c r="F2308" t="s">
        <v>314</v>
      </c>
      <c r="G2308" t="s">
        <v>1980</v>
      </c>
      <c r="H2308" t="s">
        <v>778</v>
      </c>
      <c r="I2308" t="s">
        <v>61</v>
      </c>
      <c r="J2308" t="s">
        <v>30</v>
      </c>
      <c r="K2308">
        <v>48</v>
      </c>
      <c r="L2308" t="s">
        <v>31</v>
      </c>
      <c r="M2308">
        <v>203</v>
      </c>
      <c r="N2308">
        <v>1</v>
      </c>
      <c r="O2308">
        <v>9100.81</v>
      </c>
      <c r="P2308" s="1">
        <v>45600.337858796294</v>
      </c>
      <c r="Q2308">
        <v>18</v>
      </c>
      <c r="R2308" t="s">
        <v>32</v>
      </c>
      <c r="S2308">
        <v>-0.30315093916214603</v>
      </c>
      <c r="T2308" t="b">
        <v>0</v>
      </c>
      <c r="U2308" t="b">
        <v>0</v>
      </c>
      <c r="V2308" t="b">
        <f t="shared" si="72"/>
        <v>1</v>
      </c>
      <c r="W2308">
        <v>0</v>
      </c>
      <c r="Y2308">
        <f t="shared" si="73"/>
        <v>0</v>
      </c>
    </row>
    <row r="2309" spans="1:25" x14ac:dyDescent="0.3">
      <c r="A2309" t="s">
        <v>4242</v>
      </c>
      <c r="B2309" t="s">
        <v>1867</v>
      </c>
      <c r="C2309">
        <v>521.80999999999995</v>
      </c>
      <c r="D2309" s="1">
        <v>45246.726817129631</v>
      </c>
      <c r="E2309" t="s">
        <v>25</v>
      </c>
      <c r="F2309" t="s">
        <v>314</v>
      </c>
      <c r="G2309" t="s">
        <v>4243</v>
      </c>
      <c r="H2309" t="s">
        <v>111</v>
      </c>
      <c r="I2309" t="s">
        <v>720</v>
      </c>
      <c r="J2309" t="s">
        <v>30</v>
      </c>
      <c r="K2309">
        <v>47</v>
      </c>
      <c r="L2309" t="s">
        <v>89</v>
      </c>
      <c r="M2309">
        <v>34</v>
      </c>
      <c r="N2309">
        <v>1</v>
      </c>
      <c r="O2309">
        <v>4750.96</v>
      </c>
      <c r="P2309" s="1">
        <v>45600.338506944441</v>
      </c>
      <c r="Q2309">
        <v>17</v>
      </c>
      <c r="R2309" t="s">
        <v>141</v>
      </c>
      <c r="S2309">
        <v>0.768005162649259</v>
      </c>
      <c r="T2309" t="b">
        <v>0</v>
      </c>
      <c r="U2309" t="b">
        <v>0</v>
      </c>
      <c r="V2309" t="b">
        <f t="shared" si="72"/>
        <v>1</v>
      </c>
      <c r="W2309">
        <v>0</v>
      </c>
      <c r="Y2309">
        <f t="shared" si="73"/>
        <v>0</v>
      </c>
    </row>
    <row r="2310" spans="1:25" x14ac:dyDescent="0.3">
      <c r="A2310" t="s">
        <v>4244</v>
      </c>
      <c r="B2310" t="s">
        <v>2629</v>
      </c>
      <c r="C2310">
        <v>588.36</v>
      </c>
      <c r="D2310" s="1">
        <v>44935.672731481478</v>
      </c>
      <c r="E2310" t="s">
        <v>25</v>
      </c>
      <c r="F2310" t="s">
        <v>262</v>
      </c>
      <c r="G2310" t="s">
        <v>2410</v>
      </c>
      <c r="H2310" t="s">
        <v>3365</v>
      </c>
      <c r="I2310" t="s">
        <v>1537</v>
      </c>
      <c r="J2310" t="s">
        <v>45</v>
      </c>
      <c r="K2310">
        <v>33</v>
      </c>
      <c r="L2310" t="s">
        <v>89</v>
      </c>
      <c r="M2310">
        <v>134</v>
      </c>
      <c r="N2310">
        <v>1</v>
      </c>
      <c r="O2310">
        <v>8434.99</v>
      </c>
      <c r="P2310" s="1">
        <v>45600.340532407405</v>
      </c>
      <c r="Q2310">
        <v>16</v>
      </c>
      <c r="R2310" t="s">
        <v>47</v>
      </c>
      <c r="S2310">
        <v>0.99595808723210999</v>
      </c>
      <c r="T2310" t="b">
        <v>0</v>
      </c>
      <c r="U2310" t="b">
        <v>0</v>
      </c>
      <c r="V2310" t="b">
        <f t="shared" si="72"/>
        <v>1</v>
      </c>
      <c r="W2310">
        <v>0</v>
      </c>
      <c r="Y2310">
        <f t="shared" si="73"/>
        <v>0</v>
      </c>
    </row>
    <row r="2311" spans="1:25" x14ac:dyDescent="0.3">
      <c r="A2311" t="s">
        <v>4245</v>
      </c>
      <c r="B2311" t="s">
        <v>769</v>
      </c>
      <c r="C2311">
        <v>146.66999999999999</v>
      </c>
      <c r="D2311" s="1">
        <v>45230.670138888891</v>
      </c>
      <c r="E2311" t="s">
        <v>25</v>
      </c>
      <c r="F2311" t="s">
        <v>98</v>
      </c>
      <c r="G2311" t="s">
        <v>1044</v>
      </c>
      <c r="H2311" t="s">
        <v>2366</v>
      </c>
      <c r="I2311" t="s">
        <v>117</v>
      </c>
      <c r="J2311" t="s">
        <v>45</v>
      </c>
      <c r="K2311">
        <v>20</v>
      </c>
      <c r="L2311" t="s">
        <v>46</v>
      </c>
      <c r="M2311">
        <v>273</v>
      </c>
      <c r="N2311">
        <v>1</v>
      </c>
      <c r="O2311">
        <v>1569.75</v>
      </c>
      <c r="P2311" s="1">
        <v>45600.341041666667</v>
      </c>
      <c r="Q2311">
        <v>16</v>
      </c>
      <c r="R2311" t="s">
        <v>32</v>
      </c>
      <c r="S2311">
        <v>-0.51695742379718101</v>
      </c>
      <c r="T2311" t="b">
        <v>0</v>
      </c>
      <c r="U2311" t="b">
        <v>0</v>
      </c>
      <c r="V2311" t="b">
        <f t="shared" si="72"/>
        <v>1</v>
      </c>
      <c r="W2311">
        <v>0</v>
      </c>
      <c r="Y2311">
        <f t="shared" si="73"/>
        <v>0</v>
      </c>
    </row>
    <row r="2312" spans="1:25" x14ac:dyDescent="0.3">
      <c r="A2312" t="s">
        <v>4246</v>
      </c>
      <c r="B2312" t="s">
        <v>2543</v>
      </c>
      <c r="C2312">
        <v>176.52</v>
      </c>
      <c r="D2312" s="1">
        <v>44999.712708333333</v>
      </c>
      <c r="E2312" t="s">
        <v>57</v>
      </c>
      <c r="F2312" t="s">
        <v>26</v>
      </c>
      <c r="G2312" t="s">
        <v>3331</v>
      </c>
      <c r="H2312" t="s">
        <v>812</v>
      </c>
      <c r="I2312" t="s">
        <v>167</v>
      </c>
      <c r="J2312" t="s">
        <v>45</v>
      </c>
      <c r="K2312">
        <v>73</v>
      </c>
      <c r="L2312" t="s">
        <v>82</v>
      </c>
      <c r="M2312">
        <v>94</v>
      </c>
      <c r="N2312">
        <v>5</v>
      </c>
      <c r="O2312">
        <v>7132.08</v>
      </c>
      <c r="P2312" s="1">
        <v>45600.339363425926</v>
      </c>
      <c r="Q2312">
        <v>17</v>
      </c>
      <c r="R2312" t="s">
        <v>32</v>
      </c>
      <c r="S2312">
        <v>-0.41471257332688599</v>
      </c>
      <c r="T2312" t="b">
        <v>0</v>
      </c>
      <c r="U2312" t="b">
        <v>1</v>
      </c>
      <c r="V2312" t="b">
        <f t="shared" si="72"/>
        <v>1</v>
      </c>
      <c r="W2312">
        <v>1</v>
      </c>
      <c r="Y2312">
        <f t="shared" si="73"/>
        <v>0</v>
      </c>
    </row>
    <row r="2313" spans="1:25" x14ac:dyDescent="0.3">
      <c r="A2313" t="s">
        <v>4247</v>
      </c>
      <c r="B2313" t="s">
        <v>607</v>
      </c>
      <c r="C2313">
        <v>57.34</v>
      </c>
      <c r="D2313" s="1">
        <v>45222.669317129628</v>
      </c>
      <c r="E2313" t="s">
        <v>25</v>
      </c>
      <c r="F2313" t="s">
        <v>58</v>
      </c>
      <c r="G2313" t="s">
        <v>4248</v>
      </c>
      <c r="H2313" t="s">
        <v>3734</v>
      </c>
      <c r="I2313" t="s">
        <v>561</v>
      </c>
      <c r="J2313" t="s">
        <v>45</v>
      </c>
      <c r="K2313">
        <v>27</v>
      </c>
      <c r="L2313" t="s">
        <v>46</v>
      </c>
      <c r="M2313">
        <v>81</v>
      </c>
      <c r="N2313">
        <v>1</v>
      </c>
      <c r="O2313">
        <v>1100.6400000000001</v>
      </c>
      <c r="P2313" s="1">
        <v>45600.340532407405</v>
      </c>
      <c r="Q2313">
        <v>16</v>
      </c>
      <c r="R2313" t="s">
        <v>47</v>
      </c>
      <c r="S2313">
        <v>-0.82293841182101402</v>
      </c>
      <c r="T2313" t="b">
        <v>0</v>
      </c>
      <c r="U2313" t="b">
        <v>0</v>
      </c>
      <c r="V2313" t="b">
        <f t="shared" si="72"/>
        <v>1</v>
      </c>
      <c r="W2313">
        <v>0</v>
      </c>
      <c r="Y2313">
        <f t="shared" si="73"/>
        <v>0</v>
      </c>
    </row>
    <row r="2314" spans="1:25" x14ac:dyDescent="0.3">
      <c r="A2314" t="s">
        <v>4249</v>
      </c>
      <c r="B2314" t="s">
        <v>1672</v>
      </c>
      <c r="C2314">
        <v>294.77</v>
      </c>
      <c r="D2314" s="1">
        <v>45209.720127314817</v>
      </c>
      <c r="E2314" t="s">
        <v>25</v>
      </c>
      <c r="F2314" t="s">
        <v>256</v>
      </c>
      <c r="G2314" t="s">
        <v>1492</v>
      </c>
      <c r="H2314" t="s">
        <v>3377</v>
      </c>
      <c r="I2314" t="s">
        <v>356</v>
      </c>
      <c r="J2314" t="s">
        <v>45</v>
      </c>
      <c r="K2314">
        <v>77</v>
      </c>
      <c r="L2314" t="s">
        <v>82</v>
      </c>
      <c r="M2314">
        <v>101</v>
      </c>
      <c r="N2314">
        <v>1</v>
      </c>
      <c r="O2314">
        <v>2272.17</v>
      </c>
      <c r="P2314" s="1">
        <v>45600.340300925927</v>
      </c>
      <c r="Q2314">
        <v>17</v>
      </c>
      <c r="R2314" t="s">
        <v>32</v>
      </c>
      <c r="S2314">
        <v>-9.67225278711056E-3</v>
      </c>
      <c r="T2314" t="b">
        <v>0</v>
      </c>
      <c r="U2314" t="b">
        <v>0</v>
      </c>
      <c r="V2314" t="b">
        <f t="shared" si="72"/>
        <v>1</v>
      </c>
      <c r="W2314">
        <v>0</v>
      </c>
      <c r="Y2314">
        <f t="shared" si="73"/>
        <v>0</v>
      </c>
    </row>
    <row r="2315" spans="1:25" x14ac:dyDescent="0.3">
      <c r="A2315" t="s">
        <v>4250</v>
      </c>
      <c r="B2315" t="s">
        <v>2192</v>
      </c>
      <c r="C2315">
        <v>881.32</v>
      </c>
      <c r="D2315" s="1">
        <v>45169.728506944448</v>
      </c>
      <c r="E2315" t="s">
        <v>25</v>
      </c>
      <c r="F2315" t="s">
        <v>519</v>
      </c>
      <c r="G2315" t="s">
        <v>1747</v>
      </c>
      <c r="H2315" t="s">
        <v>3539</v>
      </c>
      <c r="I2315" t="s">
        <v>29</v>
      </c>
      <c r="J2315" t="s">
        <v>45</v>
      </c>
      <c r="K2315">
        <v>31</v>
      </c>
      <c r="L2315" t="s">
        <v>89</v>
      </c>
      <c r="M2315">
        <v>59</v>
      </c>
      <c r="N2315">
        <v>1</v>
      </c>
      <c r="O2315">
        <v>2287.9299999999998</v>
      </c>
      <c r="P2315" s="1">
        <v>45600.338101851848</v>
      </c>
      <c r="Q2315">
        <v>17</v>
      </c>
      <c r="R2315" t="s">
        <v>141</v>
      </c>
      <c r="S2315">
        <v>1.99943049573386</v>
      </c>
      <c r="T2315" t="b">
        <v>0</v>
      </c>
      <c r="U2315" t="b">
        <v>0</v>
      </c>
      <c r="V2315" t="b">
        <f t="shared" si="72"/>
        <v>1</v>
      </c>
      <c r="W2315">
        <v>0</v>
      </c>
      <c r="Y2315">
        <f t="shared" si="73"/>
        <v>0</v>
      </c>
    </row>
    <row r="2316" spans="1:25" x14ac:dyDescent="0.3">
      <c r="A2316" t="s">
        <v>4251</v>
      </c>
      <c r="B2316" t="s">
        <v>856</v>
      </c>
      <c r="C2316">
        <v>162.59</v>
      </c>
      <c r="D2316" s="1">
        <v>44979.679537037038</v>
      </c>
      <c r="E2316" t="s">
        <v>25</v>
      </c>
      <c r="F2316" t="s">
        <v>77</v>
      </c>
      <c r="G2316" t="s">
        <v>1790</v>
      </c>
      <c r="H2316" t="s">
        <v>1966</v>
      </c>
      <c r="I2316" t="s">
        <v>647</v>
      </c>
      <c r="J2316" t="s">
        <v>81</v>
      </c>
      <c r="K2316">
        <v>64</v>
      </c>
      <c r="L2316" t="s">
        <v>82</v>
      </c>
      <c r="M2316">
        <v>19</v>
      </c>
      <c r="N2316">
        <v>1</v>
      </c>
      <c r="O2316">
        <v>7104.83</v>
      </c>
      <c r="P2316" s="1">
        <v>45600.339421296296</v>
      </c>
      <c r="Q2316">
        <v>16</v>
      </c>
      <c r="R2316" t="s">
        <v>74</v>
      </c>
      <c r="S2316">
        <v>-0.46242683687969</v>
      </c>
      <c r="T2316" t="b">
        <v>0</v>
      </c>
      <c r="U2316" t="b">
        <v>0</v>
      </c>
      <c r="V2316" t="b">
        <f t="shared" si="72"/>
        <v>1</v>
      </c>
      <c r="W2316">
        <v>0</v>
      </c>
      <c r="Y2316">
        <f t="shared" si="73"/>
        <v>0</v>
      </c>
    </row>
    <row r="2317" spans="1:25" x14ac:dyDescent="0.3">
      <c r="A2317" t="s">
        <v>4252</v>
      </c>
      <c r="B2317" t="s">
        <v>2714</v>
      </c>
      <c r="C2317">
        <v>56.15</v>
      </c>
      <c r="D2317" s="1">
        <v>45288.787141203706</v>
      </c>
      <c r="E2317" t="s">
        <v>25</v>
      </c>
      <c r="F2317" t="s">
        <v>92</v>
      </c>
      <c r="G2317" t="s">
        <v>4253</v>
      </c>
      <c r="H2317" t="s">
        <v>3347</v>
      </c>
      <c r="I2317" t="s">
        <v>561</v>
      </c>
      <c r="J2317" t="s">
        <v>81</v>
      </c>
      <c r="K2317">
        <v>31</v>
      </c>
      <c r="L2317" t="s">
        <v>31</v>
      </c>
      <c r="M2317">
        <v>77</v>
      </c>
      <c r="N2317">
        <v>1</v>
      </c>
      <c r="O2317">
        <v>13265.92</v>
      </c>
      <c r="P2317" s="1">
        <v>45600.339618055557</v>
      </c>
      <c r="Q2317">
        <v>18</v>
      </c>
      <c r="R2317" t="s">
        <v>141</v>
      </c>
      <c r="S2317">
        <v>-0.82701450468733395</v>
      </c>
      <c r="T2317" t="b">
        <v>0</v>
      </c>
      <c r="U2317" t="b">
        <v>0</v>
      </c>
      <c r="V2317" t="b">
        <f t="shared" si="72"/>
        <v>1</v>
      </c>
      <c r="W2317">
        <v>0</v>
      </c>
      <c r="Y2317">
        <f t="shared" si="73"/>
        <v>0</v>
      </c>
    </row>
    <row r="2318" spans="1:25" x14ac:dyDescent="0.3">
      <c r="A2318" t="s">
        <v>4254</v>
      </c>
      <c r="B2318" t="s">
        <v>1533</v>
      </c>
      <c r="C2318">
        <v>524.54999999999995</v>
      </c>
      <c r="D2318" s="1">
        <v>45188.688888888886</v>
      </c>
      <c r="E2318" t="s">
        <v>25</v>
      </c>
      <c r="F2318" t="s">
        <v>519</v>
      </c>
      <c r="G2318" t="s">
        <v>2711</v>
      </c>
      <c r="H2318" t="s">
        <v>1322</v>
      </c>
      <c r="I2318" t="s">
        <v>150</v>
      </c>
      <c r="J2318" t="s">
        <v>30</v>
      </c>
      <c r="K2318">
        <v>39</v>
      </c>
      <c r="L2318" t="s">
        <v>31</v>
      </c>
      <c r="M2318">
        <v>175</v>
      </c>
      <c r="N2318">
        <v>1</v>
      </c>
      <c r="O2318">
        <v>8292.75</v>
      </c>
      <c r="P2318" s="1">
        <v>45600.338194444441</v>
      </c>
      <c r="Q2318">
        <v>16</v>
      </c>
      <c r="R2318" t="s">
        <v>32</v>
      </c>
      <c r="S2318">
        <v>0.77739045210616398</v>
      </c>
      <c r="T2318" t="b">
        <v>0</v>
      </c>
      <c r="U2318" t="b">
        <v>0</v>
      </c>
      <c r="V2318" t="b">
        <f t="shared" si="72"/>
        <v>1</v>
      </c>
      <c r="W2318">
        <v>0</v>
      </c>
      <c r="Y2318">
        <f t="shared" si="73"/>
        <v>0</v>
      </c>
    </row>
    <row r="2319" spans="1:25" x14ac:dyDescent="0.3">
      <c r="A2319" t="s">
        <v>4255</v>
      </c>
      <c r="B2319" t="s">
        <v>926</v>
      </c>
      <c r="C2319">
        <v>535.4</v>
      </c>
      <c r="D2319" s="1">
        <v>45058.776516203703</v>
      </c>
      <c r="E2319" t="s">
        <v>25</v>
      </c>
      <c r="F2319" t="s">
        <v>26</v>
      </c>
      <c r="G2319" t="s">
        <v>470</v>
      </c>
      <c r="H2319" t="s">
        <v>243</v>
      </c>
      <c r="I2319" t="s">
        <v>295</v>
      </c>
      <c r="J2319" t="s">
        <v>81</v>
      </c>
      <c r="K2319">
        <v>23</v>
      </c>
      <c r="L2319" t="s">
        <v>46</v>
      </c>
      <c r="M2319">
        <v>110</v>
      </c>
      <c r="N2319">
        <v>1</v>
      </c>
      <c r="O2319">
        <v>651.84</v>
      </c>
      <c r="P2319" s="1">
        <v>45600.339467592596</v>
      </c>
      <c r="Q2319">
        <v>18</v>
      </c>
      <c r="R2319" t="s">
        <v>54</v>
      </c>
      <c r="S2319">
        <v>0.81455482824025804</v>
      </c>
      <c r="T2319" t="b">
        <v>0</v>
      </c>
      <c r="U2319" t="b">
        <v>0</v>
      </c>
      <c r="V2319" t="b">
        <f t="shared" si="72"/>
        <v>1</v>
      </c>
      <c r="W2319">
        <v>0</v>
      </c>
      <c r="Y2319">
        <f t="shared" si="73"/>
        <v>0</v>
      </c>
    </row>
    <row r="2320" spans="1:25" x14ac:dyDescent="0.3">
      <c r="A2320" t="s">
        <v>4256</v>
      </c>
      <c r="B2320" t="s">
        <v>814</v>
      </c>
      <c r="C2320">
        <v>56.84</v>
      </c>
      <c r="D2320" s="1">
        <v>45152.728819444441</v>
      </c>
      <c r="E2320" t="s">
        <v>25</v>
      </c>
      <c r="F2320" t="s">
        <v>50</v>
      </c>
      <c r="G2320" t="s">
        <v>3858</v>
      </c>
      <c r="H2320" t="s">
        <v>1215</v>
      </c>
      <c r="I2320" t="s">
        <v>782</v>
      </c>
      <c r="J2320" t="s">
        <v>30</v>
      </c>
      <c r="K2320">
        <v>45</v>
      </c>
      <c r="L2320" t="s">
        <v>89</v>
      </c>
      <c r="M2320">
        <v>185</v>
      </c>
      <c r="N2320">
        <v>1</v>
      </c>
      <c r="O2320">
        <v>7977.78</v>
      </c>
      <c r="P2320" s="1">
        <v>45600.340196759258</v>
      </c>
      <c r="Q2320">
        <v>17</v>
      </c>
      <c r="R2320" t="s">
        <v>47</v>
      </c>
      <c r="S2320">
        <v>-0.82465105588249299</v>
      </c>
      <c r="T2320" t="b">
        <v>0</v>
      </c>
      <c r="U2320" t="b">
        <v>0</v>
      </c>
      <c r="V2320" t="b">
        <f t="shared" si="72"/>
        <v>1</v>
      </c>
      <c r="W2320">
        <v>0</v>
      </c>
      <c r="Y2320">
        <f t="shared" si="73"/>
        <v>0</v>
      </c>
    </row>
    <row r="2321" spans="1:25" x14ac:dyDescent="0.3">
      <c r="A2321" t="s">
        <v>4257</v>
      </c>
      <c r="B2321" t="s">
        <v>3149</v>
      </c>
      <c r="C2321">
        <v>135.94</v>
      </c>
      <c r="D2321" s="1">
        <v>44944.700370370374</v>
      </c>
      <c r="E2321" t="s">
        <v>25</v>
      </c>
      <c r="F2321" t="s">
        <v>35</v>
      </c>
      <c r="G2321" t="s">
        <v>595</v>
      </c>
      <c r="H2321" t="s">
        <v>2788</v>
      </c>
      <c r="I2321" t="s">
        <v>80</v>
      </c>
      <c r="J2321" t="s">
        <v>81</v>
      </c>
      <c r="K2321">
        <v>71</v>
      </c>
      <c r="L2321" t="s">
        <v>82</v>
      </c>
      <c r="M2321">
        <v>258</v>
      </c>
      <c r="N2321">
        <v>1</v>
      </c>
      <c r="O2321">
        <v>4710.21</v>
      </c>
      <c r="P2321" s="1">
        <v>45600.340300925927</v>
      </c>
      <c r="Q2321">
        <v>16</v>
      </c>
      <c r="R2321" t="s">
        <v>74</v>
      </c>
      <c r="S2321">
        <v>-0.55371076535651997</v>
      </c>
      <c r="T2321" t="b">
        <v>0</v>
      </c>
      <c r="U2321" t="b">
        <v>0</v>
      </c>
      <c r="V2321" t="b">
        <f t="shared" si="72"/>
        <v>1</v>
      </c>
      <c r="W2321">
        <v>0</v>
      </c>
      <c r="Y2321">
        <f t="shared" si="73"/>
        <v>0</v>
      </c>
    </row>
    <row r="2322" spans="1:25" x14ac:dyDescent="0.3">
      <c r="A2322" t="s">
        <v>4258</v>
      </c>
      <c r="B2322" t="s">
        <v>380</v>
      </c>
      <c r="C2322">
        <v>47.1</v>
      </c>
      <c r="D2322" s="1">
        <v>45110.726956018516</v>
      </c>
      <c r="E2322" t="s">
        <v>57</v>
      </c>
      <c r="F2322" t="s">
        <v>466</v>
      </c>
      <c r="G2322" t="s">
        <v>2957</v>
      </c>
      <c r="H2322" t="s">
        <v>907</v>
      </c>
      <c r="I2322" t="s">
        <v>1050</v>
      </c>
      <c r="J2322" t="s">
        <v>81</v>
      </c>
      <c r="K2322">
        <v>42</v>
      </c>
      <c r="L2322" t="s">
        <v>31</v>
      </c>
      <c r="M2322">
        <v>178</v>
      </c>
      <c r="N2322">
        <v>1</v>
      </c>
      <c r="O2322">
        <v>6308.07</v>
      </c>
      <c r="P2322" s="1">
        <v>45600.340046296296</v>
      </c>
      <c r="Q2322">
        <v>17</v>
      </c>
      <c r="R2322" t="s">
        <v>47</v>
      </c>
      <c r="S2322">
        <v>-0.85801336220010305</v>
      </c>
      <c r="T2322" t="b">
        <v>0</v>
      </c>
      <c r="U2322" t="b">
        <v>0</v>
      </c>
      <c r="V2322" t="b">
        <f t="shared" si="72"/>
        <v>1</v>
      </c>
      <c r="W2322">
        <v>0</v>
      </c>
      <c r="Y2322">
        <f t="shared" si="73"/>
        <v>0</v>
      </c>
    </row>
    <row r="2323" spans="1:25" x14ac:dyDescent="0.3">
      <c r="A2323" t="s">
        <v>4259</v>
      </c>
      <c r="B2323" t="s">
        <v>1867</v>
      </c>
      <c r="C2323">
        <v>124.05</v>
      </c>
      <c r="D2323" s="1">
        <v>45224.701412037037</v>
      </c>
      <c r="E2323" t="s">
        <v>57</v>
      </c>
      <c r="F2323" t="s">
        <v>98</v>
      </c>
      <c r="G2323" t="s">
        <v>968</v>
      </c>
      <c r="H2323" t="s">
        <v>883</v>
      </c>
      <c r="I2323" t="s">
        <v>1013</v>
      </c>
      <c r="J2323" t="s">
        <v>81</v>
      </c>
      <c r="K2323">
        <v>61</v>
      </c>
      <c r="L2323" t="s">
        <v>31</v>
      </c>
      <c r="M2323">
        <v>220</v>
      </c>
      <c r="N2323">
        <v>1</v>
      </c>
      <c r="O2323">
        <v>7009.54</v>
      </c>
      <c r="P2323" s="1">
        <v>45600.341770833336</v>
      </c>
      <c r="Q2323">
        <v>16</v>
      </c>
      <c r="R2323" t="s">
        <v>74</v>
      </c>
      <c r="S2323">
        <v>-0.59443744113848895</v>
      </c>
      <c r="T2323" t="b">
        <v>0</v>
      </c>
      <c r="U2323" t="b">
        <v>0</v>
      </c>
      <c r="V2323" t="b">
        <f t="shared" si="72"/>
        <v>1</v>
      </c>
      <c r="W2323">
        <v>0</v>
      </c>
      <c r="Y2323">
        <f t="shared" si="73"/>
        <v>0</v>
      </c>
    </row>
    <row r="2324" spans="1:25" x14ac:dyDescent="0.3">
      <c r="A2324" t="s">
        <v>4260</v>
      </c>
      <c r="B2324" t="s">
        <v>1381</v>
      </c>
      <c r="C2324">
        <v>802.89</v>
      </c>
      <c r="D2324" s="1">
        <v>45166.772222222222</v>
      </c>
      <c r="E2324" t="s">
        <v>25</v>
      </c>
      <c r="F2324" t="s">
        <v>278</v>
      </c>
      <c r="G2324" t="s">
        <v>2960</v>
      </c>
      <c r="H2324" t="s">
        <v>306</v>
      </c>
      <c r="I2324" t="s">
        <v>993</v>
      </c>
      <c r="J2324" t="s">
        <v>30</v>
      </c>
      <c r="K2324">
        <v>19</v>
      </c>
      <c r="L2324" t="s">
        <v>46</v>
      </c>
      <c r="M2324">
        <v>175</v>
      </c>
      <c r="N2324">
        <v>1</v>
      </c>
      <c r="O2324">
        <v>1973.63</v>
      </c>
      <c r="P2324" s="1">
        <v>45600.341168981482</v>
      </c>
      <c r="Q2324">
        <v>18</v>
      </c>
      <c r="R2324" t="s">
        <v>47</v>
      </c>
      <c r="S2324">
        <v>1.7307851482502701</v>
      </c>
      <c r="T2324" t="b">
        <v>0</v>
      </c>
      <c r="U2324" t="b">
        <v>0</v>
      </c>
      <c r="V2324" t="b">
        <f t="shared" si="72"/>
        <v>1</v>
      </c>
      <c r="W2324">
        <v>0</v>
      </c>
      <c r="Y2324">
        <f t="shared" si="73"/>
        <v>0</v>
      </c>
    </row>
    <row r="2325" spans="1:25" x14ac:dyDescent="0.3">
      <c r="A2325" t="s">
        <v>4261</v>
      </c>
      <c r="B2325" t="s">
        <v>2086</v>
      </c>
      <c r="C2325">
        <v>193.16</v>
      </c>
      <c r="D2325" s="1">
        <v>45022.695497685185</v>
      </c>
      <c r="E2325" t="s">
        <v>25</v>
      </c>
      <c r="F2325" t="s">
        <v>262</v>
      </c>
      <c r="G2325" t="s">
        <v>406</v>
      </c>
      <c r="H2325" t="s">
        <v>1400</v>
      </c>
      <c r="I2325" t="s">
        <v>753</v>
      </c>
      <c r="J2325" t="s">
        <v>30</v>
      </c>
      <c r="K2325">
        <v>64</v>
      </c>
      <c r="L2325" t="s">
        <v>82</v>
      </c>
      <c r="M2325">
        <v>109</v>
      </c>
      <c r="N2325">
        <v>1</v>
      </c>
      <c r="O2325">
        <v>2304.56</v>
      </c>
      <c r="P2325" s="1">
        <v>45600.33834490741</v>
      </c>
      <c r="Q2325">
        <v>16</v>
      </c>
      <c r="R2325" t="s">
        <v>141</v>
      </c>
      <c r="S2325">
        <v>-0.35771577896086598</v>
      </c>
      <c r="T2325" t="b">
        <v>0</v>
      </c>
      <c r="U2325" t="b">
        <v>0</v>
      </c>
      <c r="V2325" t="b">
        <f t="shared" si="72"/>
        <v>1</v>
      </c>
      <c r="W2325">
        <v>0</v>
      </c>
      <c r="Y2325">
        <f t="shared" si="73"/>
        <v>0</v>
      </c>
    </row>
    <row r="2326" spans="1:25" x14ac:dyDescent="0.3">
      <c r="A2326" t="s">
        <v>4262</v>
      </c>
      <c r="B2326" t="s">
        <v>1029</v>
      </c>
      <c r="C2326">
        <v>541.52</v>
      </c>
      <c r="D2326" s="1">
        <v>45105.74114583333</v>
      </c>
      <c r="E2326" t="s">
        <v>57</v>
      </c>
      <c r="F2326" t="s">
        <v>77</v>
      </c>
      <c r="G2326" t="s">
        <v>4253</v>
      </c>
      <c r="H2326" t="s">
        <v>2153</v>
      </c>
      <c r="I2326" t="s">
        <v>222</v>
      </c>
      <c r="J2326" t="s">
        <v>81</v>
      </c>
      <c r="K2326">
        <v>48</v>
      </c>
      <c r="L2326" t="s">
        <v>89</v>
      </c>
      <c r="M2326">
        <v>161</v>
      </c>
      <c r="N2326">
        <v>1</v>
      </c>
      <c r="O2326">
        <v>6087.24</v>
      </c>
      <c r="P2326" s="1">
        <v>45600.339305555557</v>
      </c>
      <c r="Q2326">
        <v>17</v>
      </c>
      <c r="R2326" t="s">
        <v>74</v>
      </c>
      <c r="S2326">
        <v>0.83551759155276095</v>
      </c>
      <c r="T2326" t="b">
        <v>0</v>
      </c>
      <c r="U2326" t="b">
        <v>0</v>
      </c>
      <c r="V2326" t="b">
        <f t="shared" si="72"/>
        <v>1</v>
      </c>
      <c r="W2326">
        <v>0</v>
      </c>
      <c r="Y2326">
        <f t="shared" si="73"/>
        <v>0</v>
      </c>
    </row>
    <row r="2327" spans="1:25" x14ac:dyDescent="0.3">
      <c r="A2327" t="s">
        <v>4263</v>
      </c>
      <c r="B2327" t="s">
        <v>3715</v>
      </c>
      <c r="C2327">
        <v>20.170000000000002</v>
      </c>
      <c r="D2327" s="1">
        <v>44928.697974537034</v>
      </c>
      <c r="E2327" t="s">
        <v>25</v>
      </c>
      <c r="F2327" t="s">
        <v>250</v>
      </c>
      <c r="G2327" t="s">
        <v>1454</v>
      </c>
      <c r="H2327" t="s">
        <v>1897</v>
      </c>
      <c r="I2327" t="s">
        <v>782</v>
      </c>
      <c r="J2327" t="s">
        <v>30</v>
      </c>
      <c r="K2327">
        <v>77</v>
      </c>
      <c r="L2327" t="s">
        <v>82</v>
      </c>
      <c r="M2327">
        <v>86</v>
      </c>
      <c r="N2327">
        <v>1</v>
      </c>
      <c r="O2327">
        <v>3869.37</v>
      </c>
      <c r="P2327" s="1">
        <v>45600.33934027778</v>
      </c>
      <c r="Q2327">
        <v>16</v>
      </c>
      <c r="R2327" t="s">
        <v>47</v>
      </c>
      <c r="S2327">
        <v>-0.95025637135135999</v>
      </c>
      <c r="T2327" t="b">
        <v>0</v>
      </c>
      <c r="U2327" t="b">
        <v>0</v>
      </c>
      <c r="V2327" t="b">
        <f t="shared" si="72"/>
        <v>1</v>
      </c>
      <c r="W2327">
        <v>0</v>
      </c>
      <c r="Y2327">
        <f t="shared" si="73"/>
        <v>0</v>
      </c>
    </row>
    <row r="2328" spans="1:25" x14ac:dyDescent="0.3">
      <c r="A2328" t="s">
        <v>4264</v>
      </c>
      <c r="B2328" t="s">
        <v>3667</v>
      </c>
      <c r="C2328">
        <v>35.979999999999997</v>
      </c>
      <c r="D2328" s="1">
        <v>45155.676932870374</v>
      </c>
      <c r="E2328" t="s">
        <v>57</v>
      </c>
      <c r="F2328" t="s">
        <v>92</v>
      </c>
      <c r="G2328" t="s">
        <v>4265</v>
      </c>
      <c r="H2328" t="s">
        <v>3780</v>
      </c>
      <c r="I2328" t="s">
        <v>445</v>
      </c>
      <c r="J2328" t="s">
        <v>81</v>
      </c>
      <c r="K2328">
        <v>40</v>
      </c>
      <c r="L2328" t="s">
        <v>31</v>
      </c>
      <c r="M2328">
        <v>133</v>
      </c>
      <c r="N2328">
        <v>1</v>
      </c>
      <c r="O2328">
        <v>11147.34</v>
      </c>
      <c r="P2328" s="1">
        <v>45600.338182870371</v>
      </c>
      <c r="Q2328">
        <v>16</v>
      </c>
      <c r="R2328" t="s">
        <v>141</v>
      </c>
      <c r="S2328">
        <v>-0.89610256612739503</v>
      </c>
      <c r="T2328" t="b">
        <v>0</v>
      </c>
      <c r="U2328" t="b">
        <v>0</v>
      </c>
      <c r="V2328" t="b">
        <f t="shared" si="72"/>
        <v>1</v>
      </c>
      <c r="W2328">
        <v>0</v>
      </c>
      <c r="Y2328">
        <f t="shared" si="73"/>
        <v>0</v>
      </c>
    </row>
    <row r="2329" spans="1:25" x14ac:dyDescent="0.3">
      <c r="A2329" t="s">
        <v>4266</v>
      </c>
      <c r="B2329" t="s">
        <v>948</v>
      </c>
      <c r="C2329">
        <v>273.24</v>
      </c>
      <c r="D2329" s="1">
        <v>45272.705763888887</v>
      </c>
      <c r="E2329" t="s">
        <v>25</v>
      </c>
      <c r="F2329" t="s">
        <v>571</v>
      </c>
      <c r="G2329" t="s">
        <v>820</v>
      </c>
      <c r="H2329" t="s">
        <v>2144</v>
      </c>
      <c r="I2329" t="s">
        <v>1362</v>
      </c>
      <c r="J2329" t="s">
        <v>81</v>
      </c>
      <c r="K2329">
        <v>51</v>
      </c>
      <c r="L2329" t="s">
        <v>82</v>
      </c>
      <c r="M2329">
        <v>173</v>
      </c>
      <c r="N2329">
        <v>1</v>
      </c>
      <c r="O2329">
        <v>2202.21</v>
      </c>
      <c r="P2329" s="1">
        <v>45600.34033564815</v>
      </c>
      <c r="Q2329">
        <v>16</v>
      </c>
      <c r="R2329" t="s">
        <v>32</v>
      </c>
      <c r="S2329">
        <v>-8.3418706074394902E-2</v>
      </c>
      <c r="T2329" t="b">
        <v>0</v>
      </c>
      <c r="U2329" t="b">
        <v>0</v>
      </c>
      <c r="V2329" t="b">
        <f t="shared" si="72"/>
        <v>1</v>
      </c>
      <c r="W2329">
        <v>0</v>
      </c>
      <c r="Y2329">
        <f t="shared" si="73"/>
        <v>0</v>
      </c>
    </row>
    <row r="2330" spans="1:25" x14ac:dyDescent="0.3">
      <c r="A2330" t="s">
        <v>4267</v>
      </c>
      <c r="B2330" t="s">
        <v>1213</v>
      </c>
      <c r="C2330">
        <v>663.45</v>
      </c>
      <c r="D2330" s="1">
        <v>45272.722754629627</v>
      </c>
      <c r="E2330" t="s">
        <v>25</v>
      </c>
      <c r="F2330" t="s">
        <v>98</v>
      </c>
      <c r="G2330" t="s">
        <v>1360</v>
      </c>
      <c r="H2330" t="s">
        <v>2514</v>
      </c>
      <c r="I2330" t="s">
        <v>605</v>
      </c>
      <c r="J2330" t="s">
        <v>30</v>
      </c>
      <c r="K2330">
        <v>67</v>
      </c>
      <c r="L2330" t="s">
        <v>82</v>
      </c>
      <c r="M2330">
        <v>147</v>
      </c>
      <c r="N2330">
        <v>1</v>
      </c>
      <c r="O2330">
        <v>5897.29</v>
      </c>
      <c r="P2330" s="1">
        <v>45600.341435185182</v>
      </c>
      <c r="Q2330">
        <v>17</v>
      </c>
      <c r="R2330" t="s">
        <v>32</v>
      </c>
      <c r="S2330">
        <v>1.2531629723850199</v>
      </c>
      <c r="T2330" t="b">
        <v>0</v>
      </c>
      <c r="U2330" t="b">
        <v>0</v>
      </c>
      <c r="V2330" t="b">
        <f t="shared" si="72"/>
        <v>1</v>
      </c>
      <c r="W2330">
        <v>0</v>
      </c>
      <c r="Y2330">
        <f t="shared" si="73"/>
        <v>0</v>
      </c>
    </row>
    <row r="2331" spans="1:25" x14ac:dyDescent="0.3">
      <c r="A2331" t="s">
        <v>4268</v>
      </c>
      <c r="B2331" t="s">
        <v>1280</v>
      </c>
      <c r="C2331">
        <v>343.86</v>
      </c>
      <c r="D2331" s="1">
        <v>44970.697812500002</v>
      </c>
      <c r="E2331" t="s">
        <v>25</v>
      </c>
      <c r="F2331" t="s">
        <v>262</v>
      </c>
      <c r="G2331" t="s">
        <v>2033</v>
      </c>
      <c r="H2331" t="s">
        <v>1966</v>
      </c>
      <c r="I2331" t="s">
        <v>720</v>
      </c>
      <c r="J2331" t="s">
        <v>81</v>
      </c>
      <c r="K2331">
        <v>57</v>
      </c>
      <c r="L2331" t="s">
        <v>89</v>
      </c>
      <c r="M2331">
        <v>70</v>
      </c>
      <c r="N2331">
        <v>1</v>
      </c>
      <c r="O2331">
        <v>3278.65</v>
      </c>
      <c r="P2331" s="1">
        <v>45600.340138888889</v>
      </c>
      <c r="Q2331">
        <v>16</v>
      </c>
      <c r="R2331" t="s">
        <v>47</v>
      </c>
      <c r="S2331">
        <v>0.158475141168894</v>
      </c>
      <c r="T2331" t="b">
        <v>0</v>
      </c>
      <c r="U2331" t="b">
        <v>0</v>
      </c>
      <c r="V2331" t="b">
        <f t="shared" si="72"/>
        <v>1</v>
      </c>
      <c r="W2331">
        <v>0</v>
      </c>
      <c r="Y2331">
        <f t="shared" si="73"/>
        <v>0</v>
      </c>
    </row>
    <row r="2332" spans="1:25" x14ac:dyDescent="0.3">
      <c r="A2332" t="s">
        <v>4269</v>
      </c>
      <c r="B2332" t="s">
        <v>1025</v>
      </c>
      <c r="C2332">
        <v>69.38</v>
      </c>
      <c r="D2332" s="1">
        <v>44937.673333333332</v>
      </c>
      <c r="E2332" t="s">
        <v>25</v>
      </c>
      <c r="F2332" t="s">
        <v>85</v>
      </c>
      <c r="G2332" t="s">
        <v>1018</v>
      </c>
      <c r="H2332" t="s">
        <v>4270</v>
      </c>
      <c r="I2332" t="s">
        <v>577</v>
      </c>
      <c r="J2332" t="s">
        <v>81</v>
      </c>
      <c r="K2332">
        <v>69</v>
      </c>
      <c r="L2332" t="s">
        <v>31</v>
      </c>
      <c r="M2332">
        <v>280</v>
      </c>
      <c r="N2332">
        <v>2</v>
      </c>
      <c r="O2332">
        <v>12072.11</v>
      </c>
      <c r="P2332" s="1">
        <v>45600.341111111113</v>
      </c>
      <c r="Q2332">
        <v>16</v>
      </c>
      <c r="R2332" t="s">
        <v>74</v>
      </c>
      <c r="S2332">
        <v>-0.78169794282060001</v>
      </c>
      <c r="T2332" t="b">
        <v>0</v>
      </c>
      <c r="U2332" t="b">
        <v>1</v>
      </c>
      <c r="V2332" t="b">
        <f t="shared" si="72"/>
        <v>1</v>
      </c>
      <c r="W2332">
        <v>1</v>
      </c>
      <c r="Y2332">
        <f t="shared" si="73"/>
        <v>0</v>
      </c>
    </row>
    <row r="2333" spans="1:25" x14ac:dyDescent="0.3">
      <c r="A2333" t="s">
        <v>4271</v>
      </c>
      <c r="B2333" t="s">
        <v>3167</v>
      </c>
      <c r="C2333">
        <v>75.430000000000007</v>
      </c>
      <c r="D2333" s="1">
        <v>45152.668020833335</v>
      </c>
      <c r="E2333" t="s">
        <v>25</v>
      </c>
      <c r="F2333" t="s">
        <v>571</v>
      </c>
      <c r="G2333" t="s">
        <v>1282</v>
      </c>
      <c r="H2333" t="s">
        <v>2338</v>
      </c>
      <c r="I2333" t="s">
        <v>1300</v>
      </c>
      <c r="J2333" t="s">
        <v>30</v>
      </c>
      <c r="K2333">
        <v>77</v>
      </c>
      <c r="L2333" t="s">
        <v>82</v>
      </c>
      <c r="M2333">
        <v>266</v>
      </c>
      <c r="N2333">
        <v>1</v>
      </c>
      <c r="O2333">
        <v>1441.86</v>
      </c>
      <c r="P2333" s="1">
        <v>45600.341192129628</v>
      </c>
      <c r="Q2333">
        <v>16</v>
      </c>
      <c r="R2333" t="s">
        <v>47</v>
      </c>
      <c r="S2333">
        <v>-0.76097494967670398</v>
      </c>
      <c r="T2333" t="b">
        <v>0</v>
      </c>
      <c r="U2333" t="b">
        <v>0</v>
      </c>
      <c r="V2333" t="b">
        <f t="shared" si="72"/>
        <v>1</v>
      </c>
      <c r="W2333">
        <v>0</v>
      </c>
      <c r="Y2333">
        <f t="shared" si="73"/>
        <v>0</v>
      </c>
    </row>
    <row r="2334" spans="1:25" x14ac:dyDescent="0.3">
      <c r="A2334" t="s">
        <v>4272</v>
      </c>
      <c r="B2334" t="s">
        <v>2146</v>
      </c>
      <c r="C2334">
        <v>414.64</v>
      </c>
      <c r="D2334" s="1">
        <v>45019.685694444444</v>
      </c>
      <c r="E2334" t="s">
        <v>25</v>
      </c>
      <c r="F2334" t="s">
        <v>41</v>
      </c>
      <c r="G2334" t="s">
        <v>4008</v>
      </c>
      <c r="H2334" t="s">
        <v>3087</v>
      </c>
      <c r="I2334" t="s">
        <v>419</v>
      </c>
      <c r="J2334" t="s">
        <v>81</v>
      </c>
      <c r="K2334">
        <v>32</v>
      </c>
      <c r="L2334" t="s">
        <v>31</v>
      </c>
      <c r="M2334">
        <v>74</v>
      </c>
      <c r="N2334">
        <v>1</v>
      </c>
      <c r="O2334">
        <v>7253.22</v>
      </c>
      <c r="P2334" s="1">
        <v>45600.339780092596</v>
      </c>
      <c r="Q2334">
        <v>16</v>
      </c>
      <c r="R2334" t="s">
        <v>47</v>
      </c>
      <c r="S2334">
        <v>0.40091703451185701</v>
      </c>
      <c r="T2334" t="b">
        <v>0</v>
      </c>
      <c r="U2334" t="b">
        <v>0</v>
      </c>
      <c r="V2334" t="b">
        <f t="shared" si="72"/>
        <v>1</v>
      </c>
      <c r="W2334">
        <v>0</v>
      </c>
      <c r="Y2334">
        <f t="shared" si="73"/>
        <v>0</v>
      </c>
    </row>
    <row r="2335" spans="1:25" x14ac:dyDescent="0.3">
      <c r="A2335" t="s">
        <v>4273</v>
      </c>
      <c r="B2335" t="s">
        <v>1040</v>
      </c>
      <c r="C2335">
        <v>86.79</v>
      </c>
      <c r="D2335" s="1">
        <v>44949.68854166667</v>
      </c>
      <c r="E2335" t="s">
        <v>25</v>
      </c>
      <c r="F2335" t="s">
        <v>170</v>
      </c>
      <c r="G2335" t="s">
        <v>1542</v>
      </c>
      <c r="H2335" t="s">
        <v>2363</v>
      </c>
      <c r="I2335" t="s">
        <v>753</v>
      </c>
      <c r="J2335" t="s">
        <v>81</v>
      </c>
      <c r="K2335">
        <v>33</v>
      </c>
      <c r="L2335" t="s">
        <v>31</v>
      </c>
      <c r="M2335">
        <v>166</v>
      </c>
      <c r="N2335">
        <v>1</v>
      </c>
      <c r="O2335">
        <v>8795.3700000000008</v>
      </c>
      <c r="P2335" s="1">
        <v>45600.338750000003</v>
      </c>
      <c r="Q2335">
        <v>16</v>
      </c>
      <c r="R2335" t="s">
        <v>47</v>
      </c>
      <c r="S2335">
        <v>-0.722063676599902</v>
      </c>
      <c r="T2335" t="b">
        <v>0</v>
      </c>
      <c r="U2335" t="b">
        <v>0</v>
      </c>
      <c r="V2335" t="b">
        <f t="shared" si="72"/>
        <v>1</v>
      </c>
      <c r="W2335">
        <v>0</v>
      </c>
      <c r="Y2335">
        <f t="shared" si="73"/>
        <v>0</v>
      </c>
    </row>
    <row r="2336" spans="1:25" x14ac:dyDescent="0.3">
      <c r="A2336" t="s">
        <v>4274</v>
      </c>
      <c r="B2336" t="s">
        <v>2815</v>
      </c>
      <c r="C2336">
        <v>1105.8800000000001</v>
      </c>
      <c r="D2336" s="1">
        <v>44991.734398148146</v>
      </c>
      <c r="E2336" t="s">
        <v>25</v>
      </c>
      <c r="F2336" t="s">
        <v>309</v>
      </c>
      <c r="G2336" t="s">
        <v>2173</v>
      </c>
      <c r="H2336" t="s">
        <v>2281</v>
      </c>
      <c r="I2336" t="s">
        <v>491</v>
      </c>
      <c r="J2336" t="s">
        <v>30</v>
      </c>
      <c r="K2336">
        <v>34</v>
      </c>
      <c r="L2336" t="s">
        <v>89</v>
      </c>
      <c r="M2336">
        <v>36</v>
      </c>
      <c r="N2336">
        <v>1</v>
      </c>
      <c r="O2336">
        <v>2636.32</v>
      </c>
      <c r="P2336" s="1">
        <v>45600.341226851851</v>
      </c>
      <c r="Q2336">
        <v>17</v>
      </c>
      <c r="R2336" t="s">
        <v>47</v>
      </c>
      <c r="S2336">
        <v>2.7686131966252998</v>
      </c>
      <c r="T2336" t="b">
        <v>1</v>
      </c>
      <c r="U2336" t="b">
        <v>0</v>
      </c>
      <c r="V2336" t="b">
        <f t="shared" si="72"/>
        <v>1</v>
      </c>
      <c r="W2336">
        <v>1</v>
      </c>
      <c r="Y2336">
        <f t="shared" si="73"/>
        <v>1</v>
      </c>
    </row>
    <row r="2337" spans="1:25" x14ac:dyDescent="0.3">
      <c r="A2337" t="s">
        <v>4275</v>
      </c>
      <c r="B2337" t="s">
        <v>3561</v>
      </c>
      <c r="C2337">
        <v>14.1</v>
      </c>
      <c r="D2337" s="1">
        <v>45285.717893518522</v>
      </c>
      <c r="E2337" t="s">
        <v>25</v>
      </c>
      <c r="F2337" t="s">
        <v>120</v>
      </c>
      <c r="G2337" t="s">
        <v>1984</v>
      </c>
      <c r="H2337" t="s">
        <v>1117</v>
      </c>
      <c r="I2337" t="s">
        <v>1575</v>
      </c>
      <c r="J2337" t="s">
        <v>81</v>
      </c>
      <c r="K2337">
        <v>45</v>
      </c>
      <c r="L2337" t="s">
        <v>89</v>
      </c>
      <c r="M2337">
        <v>73</v>
      </c>
      <c r="N2337">
        <v>1</v>
      </c>
      <c r="O2337">
        <v>6949.21</v>
      </c>
      <c r="P2337" s="1">
        <v>45600.339074074072</v>
      </c>
      <c r="Q2337">
        <v>17</v>
      </c>
      <c r="R2337" t="s">
        <v>47</v>
      </c>
      <c r="S2337">
        <v>-0.971047870257715</v>
      </c>
      <c r="T2337" t="b">
        <v>0</v>
      </c>
      <c r="U2337" t="b">
        <v>0</v>
      </c>
      <c r="V2337" t="b">
        <f t="shared" si="72"/>
        <v>1</v>
      </c>
      <c r="W2337">
        <v>0</v>
      </c>
      <c r="Y2337">
        <f t="shared" si="73"/>
        <v>0</v>
      </c>
    </row>
    <row r="2338" spans="1:25" x14ac:dyDescent="0.3">
      <c r="A2338" t="s">
        <v>4276</v>
      </c>
      <c r="B2338" t="s">
        <v>2677</v>
      </c>
      <c r="C2338">
        <v>63.33</v>
      </c>
      <c r="D2338" s="1">
        <v>45286.715289351851</v>
      </c>
      <c r="E2338" t="s">
        <v>57</v>
      </c>
      <c r="F2338" t="s">
        <v>120</v>
      </c>
      <c r="G2338" t="s">
        <v>979</v>
      </c>
      <c r="H2338" t="s">
        <v>2203</v>
      </c>
      <c r="I2338" t="s">
        <v>253</v>
      </c>
      <c r="J2338" t="s">
        <v>81</v>
      </c>
      <c r="K2338">
        <v>23</v>
      </c>
      <c r="L2338" t="s">
        <v>46</v>
      </c>
      <c r="M2338">
        <v>124</v>
      </c>
      <c r="N2338">
        <v>1</v>
      </c>
      <c r="O2338">
        <v>792.33</v>
      </c>
      <c r="P2338" s="1">
        <v>45600.341689814813</v>
      </c>
      <c r="Q2338">
        <v>17</v>
      </c>
      <c r="R2338" t="s">
        <v>32</v>
      </c>
      <c r="S2338">
        <v>-0.80242093596449604</v>
      </c>
      <c r="T2338" t="b">
        <v>0</v>
      </c>
      <c r="U2338" t="b">
        <v>0</v>
      </c>
      <c r="V2338" t="b">
        <f t="shared" si="72"/>
        <v>1</v>
      </c>
      <c r="W2338">
        <v>0</v>
      </c>
      <c r="Y2338">
        <f t="shared" si="73"/>
        <v>0</v>
      </c>
    </row>
    <row r="2339" spans="1:25" x14ac:dyDescent="0.3">
      <c r="A2339" t="s">
        <v>4277</v>
      </c>
      <c r="B2339" t="s">
        <v>3824</v>
      </c>
      <c r="C2339">
        <v>606.27</v>
      </c>
      <c r="D2339" s="1">
        <v>45099.712291666663</v>
      </c>
      <c r="E2339" t="s">
        <v>25</v>
      </c>
      <c r="F2339" t="s">
        <v>120</v>
      </c>
      <c r="G2339" t="s">
        <v>3107</v>
      </c>
      <c r="H2339" t="s">
        <v>4278</v>
      </c>
      <c r="I2339" t="s">
        <v>775</v>
      </c>
      <c r="J2339" t="s">
        <v>81</v>
      </c>
      <c r="K2339">
        <v>29</v>
      </c>
      <c r="L2339" t="s">
        <v>31</v>
      </c>
      <c r="M2339">
        <v>42</v>
      </c>
      <c r="N2339">
        <v>1</v>
      </c>
      <c r="O2339">
        <v>9668.7800000000007</v>
      </c>
      <c r="P2339" s="1">
        <v>45600.339965277781</v>
      </c>
      <c r="Q2339">
        <v>17</v>
      </c>
      <c r="R2339" t="s">
        <v>141</v>
      </c>
      <c r="S2339">
        <v>1.0573049975142801</v>
      </c>
      <c r="T2339" t="b">
        <v>0</v>
      </c>
      <c r="U2339" t="b">
        <v>0</v>
      </c>
      <c r="V2339" t="b">
        <f t="shared" si="72"/>
        <v>1</v>
      </c>
      <c r="W2339">
        <v>0</v>
      </c>
      <c r="Y2339">
        <f t="shared" si="73"/>
        <v>0</v>
      </c>
    </row>
    <row r="2340" spans="1:25" x14ac:dyDescent="0.3">
      <c r="A2340" t="s">
        <v>4279</v>
      </c>
      <c r="B2340" t="s">
        <v>3415</v>
      </c>
      <c r="C2340">
        <v>4.47</v>
      </c>
      <c r="D2340" s="1">
        <v>45152.681122685186</v>
      </c>
      <c r="E2340" t="s">
        <v>25</v>
      </c>
      <c r="F2340" t="s">
        <v>210</v>
      </c>
      <c r="G2340" t="s">
        <v>3038</v>
      </c>
      <c r="H2340" t="s">
        <v>636</v>
      </c>
      <c r="I2340" t="s">
        <v>463</v>
      </c>
      <c r="J2340" t="s">
        <v>81</v>
      </c>
      <c r="K2340">
        <v>27</v>
      </c>
      <c r="L2340" t="s">
        <v>46</v>
      </c>
      <c r="M2340">
        <v>132</v>
      </c>
      <c r="N2340">
        <v>1</v>
      </c>
      <c r="O2340">
        <v>1381.75</v>
      </c>
      <c r="P2340" s="1">
        <v>45600.340555555558</v>
      </c>
      <c r="Q2340">
        <v>16</v>
      </c>
      <c r="R2340" t="s">
        <v>47</v>
      </c>
      <c r="S2340">
        <v>-1.0040333948818001</v>
      </c>
      <c r="T2340" t="b">
        <v>0</v>
      </c>
      <c r="U2340" t="b">
        <v>0</v>
      </c>
      <c r="V2340" t="b">
        <f t="shared" si="72"/>
        <v>1</v>
      </c>
      <c r="W2340">
        <v>0</v>
      </c>
      <c r="Y2340">
        <f t="shared" si="73"/>
        <v>0</v>
      </c>
    </row>
    <row r="2341" spans="1:25" x14ac:dyDescent="0.3">
      <c r="A2341" t="s">
        <v>4280</v>
      </c>
      <c r="B2341" t="s">
        <v>2703</v>
      </c>
      <c r="C2341">
        <v>289.01</v>
      </c>
      <c r="D2341" s="1">
        <v>45166.695381944446</v>
      </c>
      <c r="E2341" t="s">
        <v>25</v>
      </c>
      <c r="F2341" t="s">
        <v>185</v>
      </c>
      <c r="G2341" t="s">
        <v>2700</v>
      </c>
      <c r="H2341" t="s">
        <v>727</v>
      </c>
      <c r="I2341" t="s">
        <v>265</v>
      </c>
      <c r="J2341" t="s">
        <v>45</v>
      </c>
      <c r="K2341">
        <v>66</v>
      </c>
      <c r="L2341" t="s">
        <v>82</v>
      </c>
      <c r="M2341">
        <v>96</v>
      </c>
      <c r="N2341">
        <v>1</v>
      </c>
      <c r="O2341">
        <v>4226.26</v>
      </c>
      <c r="P2341" s="1">
        <v>45600.33902777778</v>
      </c>
      <c r="Q2341">
        <v>16</v>
      </c>
      <c r="R2341" t="s">
        <v>47</v>
      </c>
      <c r="S2341">
        <v>-2.9401912375348199E-2</v>
      </c>
      <c r="T2341" t="b">
        <v>0</v>
      </c>
      <c r="U2341" t="b">
        <v>0</v>
      </c>
      <c r="V2341" t="b">
        <f t="shared" si="72"/>
        <v>1</v>
      </c>
      <c r="W2341">
        <v>0</v>
      </c>
      <c r="Y2341">
        <f t="shared" si="73"/>
        <v>0</v>
      </c>
    </row>
    <row r="2342" spans="1:25" x14ac:dyDescent="0.3">
      <c r="A2342" t="s">
        <v>4281</v>
      </c>
      <c r="B2342" t="s">
        <v>2663</v>
      </c>
      <c r="C2342">
        <v>338.69</v>
      </c>
      <c r="D2342" s="1">
        <v>45222.782534722224</v>
      </c>
      <c r="E2342" t="s">
        <v>25</v>
      </c>
      <c r="F2342" t="s">
        <v>314</v>
      </c>
      <c r="G2342" t="s">
        <v>1110</v>
      </c>
      <c r="H2342" t="s">
        <v>1810</v>
      </c>
      <c r="I2342" t="s">
        <v>620</v>
      </c>
      <c r="J2342" t="s">
        <v>81</v>
      </c>
      <c r="K2342">
        <v>18</v>
      </c>
      <c r="L2342" t="s">
        <v>46</v>
      </c>
      <c r="M2342">
        <v>169</v>
      </c>
      <c r="N2342">
        <v>1</v>
      </c>
      <c r="O2342">
        <v>1137.8900000000001</v>
      </c>
      <c r="P2342" s="1">
        <v>45600.337870370371</v>
      </c>
      <c r="Q2342">
        <v>18</v>
      </c>
      <c r="R2342" t="s">
        <v>47</v>
      </c>
      <c r="S2342">
        <v>0.140766401573202</v>
      </c>
      <c r="T2342" t="b">
        <v>0</v>
      </c>
      <c r="U2342" t="b">
        <v>0</v>
      </c>
      <c r="V2342" t="b">
        <f t="shared" si="72"/>
        <v>1</v>
      </c>
      <c r="W2342">
        <v>0</v>
      </c>
      <c r="Y2342">
        <f t="shared" si="73"/>
        <v>0</v>
      </c>
    </row>
    <row r="2343" spans="1:25" x14ac:dyDescent="0.3">
      <c r="A2343" t="s">
        <v>4282</v>
      </c>
      <c r="B2343" t="s">
        <v>1887</v>
      </c>
      <c r="C2343">
        <v>97.73</v>
      </c>
      <c r="D2343" s="1">
        <v>45075.746793981481</v>
      </c>
      <c r="E2343" t="s">
        <v>25</v>
      </c>
      <c r="F2343" t="s">
        <v>298</v>
      </c>
      <c r="G2343" t="s">
        <v>246</v>
      </c>
      <c r="H2343" t="s">
        <v>1068</v>
      </c>
      <c r="I2343" t="s">
        <v>775</v>
      </c>
      <c r="J2343" t="s">
        <v>81</v>
      </c>
      <c r="K2343">
        <v>69</v>
      </c>
      <c r="L2343" t="s">
        <v>31</v>
      </c>
      <c r="M2343">
        <v>156</v>
      </c>
      <c r="N2343">
        <v>1</v>
      </c>
      <c r="O2343">
        <v>7885.21</v>
      </c>
      <c r="P2343" s="1">
        <v>45600.339201388888</v>
      </c>
      <c r="Q2343">
        <v>17</v>
      </c>
      <c r="R2343" t="s">
        <v>47</v>
      </c>
      <c r="S2343">
        <v>-0.68459102453474197</v>
      </c>
      <c r="T2343" t="b">
        <v>0</v>
      </c>
      <c r="U2343" t="b">
        <v>0</v>
      </c>
      <c r="V2343" t="b">
        <f t="shared" si="72"/>
        <v>1</v>
      </c>
      <c r="W2343">
        <v>0</v>
      </c>
      <c r="Y2343">
        <f t="shared" si="73"/>
        <v>0</v>
      </c>
    </row>
    <row r="2344" spans="1:25" x14ac:dyDescent="0.3">
      <c r="A2344" t="s">
        <v>4283</v>
      </c>
      <c r="B2344" t="s">
        <v>1555</v>
      </c>
      <c r="C2344">
        <v>1021.16</v>
      </c>
      <c r="D2344" s="1">
        <v>45215.730740740742</v>
      </c>
      <c r="E2344" t="s">
        <v>25</v>
      </c>
      <c r="F2344" t="s">
        <v>98</v>
      </c>
      <c r="G2344" t="s">
        <v>1888</v>
      </c>
      <c r="H2344" t="s">
        <v>503</v>
      </c>
      <c r="I2344" t="s">
        <v>259</v>
      </c>
      <c r="J2344" t="s">
        <v>30</v>
      </c>
      <c r="K2344">
        <v>20</v>
      </c>
      <c r="L2344" t="s">
        <v>46</v>
      </c>
      <c r="M2344">
        <v>104</v>
      </c>
      <c r="N2344">
        <v>1</v>
      </c>
      <c r="O2344">
        <v>9427.06</v>
      </c>
      <c r="P2344" s="1">
        <v>45600.338773148149</v>
      </c>
      <c r="Q2344">
        <v>17</v>
      </c>
      <c r="R2344" t="s">
        <v>47</v>
      </c>
      <c r="S2344">
        <v>2.4784227868483</v>
      </c>
      <c r="T2344" t="b">
        <v>1</v>
      </c>
      <c r="U2344" t="b">
        <v>0</v>
      </c>
      <c r="V2344" t="b">
        <f t="shared" si="72"/>
        <v>1</v>
      </c>
      <c r="W2344">
        <v>1</v>
      </c>
      <c r="Y2344">
        <f t="shared" si="73"/>
        <v>1</v>
      </c>
    </row>
    <row r="2345" spans="1:25" x14ac:dyDescent="0.3">
      <c r="A2345" t="s">
        <v>4284</v>
      </c>
      <c r="B2345" t="s">
        <v>1070</v>
      </c>
      <c r="C2345">
        <v>27.61</v>
      </c>
      <c r="D2345" s="1">
        <v>44995.686192129629</v>
      </c>
      <c r="E2345" t="s">
        <v>57</v>
      </c>
      <c r="F2345" t="s">
        <v>170</v>
      </c>
      <c r="G2345" t="s">
        <v>2092</v>
      </c>
      <c r="H2345" t="s">
        <v>2540</v>
      </c>
      <c r="I2345" t="s">
        <v>29</v>
      </c>
      <c r="J2345" t="s">
        <v>30</v>
      </c>
      <c r="K2345">
        <v>54</v>
      </c>
      <c r="L2345" t="s">
        <v>82</v>
      </c>
      <c r="M2345">
        <v>26</v>
      </c>
      <c r="N2345">
        <v>1</v>
      </c>
      <c r="O2345">
        <v>3679.64</v>
      </c>
      <c r="P2345" s="1">
        <v>45600.339768518519</v>
      </c>
      <c r="Q2345">
        <v>16</v>
      </c>
      <c r="R2345" t="s">
        <v>54</v>
      </c>
      <c r="S2345">
        <v>-0.92477222771655299</v>
      </c>
      <c r="T2345" t="b">
        <v>0</v>
      </c>
      <c r="U2345" t="b">
        <v>0</v>
      </c>
      <c r="V2345" t="b">
        <f t="shared" si="72"/>
        <v>1</v>
      </c>
      <c r="W2345">
        <v>0</v>
      </c>
      <c r="Y2345">
        <f t="shared" si="73"/>
        <v>0</v>
      </c>
    </row>
    <row r="2346" spans="1:25" x14ac:dyDescent="0.3">
      <c r="A2346" t="s">
        <v>4285</v>
      </c>
      <c r="B2346" t="s">
        <v>794</v>
      </c>
      <c r="C2346">
        <v>284.17</v>
      </c>
      <c r="D2346" s="1">
        <v>45070.668506944443</v>
      </c>
      <c r="E2346" t="s">
        <v>25</v>
      </c>
      <c r="F2346" t="s">
        <v>104</v>
      </c>
      <c r="G2346" t="s">
        <v>4286</v>
      </c>
      <c r="H2346" t="s">
        <v>910</v>
      </c>
      <c r="I2346" t="s">
        <v>239</v>
      </c>
      <c r="J2346" t="s">
        <v>30</v>
      </c>
      <c r="K2346">
        <v>51</v>
      </c>
      <c r="L2346" t="s">
        <v>82</v>
      </c>
      <c r="M2346">
        <v>189</v>
      </c>
      <c r="N2346">
        <v>1</v>
      </c>
      <c r="O2346">
        <v>3479.56</v>
      </c>
      <c r="P2346" s="1">
        <v>45600.338946759257</v>
      </c>
      <c r="Q2346">
        <v>16</v>
      </c>
      <c r="R2346" t="s">
        <v>74</v>
      </c>
      <c r="S2346">
        <v>-4.5980306890464603E-2</v>
      </c>
      <c r="T2346" t="b">
        <v>0</v>
      </c>
      <c r="U2346" t="b">
        <v>0</v>
      </c>
      <c r="V2346" t="b">
        <f t="shared" si="72"/>
        <v>1</v>
      </c>
      <c r="W2346">
        <v>0</v>
      </c>
      <c r="Y2346">
        <f t="shared" si="73"/>
        <v>0</v>
      </c>
    </row>
    <row r="2347" spans="1:25" x14ac:dyDescent="0.3">
      <c r="A2347" t="s">
        <v>4287</v>
      </c>
      <c r="B2347" t="s">
        <v>563</v>
      </c>
      <c r="C2347">
        <v>76.209999999999994</v>
      </c>
      <c r="D2347" s="1">
        <v>44936.695625</v>
      </c>
      <c r="E2347" t="s">
        <v>25</v>
      </c>
      <c r="F2347" t="s">
        <v>153</v>
      </c>
      <c r="G2347" t="s">
        <v>1684</v>
      </c>
      <c r="H2347" t="s">
        <v>1243</v>
      </c>
      <c r="I2347" t="s">
        <v>301</v>
      </c>
      <c r="J2347" t="s">
        <v>81</v>
      </c>
      <c r="K2347">
        <v>22</v>
      </c>
      <c r="L2347" t="s">
        <v>46</v>
      </c>
      <c r="M2347">
        <v>69</v>
      </c>
      <c r="N2347">
        <v>1</v>
      </c>
      <c r="O2347">
        <v>664.93</v>
      </c>
      <c r="P2347" s="1">
        <v>45600.340787037036</v>
      </c>
      <c r="Q2347">
        <v>16</v>
      </c>
      <c r="R2347" t="s">
        <v>32</v>
      </c>
      <c r="S2347">
        <v>-0.75830322494079705</v>
      </c>
      <c r="T2347" t="b">
        <v>0</v>
      </c>
      <c r="U2347" t="b">
        <v>0</v>
      </c>
      <c r="V2347" t="b">
        <f t="shared" si="72"/>
        <v>1</v>
      </c>
      <c r="W2347">
        <v>0</v>
      </c>
      <c r="Y2347">
        <f t="shared" si="73"/>
        <v>0</v>
      </c>
    </row>
    <row r="2348" spans="1:25" x14ac:dyDescent="0.3">
      <c r="A2348" t="s">
        <v>4288</v>
      </c>
      <c r="B2348" t="s">
        <v>335</v>
      </c>
      <c r="C2348">
        <v>334.79</v>
      </c>
      <c r="D2348" s="1">
        <v>45250.743807870371</v>
      </c>
      <c r="E2348" t="s">
        <v>57</v>
      </c>
      <c r="F2348" t="s">
        <v>126</v>
      </c>
      <c r="G2348" t="s">
        <v>575</v>
      </c>
      <c r="H2348" t="s">
        <v>1061</v>
      </c>
      <c r="I2348" t="s">
        <v>361</v>
      </c>
      <c r="J2348" t="s">
        <v>81</v>
      </c>
      <c r="K2348">
        <v>69</v>
      </c>
      <c r="L2348" t="s">
        <v>31</v>
      </c>
      <c r="M2348">
        <v>292</v>
      </c>
      <c r="N2348">
        <v>1</v>
      </c>
      <c r="O2348">
        <v>624.09</v>
      </c>
      <c r="P2348" s="1">
        <v>45600.339189814818</v>
      </c>
      <c r="Q2348">
        <v>17</v>
      </c>
      <c r="R2348" t="s">
        <v>47</v>
      </c>
      <c r="S2348">
        <v>0.127407777893666</v>
      </c>
      <c r="T2348" t="b">
        <v>0</v>
      </c>
      <c r="U2348" t="b">
        <v>0</v>
      </c>
      <c r="V2348" t="b">
        <f t="shared" si="72"/>
        <v>1</v>
      </c>
      <c r="W2348">
        <v>0</v>
      </c>
      <c r="Y2348">
        <f t="shared" si="73"/>
        <v>0</v>
      </c>
    </row>
    <row r="2349" spans="1:25" x14ac:dyDescent="0.3">
      <c r="A2349" t="s">
        <v>4289</v>
      </c>
      <c r="B2349" t="s">
        <v>794</v>
      </c>
      <c r="C2349">
        <v>584.51</v>
      </c>
      <c r="D2349" s="1">
        <v>45163.741053240738</v>
      </c>
      <c r="E2349" t="s">
        <v>25</v>
      </c>
      <c r="F2349" t="s">
        <v>126</v>
      </c>
      <c r="G2349" t="s">
        <v>1646</v>
      </c>
      <c r="H2349" t="s">
        <v>4146</v>
      </c>
      <c r="I2349" t="s">
        <v>765</v>
      </c>
      <c r="J2349" t="s">
        <v>30</v>
      </c>
      <c r="K2349">
        <v>74</v>
      </c>
      <c r="L2349" t="s">
        <v>82</v>
      </c>
      <c r="M2349">
        <v>76</v>
      </c>
      <c r="N2349">
        <v>1</v>
      </c>
      <c r="O2349">
        <v>3254.56</v>
      </c>
      <c r="P2349" s="1">
        <v>45600.339456018519</v>
      </c>
      <c r="Q2349">
        <v>17</v>
      </c>
      <c r="R2349" t="s">
        <v>54</v>
      </c>
      <c r="S2349">
        <v>0.982770727958722</v>
      </c>
      <c r="T2349" t="b">
        <v>0</v>
      </c>
      <c r="U2349" t="b">
        <v>0</v>
      </c>
      <c r="V2349" t="b">
        <f t="shared" si="72"/>
        <v>1</v>
      </c>
      <c r="W2349">
        <v>0</v>
      </c>
      <c r="Y2349">
        <f t="shared" si="73"/>
        <v>0</v>
      </c>
    </row>
    <row r="2350" spans="1:25" x14ac:dyDescent="0.3">
      <c r="A2350" t="s">
        <v>4290</v>
      </c>
      <c r="B2350" t="s">
        <v>1446</v>
      </c>
      <c r="C2350">
        <v>432.18</v>
      </c>
      <c r="D2350" s="1">
        <v>45065.688321759262</v>
      </c>
      <c r="E2350" t="s">
        <v>25</v>
      </c>
      <c r="F2350" t="s">
        <v>159</v>
      </c>
      <c r="G2350" t="s">
        <v>1868</v>
      </c>
      <c r="H2350" t="s">
        <v>1424</v>
      </c>
      <c r="I2350" t="s">
        <v>194</v>
      </c>
      <c r="J2350" t="s">
        <v>81</v>
      </c>
      <c r="K2350">
        <v>18</v>
      </c>
      <c r="L2350" t="s">
        <v>46</v>
      </c>
      <c r="M2350">
        <v>162</v>
      </c>
      <c r="N2350">
        <v>1</v>
      </c>
      <c r="O2350">
        <v>678.83</v>
      </c>
      <c r="P2350" s="1">
        <v>45600.339236111111</v>
      </c>
      <c r="Q2350">
        <v>16</v>
      </c>
      <c r="R2350" t="s">
        <v>54</v>
      </c>
      <c r="S2350">
        <v>0.460996588188539</v>
      </c>
      <c r="T2350" t="b">
        <v>0</v>
      </c>
      <c r="U2350" t="b">
        <v>0</v>
      </c>
      <c r="V2350" t="b">
        <f t="shared" si="72"/>
        <v>1</v>
      </c>
      <c r="W2350">
        <v>0</v>
      </c>
      <c r="Y2350">
        <f t="shared" si="73"/>
        <v>0</v>
      </c>
    </row>
    <row r="2351" spans="1:25" x14ac:dyDescent="0.3">
      <c r="A2351" t="s">
        <v>4291</v>
      </c>
      <c r="B2351" t="s">
        <v>3574</v>
      </c>
      <c r="C2351">
        <v>134.55000000000001</v>
      </c>
      <c r="D2351" s="1">
        <v>45208.697800925926</v>
      </c>
      <c r="E2351" t="s">
        <v>25</v>
      </c>
      <c r="F2351" t="s">
        <v>236</v>
      </c>
      <c r="G2351" t="s">
        <v>2624</v>
      </c>
      <c r="H2351" t="s">
        <v>1238</v>
      </c>
      <c r="I2351" t="s">
        <v>620</v>
      </c>
      <c r="J2351" t="s">
        <v>45</v>
      </c>
      <c r="K2351">
        <v>59</v>
      </c>
      <c r="L2351" t="s">
        <v>31</v>
      </c>
      <c r="M2351">
        <v>165</v>
      </c>
      <c r="N2351">
        <v>1</v>
      </c>
      <c r="O2351">
        <v>14852.42</v>
      </c>
      <c r="P2351" s="1">
        <v>45600.339178240742</v>
      </c>
      <c r="Q2351">
        <v>16</v>
      </c>
      <c r="R2351" t="s">
        <v>47</v>
      </c>
      <c r="S2351">
        <v>-0.55847191584743106</v>
      </c>
      <c r="T2351" t="b">
        <v>0</v>
      </c>
      <c r="U2351" t="b">
        <v>0</v>
      </c>
      <c r="V2351" t="b">
        <f t="shared" si="72"/>
        <v>1</v>
      </c>
      <c r="W2351">
        <v>0</v>
      </c>
      <c r="Y2351">
        <f t="shared" si="73"/>
        <v>0</v>
      </c>
    </row>
    <row r="2352" spans="1:25" x14ac:dyDescent="0.3">
      <c r="A2352" t="s">
        <v>4292</v>
      </c>
      <c r="B2352" t="s">
        <v>1006</v>
      </c>
      <c r="C2352">
        <v>61.66</v>
      </c>
      <c r="D2352" s="1">
        <v>44967.69027777778</v>
      </c>
      <c r="E2352" t="s">
        <v>25</v>
      </c>
      <c r="F2352" t="s">
        <v>298</v>
      </c>
      <c r="G2352" t="s">
        <v>3770</v>
      </c>
      <c r="H2352" t="s">
        <v>1503</v>
      </c>
      <c r="I2352" t="s">
        <v>687</v>
      </c>
      <c r="J2352" t="s">
        <v>30</v>
      </c>
      <c r="K2352">
        <v>26</v>
      </c>
      <c r="L2352" t="s">
        <v>46</v>
      </c>
      <c r="M2352">
        <v>86</v>
      </c>
      <c r="N2352">
        <v>1</v>
      </c>
      <c r="O2352">
        <v>5705.4</v>
      </c>
      <c r="P2352" s="1">
        <v>45600.338055555556</v>
      </c>
      <c r="Q2352">
        <v>16</v>
      </c>
      <c r="R2352" t="s">
        <v>54</v>
      </c>
      <c r="S2352">
        <v>-0.80814116712983497</v>
      </c>
      <c r="T2352" t="b">
        <v>0</v>
      </c>
      <c r="U2352" t="b">
        <v>0</v>
      </c>
      <c r="V2352" t="b">
        <f t="shared" si="72"/>
        <v>1</v>
      </c>
      <c r="W2352">
        <v>0</v>
      </c>
      <c r="Y2352">
        <f t="shared" si="73"/>
        <v>0</v>
      </c>
    </row>
    <row r="2353" spans="1:25" x14ac:dyDescent="0.3">
      <c r="A2353" t="s">
        <v>4293</v>
      </c>
      <c r="B2353" t="s">
        <v>1356</v>
      </c>
      <c r="C2353">
        <v>12.35</v>
      </c>
      <c r="D2353" s="1">
        <v>44963.777662037035</v>
      </c>
      <c r="E2353" t="s">
        <v>25</v>
      </c>
      <c r="F2353" t="s">
        <v>571</v>
      </c>
      <c r="G2353" t="s">
        <v>795</v>
      </c>
      <c r="H2353" t="s">
        <v>2938</v>
      </c>
      <c r="I2353" t="s">
        <v>199</v>
      </c>
      <c r="J2353" t="s">
        <v>81</v>
      </c>
      <c r="K2353">
        <v>25</v>
      </c>
      <c r="L2353" t="s">
        <v>46</v>
      </c>
      <c r="M2353">
        <v>22</v>
      </c>
      <c r="N2353">
        <v>1</v>
      </c>
      <c r="O2353">
        <v>1846.85</v>
      </c>
      <c r="P2353" s="1">
        <v>45600.341111111113</v>
      </c>
      <c r="Q2353">
        <v>18</v>
      </c>
      <c r="R2353" t="s">
        <v>47</v>
      </c>
      <c r="S2353">
        <v>-0.97704212447289096</v>
      </c>
      <c r="T2353" t="b">
        <v>0</v>
      </c>
      <c r="U2353" t="b">
        <v>0</v>
      </c>
      <c r="V2353" t="b">
        <f t="shared" si="72"/>
        <v>1</v>
      </c>
      <c r="W2353">
        <v>0</v>
      </c>
      <c r="Y2353">
        <f t="shared" si="73"/>
        <v>0</v>
      </c>
    </row>
    <row r="2354" spans="1:25" x14ac:dyDescent="0.3">
      <c r="A2354" t="s">
        <v>4294</v>
      </c>
      <c r="B2354" t="s">
        <v>1321</v>
      </c>
      <c r="C2354">
        <v>213.25</v>
      </c>
      <c r="D2354" s="1">
        <v>44980.729247685187</v>
      </c>
      <c r="E2354" t="s">
        <v>25</v>
      </c>
      <c r="F2354" t="s">
        <v>225</v>
      </c>
      <c r="G2354" t="s">
        <v>1828</v>
      </c>
      <c r="H2354" t="s">
        <v>3363</v>
      </c>
      <c r="I2354" t="s">
        <v>605</v>
      </c>
      <c r="J2354" t="s">
        <v>81</v>
      </c>
      <c r="K2354">
        <v>25</v>
      </c>
      <c r="L2354" t="s">
        <v>46</v>
      </c>
      <c r="M2354">
        <v>63</v>
      </c>
      <c r="N2354">
        <v>1</v>
      </c>
      <c r="O2354">
        <v>677.79</v>
      </c>
      <c r="P2354" s="1">
        <v>45600.338923611111</v>
      </c>
      <c r="Q2354">
        <v>17</v>
      </c>
      <c r="R2354" t="s">
        <v>141</v>
      </c>
      <c r="S2354">
        <v>-0.288901740570641</v>
      </c>
      <c r="T2354" t="b">
        <v>0</v>
      </c>
      <c r="U2354" t="b">
        <v>0</v>
      </c>
      <c r="V2354" t="b">
        <f t="shared" si="72"/>
        <v>1</v>
      </c>
      <c r="W2354">
        <v>0</v>
      </c>
      <c r="Y2354">
        <f t="shared" si="73"/>
        <v>0</v>
      </c>
    </row>
    <row r="2355" spans="1:25" x14ac:dyDescent="0.3">
      <c r="A2355" t="s">
        <v>4295</v>
      </c>
      <c r="B2355" t="s">
        <v>109</v>
      </c>
      <c r="C2355">
        <v>34.93</v>
      </c>
      <c r="D2355" s="1">
        <v>45215.674907407411</v>
      </c>
      <c r="E2355" t="s">
        <v>25</v>
      </c>
      <c r="F2355" t="s">
        <v>137</v>
      </c>
      <c r="G2355" t="s">
        <v>599</v>
      </c>
      <c r="H2355" t="s">
        <v>3195</v>
      </c>
      <c r="I2355" t="s">
        <v>695</v>
      </c>
      <c r="J2355" t="s">
        <v>81</v>
      </c>
      <c r="K2355">
        <v>31</v>
      </c>
      <c r="L2355" t="s">
        <v>89</v>
      </c>
      <c r="M2355">
        <v>72</v>
      </c>
      <c r="N2355">
        <v>1</v>
      </c>
      <c r="O2355">
        <v>2810.37</v>
      </c>
      <c r="P2355" s="1">
        <v>45600.341111111113</v>
      </c>
      <c r="Q2355">
        <v>16</v>
      </c>
      <c r="R2355" t="s">
        <v>47</v>
      </c>
      <c r="S2355">
        <v>-0.89969911865650098</v>
      </c>
      <c r="T2355" t="b">
        <v>0</v>
      </c>
      <c r="U2355" t="b">
        <v>0</v>
      </c>
      <c r="V2355" t="b">
        <f t="shared" si="72"/>
        <v>1</v>
      </c>
      <c r="W2355">
        <v>0</v>
      </c>
      <c r="Y2355">
        <f t="shared" si="73"/>
        <v>0</v>
      </c>
    </row>
    <row r="2356" spans="1:25" x14ac:dyDescent="0.3">
      <c r="A2356" t="s">
        <v>4296</v>
      </c>
      <c r="B2356" t="s">
        <v>282</v>
      </c>
      <c r="C2356">
        <v>959.48</v>
      </c>
      <c r="D2356" s="1">
        <v>44936.68613425926</v>
      </c>
      <c r="E2356" t="s">
        <v>25</v>
      </c>
      <c r="F2356" t="s">
        <v>185</v>
      </c>
      <c r="G2356" t="s">
        <v>2014</v>
      </c>
      <c r="H2356" t="s">
        <v>1553</v>
      </c>
      <c r="I2356" t="s">
        <v>445</v>
      </c>
      <c r="J2356" t="s">
        <v>81</v>
      </c>
      <c r="K2356">
        <v>67</v>
      </c>
      <c r="L2356" t="s">
        <v>31</v>
      </c>
      <c r="M2356">
        <v>36</v>
      </c>
      <c r="N2356">
        <v>1</v>
      </c>
      <c r="O2356">
        <v>10631.43</v>
      </c>
      <c r="P2356" s="1">
        <v>45600.338854166665</v>
      </c>
      <c r="Q2356">
        <v>16</v>
      </c>
      <c r="R2356" t="s">
        <v>32</v>
      </c>
      <c r="S2356">
        <v>2.2671510154242598</v>
      </c>
      <c r="T2356" t="b">
        <v>1</v>
      </c>
      <c r="U2356" t="b">
        <v>0</v>
      </c>
      <c r="V2356" t="b">
        <f t="shared" si="72"/>
        <v>1</v>
      </c>
      <c r="W2356">
        <v>1</v>
      </c>
      <c r="Y2356">
        <f t="shared" si="73"/>
        <v>1</v>
      </c>
    </row>
    <row r="2357" spans="1:25" x14ac:dyDescent="0.3">
      <c r="A2357" t="s">
        <v>4297</v>
      </c>
      <c r="B2357" t="s">
        <v>4298</v>
      </c>
      <c r="C2357">
        <v>335.68</v>
      </c>
      <c r="D2357" s="1">
        <v>45236.722685185188</v>
      </c>
      <c r="E2357" t="s">
        <v>25</v>
      </c>
      <c r="F2357" t="s">
        <v>268</v>
      </c>
      <c r="G2357" t="s">
        <v>1767</v>
      </c>
      <c r="H2357" t="s">
        <v>2994</v>
      </c>
      <c r="I2357" t="s">
        <v>632</v>
      </c>
      <c r="J2357" t="s">
        <v>45</v>
      </c>
      <c r="K2357">
        <v>24</v>
      </c>
      <c r="L2357" t="s">
        <v>46</v>
      </c>
      <c r="M2357">
        <v>142</v>
      </c>
      <c r="N2357">
        <v>1</v>
      </c>
      <c r="O2357">
        <v>1188.95</v>
      </c>
      <c r="P2357" s="1">
        <v>45600.341203703705</v>
      </c>
      <c r="Q2357">
        <v>17</v>
      </c>
      <c r="R2357" t="s">
        <v>47</v>
      </c>
      <c r="S2357">
        <v>0.130456284323098</v>
      </c>
      <c r="T2357" t="b">
        <v>0</v>
      </c>
      <c r="U2357" t="b">
        <v>0</v>
      </c>
      <c r="V2357" t="b">
        <f t="shared" si="72"/>
        <v>1</v>
      </c>
      <c r="W2357">
        <v>0</v>
      </c>
      <c r="Y2357">
        <f t="shared" si="73"/>
        <v>0</v>
      </c>
    </row>
    <row r="2358" spans="1:25" x14ac:dyDescent="0.3">
      <c r="A2358" t="s">
        <v>4299</v>
      </c>
      <c r="B2358" t="s">
        <v>918</v>
      </c>
      <c r="C2358">
        <v>423.96</v>
      </c>
      <c r="D2358" s="1">
        <v>44956.784884259258</v>
      </c>
      <c r="E2358" t="s">
        <v>25</v>
      </c>
      <c r="F2358" t="s">
        <v>26</v>
      </c>
      <c r="G2358" t="s">
        <v>229</v>
      </c>
      <c r="H2358" t="s">
        <v>1283</v>
      </c>
      <c r="I2358" t="s">
        <v>585</v>
      </c>
      <c r="J2358" t="s">
        <v>30</v>
      </c>
      <c r="K2358">
        <v>43</v>
      </c>
      <c r="L2358" t="s">
        <v>31</v>
      </c>
      <c r="M2358">
        <v>75</v>
      </c>
      <c r="N2358">
        <v>1</v>
      </c>
      <c r="O2358">
        <v>8374.3799999999992</v>
      </c>
      <c r="P2358" s="1">
        <v>45600.339363425926</v>
      </c>
      <c r="Q2358">
        <v>18</v>
      </c>
      <c r="R2358" t="s">
        <v>47</v>
      </c>
      <c r="S2358">
        <v>0.43284071981782501</v>
      </c>
      <c r="T2358" t="b">
        <v>0</v>
      </c>
      <c r="U2358" t="b">
        <v>0</v>
      </c>
      <c r="V2358" t="b">
        <f t="shared" si="72"/>
        <v>1</v>
      </c>
      <c r="W2358">
        <v>0</v>
      </c>
      <c r="Y2358">
        <f t="shared" si="73"/>
        <v>0</v>
      </c>
    </row>
    <row r="2359" spans="1:25" x14ac:dyDescent="0.3">
      <c r="A2359" t="s">
        <v>4300</v>
      </c>
      <c r="B2359" t="s">
        <v>1073</v>
      </c>
      <c r="C2359">
        <v>361.38</v>
      </c>
      <c r="D2359" s="1">
        <v>44987.710381944446</v>
      </c>
      <c r="E2359" t="s">
        <v>57</v>
      </c>
      <c r="F2359" t="s">
        <v>191</v>
      </c>
      <c r="G2359" t="s">
        <v>1563</v>
      </c>
      <c r="H2359" t="s">
        <v>264</v>
      </c>
      <c r="I2359" t="s">
        <v>325</v>
      </c>
      <c r="J2359" t="s">
        <v>45</v>
      </c>
      <c r="K2359">
        <v>72</v>
      </c>
      <c r="L2359" t="s">
        <v>82</v>
      </c>
      <c r="M2359">
        <v>71</v>
      </c>
      <c r="N2359">
        <v>3</v>
      </c>
      <c r="O2359">
        <v>4972.92</v>
      </c>
      <c r="P2359" s="1">
        <v>45600.341863425929</v>
      </c>
      <c r="Q2359">
        <v>17</v>
      </c>
      <c r="R2359" t="s">
        <v>141</v>
      </c>
      <c r="S2359">
        <v>0.21848618908311701</v>
      </c>
      <c r="T2359" t="b">
        <v>0</v>
      </c>
      <c r="U2359" t="b">
        <v>1</v>
      </c>
      <c r="V2359" t="b">
        <f t="shared" si="72"/>
        <v>1</v>
      </c>
      <c r="W2359">
        <v>1</v>
      </c>
      <c r="Y2359">
        <f t="shared" si="73"/>
        <v>0</v>
      </c>
    </row>
    <row r="2360" spans="1:25" x14ac:dyDescent="0.3">
      <c r="A2360" t="s">
        <v>4301</v>
      </c>
      <c r="B2360" t="s">
        <v>835</v>
      </c>
      <c r="C2360">
        <v>220.82</v>
      </c>
      <c r="D2360" s="1">
        <v>45289.688113425924</v>
      </c>
      <c r="E2360" t="s">
        <v>25</v>
      </c>
      <c r="F2360" t="s">
        <v>120</v>
      </c>
      <c r="G2360" t="s">
        <v>202</v>
      </c>
      <c r="H2360" t="s">
        <v>3240</v>
      </c>
      <c r="I2360" t="s">
        <v>561</v>
      </c>
      <c r="J2360" t="s">
        <v>81</v>
      </c>
      <c r="K2360">
        <v>42</v>
      </c>
      <c r="L2360" t="s">
        <v>89</v>
      </c>
      <c r="M2360">
        <v>31</v>
      </c>
      <c r="N2360">
        <v>1</v>
      </c>
      <c r="O2360">
        <v>4298.13</v>
      </c>
      <c r="P2360" s="1">
        <v>45600.339166666665</v>
      </c>
      <c r="Q2360">
        <v>16</v>
      </c>
      <c r="R2360" t="s">
        <v>54</v>
      </c>
      <c r="S2360">
        <v>-0.26297230947985001</v>
      </c>
      <c r="T2360" t="b">
        <v>0</v>
      </c>
      <c r="U2360" t="b">
        <v>0</v>
      </c>
      <c r="V2360" t="b">
        <f t="shared" si="72"/>
        <v>1</v>
      </c>
      <c r="W2360">
        <v>0</v>
      </c>
      <c r="Y2360">
        <f t="shared" si="73"/>
        <v>0</v>
      </c>
    </row>
    <row r="2361" spans="1:25" x14ac:dyDescent="0.3">
      <c r="A2361" t="s">
        <v>4302</v>
      </c>
      <c r="B2361" t="s">
        <v>2037</v>
      </c>
      <c r="C2361">
        <v>717.36</v>
      </c>
      <c r="D2361" s="1">
        <v>44928.708715277775</v>
      </c>
      <c r="E2361" t="s">
        <v>57</v>
      </c>
      <c r="F2361" t="s">
        <v>26</v>
      </c>
      <c r="G2361" t="s">
        <v>2474</v>
      </c>
      <c r="H2361" t="s">
        <v>1730</v>
      </c>
      <c r="I2361" t="s">
        <v>80</v>
      </c>
      <c r="J2361" t="s">
        <v>45</v>
      </c>
      <c r="K2361">
        <v>22</v>
      </c>
      <c r="L2361" t="s">
        <v>46</v>
      </c>
      <c r="M2361">
        <v>138</v>
      </c>
      <c r="N2361">
        <v>1</v>
      </c>
      <c r="O2361">
        <v>514.88</v>
      </c>
      <c r="P2361" s="1">
        <v>45600.34003472222</v>
      </c>
      <c r="Q2361">
        <v>17</v>
      </c>
      <c r="R2361" t="s">
        <v>47</v>
      </c>
      <c r="S2361">
        <v>1.4378202550936801</v>
      </c>
      <c r="T2361" t="b">
        <v>0</v>
      </c>
      <c r="U2361" t="b">
        <v>0</v>
      </c>
      <c r="V2361" t="b">
        <f t="shared" si="72"/>
        <v>1</v>
      </c>
      <c r="W2361">
        <v>0</v>
      </c>
      <c r="Y2361">
        <f t="shared" si="73"/>
        <v>0</v>
      </c>
    </row>
    <row r="2362" spans="1:25" x14ac:dyDescent="0.3">
      <c r="A2362" t="s">
        <v>4303</v>
      </c>
      <c r="B2362" t="s">
        <v>2182</v>
      </c>
      <c r="C2362">
        <v>406.12</v>
      </c>
      <c r="D2362" s="1">
        <v>45141.731006944443</v>
      </c>
      <c r="E2362" t="s">
        <v>25</v>
      </c>
      <c r="F2362" t="s">
        <v>35</v>
      </c>
      <c r="G2362" t="s">
        <v>693</v>
      </c>
      <c r="H2362" t="s">
        <v>3020</v>
      </c>
      <c r="I2362" t="s">
        <v>445</v>
      </c>
      <c r="J2362" t="s">
        <v>30</v>
      </c>
      <c r="K2362">
        <v>42</v>
      </c>
      <c r="L2362" t="s">
        <v>31</v>
      </c>
      <c r="M2362">
        <v>106</v>
      </c>
      <c r="N2362">
        <v>1</v>
      </c>
      <c r="O2362">
        <v>10501.53</v>
      </c>
      <c r="P2362" s="1">
        <v>45600.341307870367</v>
      </c>
      <c r="Q2362">
        <v>17</v>
      </c>
      <c r="R2362" t="s">
        <v>141</v>
      </c>
      <c r="S2362">
        <v>0.37173357970425602</v>
      </c>
      <c r="T2362" t="b">
        <v>0</v>
      </c>
      <c r="U2362" t="b">
        <v>0</v>
      </c>
      <c r="V2362" t="b">
        <f t="shared" si="72"/>
        <v>1</v>
      </c>
      <c r="W2362">
        <v>0</v>
      </c>
      <c r="Y2362">
        <f t="shared" si="73"/>
        <v>0</v>
      </c>
    </row>
    <row r="2363" spans="1:25" x14ac:dyDescent="0.3">
      <c r="A2363" t="s">
        <v>4304</v>
      </c>
      <c r="B2363" t="s">
        <v>1720</v>
      </c>
      <c r="C2363">
        <v>427.83</v>
      </c>
      <c r="D2363" s="1">
        <v>45056.710312499999</v>
      </c>
      <c r="E2363" t="s">
        <v>25</v>
      </c>
      <c r="F2363" t="s">
        <v>438</v>
      </c>
      <c r="G2363" t="s">
        <v>2581</v>
      </c>
      <c r="H2363" t="s">
        <v>1682</v>
      </c>
      <c r="I2363" t="s">
        <v>399</v>
      </c>
      <c r="J2363" t="s">
        <v>30</v>
      </c>
      <c r="K2363">
        <v>47</v>
      </c>
      <c r="L2363" t="s">
        <v>89</v>
      </c>
      <c r="M2363">
        <v>29</v>
      </c>
      <c r="N2363">
        <v>1</v>
      </c>
      <c r="O2363">
        <v>3293.06</v>
      </c>
      <c r="P2363" s="1">
        <v>45600.340150462966</v>
      </c>
      <c r="Q2363">
        <v>17</v>
      </c>
      <c r="R2363" t="s">
        <v>74</v>
      </c>
      <c r="S2363">
        <v>0.44609658485367198</v>
      </c>
      <c r="T2363" t="b">
        <v>0</v>
      </c>
      <c r="U2363" t="b">
        <v>0</v>
      </c>
      <c r="V2363" t="b">
        <f t="shared" si="72"/>
        <v>1</v>
      </c>
      <c r="W2363">
        <v>0</v>
      </c>
      <c r="Y2363">
        <f t="shared" si="73"/>
        <v>0</v>
      </c>
    </row>
    <row r="2364" spans="1:25" x14ac:dyDescent="0.3">
      <c r="A2364" t="s">
        <v>4305</v>
      </c>
      <c r="B2364" t="s">
        <v>3715</v>
      </c>
      <c r="C2364">
        <v>416.62</v>
      </c>
      <c r="D2364" s="1">
        <v>44991.727071759262</v>
      </c>
      <c r="E2364" t="s">
        <v>57</v>
      </c>
      <c r="F2364" t="s">
        <v>210</v>
      </c>
      <c r="G2364" t="s">
        <v>4243</v>
      </c>
      <c r="H2364" t="s">
        <v>3223</v>
      </c>
      <c r="I2364" t="s">
        <v>61</v>
      </c>
      <c r="J2364" t="s">
        <v>45</v>
      </c>
      <c r="K2364">
        <v>26</v>
      </c>
      <c r="L2364" t="s">
        <v>46</v>
      </c>
      <c r="M2364">
        <v>67</v>
      </c>
      <c r="N2364">
        <v>1</v>
      </c>
      <c r="O2364">
        <v>9700.9</v>
      </c>
      <c r="P2364" s="1">
        <v>45600.341238425928</v>
      </c>
      <c r="Q2364">
        <v>17</v>
      </c>
      <c r="R2364" t="s">
        <v>47</v>
      </c>
      <c r="S2364">
        <v>0.40769910499531398</v>
      </c>
      <c r="T2364" t="b">
        <v>0</v>
      </c>
      <c r="U2364" t="b">
        <v>0</v>
      </c>
      <c r="V2364" t="b">
        <f t="shared" si="72"/>
        <v>1</v>
      </c>
      <c r="W2364">
        <v>0</v>
      </c>
      <c r="Y2364">
        <f t="shared" si="73"/>
        <v>0</v>
      </c>
    </row>
    <row r="2365" spans="1:25" x14ac:dyDescent="0.3">
      <c r="A2365" t="s">
        <v>4306</v>
      </c>
      <c r="B2365" t="s">
        <v>1370</v>
      </c>
      <c r="C2365">
        <v>21.9</v>
      </c>
      <c r="D2365" s="1">
        <v>45026.711435185185</v>
      </c>
      <c r="E2365" t="s">
        <v>25</v>
      </c>
      <c r="F2365" t="s">
        <v>438</v>
      </c>
      <c r="G2365" t="s">
        <v>1693</v>
      </c>
      <c r="H2365" t="s">
        <v>2429</v>
      </c>
      <c r="I2365" t="s">
        <v>833</v>
      </c>
      <c r="J2365" t="s">
        <v>30</v>
      </c>
      <c r="K2365">
        <v>28</v>
      </c>
      <c r="L2365" t="s">
        <v>46</v>
      </c>
      <c r="M2365">
        <v>30</v>
      </c>
      <c r="N2365">
        <v>1</v>
      </c>
      <c r="O2365">
        <v>1052.27</v>
      </c>
      <c r="P2365" s="1">
        <v>45600.341145833336</v>
      </c>
      <c r="Q2365">
        <v>17</v>
      </c>
      <c r="R2365" t="s">
        <v>47</v>
      </c>
      <c r="S2365">
        <v>-0.944330622898643</v>
      </c>
      <c r="T2365" t="b">
        <v>0</v>
      </c>
      <c r="U2365" t="b">
        <v>0</v>
      </c>
      <c r="V2365" t="b">
        <f t="shared" si="72"/>
        <v>1</v>
      </c>
      <c r="W2365">
        <v>0</v>
      </c>
      <c r="Y2365">
        <f t="shared" si="73"/>
        <v>0</v>
      </c>
    </row>
    <row r="2366" spans="1:25" x14ac:dyDescent="0.3">
      <c r="A2366" t="s">
        <v>4307</v>
      </c>
      <c r="B2366" t="s">
        <v>1127</v>
      </c>
      <c r="C2366">
        <v>717.74</v>
      </c>
      <c r="D2366" s="1">
        <v>45268.702407407407</v>
      </c>
      <c r="E2366" t="s">
        <v>57</v>
      </c>
      <c r="F2366" t="s">
        <v>298</v>
      </c>
      <c r="G2366" t="s">
        <v>809</v>
      </c>
      <c r="H2366" t="s">
        <v>748</v>
      </c>
      <c r="I2366" t="s">
        <v>80</v>
      </c>
      <c r="J2366" t="s">
        <v>45</v>
      </c>
      <c r="K2366">
        <v>42</v>
      </c>
      <c r="L2366" t="s">
        <v>89</v>
      </c>
      <c r="M2366">
        <v>168</v>
      </c>
      <c r="N2366">
        <v>1</v>
      </c>
      <c r="O2366">
        <v>8375.16</v>
      </c>
      <c r="P2366" s="1">
        <v>45600.340775462966</v>
      </c>
      <c r="Q2366">
        <v>16</v>
      </c>
      <c r="R2366" t="s">
        <v>54</v>
      </c>
      <c r="S2366">
        <v>1.4391218645804</v>
      </c>
      <c r="T2366" t="b">
        <v>0</v>
      </c>
      <c r="U2366" t="b">
        <v>0</v>
      </c>
      <c r="V2366" t="b">
        <f t="shared" si="72"/>
        <v>1</v>
      </c>
      <c r="W2366">
        <v>0</v>
      </c>
      <c r="Y2366">
        <f t="shared" si="73"/>
        <v>0</v>
      </c>
    </row>
    <row r="2367" spans="1:25" x14ac:dyDescent="0.3">
      <c r="A2367" t="s">
        <v>4308</v>
      </c>
      <c r="B2367" t="s">
        <v>3868</v>
      </c>
      <c r="C2367">
        <v>393.68</v>
      </c>
      <c r="D2367" s="1">
        <v>45187.695081018515</v>
      </c>
      <c r="E2367" t="s">
        <v>25</v>
      </c>
      <c r="F2367" t="s">
        <v>26</v>
      </c>
      <c r="G2367" t="s">
        <v>1762</v>
      </c>
      <c r="H2367" t="s">
        <v>3360</v>
      </c>
      <c r="I2367" t="s">
        <v>356</v>
      </c>
      <c r="J2367" t="s">
        <v>30</v>
      </c>
      <c r="K2367">
        <v>55</v>
      </c>
      <c r="L2367" t="s">
        <v>31</v>
      </c>
      <c r="M2367">
        <v>141</v>
      </c>
      <c r="N2367">
        <v>1</v>
      </c>
      <c r="O2367">
        <v>10135.879999999999</v>
      </c>
      <c r="P2367" s="1">
        <v>45600.338194444441</v>
      </c>
      <c r="Q2367">
        <v>16</v>
      </c>
      <c r="R2367" t="s">
        <v>47</v>
      </c>
      <c r="S2367">
        <v>0.32912299545465901</v>
      </c>
      <c r="T2367" t="b">
        <v>0</v>
      </c>
      <c r="U2367" t="b">
        <v>0</v>
      </c>
      <c r="V2367" t="b">
        <f t="shared" si="72"/>
        <v>1</v>
      </c>
      <c r="W2367">
        <v>0</v>
      </c>
      <c r="Y2367">
        <f t="shared" si="73"/>
        <v>0</v>
      </c>
    </row>
    <row r="2368" spans="1:25" x14ac:dyDescent="0.3">
      <c r="A2368" t="s">
        <v>4309</v>
      </c>
      <c r="B2368" t="s">
        <v>497</v>
      </c>
      <c r="C2368">
        <v>281.91000000000003</v>
      </c>
      <c r="D2368" s="1">
        <v>44938.715312499997</v>
      </c>
      <c r="E2368" t="s">
        <v>25</v>
      </c>
      <c r="F2368" t="s">
        <v>126</v>
      </c>
      <c r="G2368" t="s">
        <v>1310</v>
      </c>
      <c r="H2368" t="s">
        <v>87</v>
      </c>
      <c r="I2368" t="s">
        <v>866</v>
      </c>
      <c r="J2368" t="s">
        <v>81</v>
      </c>
      <c r="K2368">
        <v>25</v>
      </c>
      <c r="L2368" t="s">
        <v>46</v>
      </c>
      <c r="M2368">
        <v>269</v>
      </c>
      <c r="N2368">
        <v>1</v>
      </c>
      <c r="O2368">
        <v>225.53</v>
      </c>
      <c r="P2368" s="1">
        <v>45600.338472222225</v>
      </c>
      <c r="Q2368">
        <v>17</v>
      </c>
      <c r="R2368" t="s">
        <v>141</v>
      </c>
      <c r="S2368">
        <v>-5.3721458048349498E-2</v>
      </c>
      <c r="T2368" t="b">
        <v>0</v>
      </c>
      <c r="U2368" t="b">
        <v>0</v>
      </c>
      <c r="V2368" t="b">
        <f t="shared" si="72"/>
        <v>1</v>
      </c>
      <c r="W2368">
        <v>0</v>
      </c>
      <c r="Y2368">
        <f t="shared" si="73"/>
        <v>0</v>
      </c>
    </row>
    <row r="2369" spans="1:25" x14ac:dyDescent="0.3">
      <c r="A2369" t="s">
        <v>4310</v>
      </c>
      <c r="B2369" t="s">
        <v>2005</v>
      </c>
      <c r="C2369">
        <v>239.85</v>
      </c>
      <c r="D2369" s="1">
        <v>44952.679074074076</v>
      </c>
      <c r="E2369" t="s">
        <v>25</v>
      </c>
      <c r="F2369" t="s">
        <v>268</v>
      </c>
      <c r="G2369" t="s">
        <v>759</v>
      </c>
      <c r="H2369" t="s">
        <v>675</v>
      </c>
      <c r="I2369" t="s">
        <v>491</v>
      </c>
      <c r="J2369" t="s">
        <v>30</v>
      </c>
      <c r="K2369">
        <v>70</v>
      </c>
      <c r="L2369" t="s">
        <v>82</v>
      </c>
      <c r="M2369">
        <v>50</v>
      </c>
      <c r="N2369">
        <v>1</v>
      </c>
      <c r="O2369">
        <v>1477.63</v>
      </c>
      <c r="P2369" s="1">
        <v>45600.338784722226</v>
      </c>
      <c r="Q2369">
        <v>16</v>
      </c>
      <c r="R2369" t="s">
        <v>141</v>
      </c>
      <c r="S2369">
        <v>-0.19778907649996</v>
      </c>
      <c r="T2369" t="b">
        <v>0</v>
      </c>
      <c r="U2369" t="b">
        <v>0</v>
      </c>
      <c r="V2369" t="b">
        <f t="shared" si="72"/>
        <v>1</v>
      </c>
      <c r="W2369">
        <v>0</v>
      </c>
      <c r="Y2369">
        <f t="shared" si="73"/>
        <v>0</v>
      </c>
    </row>
    <row r="2370" spans="1:25" x14ac:dyDescent="0.3">
      <c r="A2370" t="s">
        <v>4311</v>
      </c>
      <c r="B2370" t="s">
        <v>235</v>
      </c>
      <c r="C2370">
        <v>237.84</v>
      </c>
      <c r="D2370" s="1">
        <v>45191.736377314817</v>
      </c>
      <c r="E2370" t="s">
        <v>25</v>
      </c>
      <c r="F2370" t="s">
        <v>92</v>
      </c>
      <c r="G2370" t="s">
        <v>220</v>
      </c>
      <c r="H2370" t="s">
        <v>499</v>
      </c>
      <c r="I2370" t="s">
        <v>491</v>
      </c>
      <c r="J2370" t="s">
        <v>81</v>
      </c>
      <c r="K2370">
        <v>26</v>
      </c>
      <c r="L2370" t="s">
        <v>46</v>
      </c>
      <c r="M2370">
        <v>16</v>
      </c>
      <c r="N2370">
        <v>1</v>
      </c>
      <c r="O2370">
        <v>8932.39</v>
      </c>
      <c r="P2370" s="1">
        <v>45600.339918981481</v>
      </c>
      <c r="Q2370">
        <v>17</v>
      </c>
      <c r="R2370" t="s">
        <v>54</v>
      </c>
      <c r="S2370">
        <v>-0.204673905627105</v>
      </c>
      <c r="T2370" t="b">
        <v>0</v>
      </c>
      <c r="U2370" t="b">
        <v>0</v>
      </c>
      <c r="V2370" t="b">
        <f t="shared" si="72"/>
        <v>1</v>
      </c>
      <c r="W2370">
        <v>0</v>
      </c>
      <c r="Y2370">
        <f t="shared" si="73"/>
        <v>0</v>
      </c>
    </row>
    <row r="2371" spans="1:25" x14ac:dyDescent="0.3">
      <c r="A2371" t="s">
        <v>4312</v>
      </c>
      <c r="B2371" t="s">
        <v>1514</v>
      </c>
      <c r="C2371">
        <v>459.29</v>
      </c>
      <c r="D2371" s="1">
        <v>44952.754861111112</v>
      </c>
      <c r="E2371" t="s">
        <v>57</v>
      </c>
      <c r="F2371" t="s">
        <v>304</v>
      </c>
      <c r="G2371" t="s">
        <v>2807</v>
      </c>
      <c r="H2371" t="s">
        <v>4146</v>
      </c>
      <c r="I2371" t="s">
        <v>1823</v>
      </c>
      <c r="J2371" t="s">
        <v>45</v>
      </c>
      <c r="K2371">
        <v>64</v>
      </c>
      <c r="L2371" t="s">
        <v>82</v>
      </c>
      <c r="M2371">
        <v>109</v>
      </c>
      <c r="N2371">
        <v>1</v>
      </c>
      <c r="O2371">
        <v>1006.12</v>
      </c>
      <c r="P2371" s="1">
        <v>45600.341064814813</v>
      </c>
      <c r="Q2371">
        <v>18</v>
      </c>
      <c r="R2371" t="s">
        <v>141</v>
      </c>
      <c r="S2371">
        <v>0.55385614920192905</v>
      </c>
      <c r="T2371" t="b">
        <v>0</v>
      </c>
      <c r="U2371" t="b">
        <v>0</v>
      </c>
      <c r="V2371" t="b">
        <f t="shared" ref="V2371:V2434" si="74">ISLOGICAL(T2371)</f>
        <v>1</v>
      </c>
      <c r="W2371">
        <v>0</v>
      </c>
      <c r="Y2371">
        <f t="shared" ref="Y2371:Y2434" si="75">--T2371</f>
        <v>0</v>
      </c>
    </row>
    <row r="2372" spans="1:25" x14ac:dyDescent="0.3">
      <c r="A2372" t="s">
        <v>4313</v>
      </c>
      <c r="B2372" t="s">
        <v>1812</v>
      </c>
      <c r="C2372">
        <v>196.49</v>
      </c>
      <c r="D2372" s="1">
        <v>45282.730543981481</v>
      </c>
      <c r="E2372" t="s">
        <v>25</v>
      </c>
      <c r="F2372" t="s">
        <v>64</v>
      </c>
      <c r="G2372" t="s">
        <v>4202</v>
      </c>
      <c r="H2372" t="s">
        <v>306</v>
      </c>
      <c r="I2372" t="s">
        <v>1823</v>
      </c>
      <c r="J2372" t="s">
        <v>81</v>
      </c>
      <c r="K2372">
        <v>41</v>
      </c>
      <c r="L2372" t="s">
        <v>89</v>
      </c>
      <c r="M2372">
        <v>65</v>
      </c>
      <c r="N2372">
        <v>1</v>
      </c>
      <c r="O2372">
        <v>7516.56</v>
      </c>
      <c r="P2372" s="1">
        <v>45600.339930555558</v>
      </c>
      <c r="Q2372">
        <v>17</v>
      </c>
      <c r="R2372" t="s">
        <v>54</v>
      </c>
      <c r="S2372">
        <v>-0.346309569511416</v>
      </c>
      <c r="T2372" t="b">
        <v>0</v>
      </c>
      <c r="U2372" t="b">
        <v>0</v>
      </c>
      <c r="V2372" t="b">
        <f t="shared" si="74"/>
        <v>1</v>
      </c>
      <c r="W2372">
        <v>0</v>
      </c>
      <c r="Y2372">
        <f t="shared" si="75"/>
        <v>0</v>
      </c>
    </row>
    <row r="2373" spans="1:25" x14ac:dyDescent="0.3">
      <c r="A2373" t="s">
        <v>4314</v>
      </c>
      <c r="B2373" t="s">
        <v>1809</v>
      </c>
      <c r="C2373">
        <v>21.23</v>
      </c>
      <c r="D2373" s="1">
        <v>45180.691145833334</v>
      </c>
      <c r="E2373" t="s">
        <v>25</v>
      </c>
      <c r="F2373" t="s">
        <v>314</v>
      </c>
      <c r="G2373" t="s">
        <v>2924</v>
      </c>
      <c r="H2373" t="s">
        <v>2104</v>
      </c>
      <c r="I2373" t="s">
        <v>222</v>
      </c>
      <c r="J2373" t="s">
        <v>30</v>
      </c>
      <c r="K2373">
        <v>23</v>
      </c>
      <c r="L2373" t="s">
        <v>46</v>
      </c>
      <c r="M2373">
        <v>103</v>
      </c>
      <c r="N2373">
        <v>4</v>
      </c>
      <c r="O2373">
        <v>319.18</v>
      </c>
      <c r="P2373" s="1">
        <v>45600.340266203704</v>
      </c>
      <c r="Q2373">
        <v>16</v>
      </c>
      <c r="R2373" t="s">
        <v>47</v>
      </c>
      <c r="S2373">
        <v>-0.94662556594102498</v>
      </c>
      <c r="T2373" t="b">
        <v>0</v>
      </c>
      <c r="U2373" t="b">
        <v>1</v>
      </c>
      <c r="V2373" t="b">
        <f t="shared" si="74"/>
        <v>1</v>
      </c>
      <c r="W2373">
        <v>1</v>
      </c>
      <c r="Y2373">
        <f t="shared" si="75"/>
        <v>0</v>
      </c>
    </row>
    <row r="2374" spans="1:25" x14ac:dyDescent="0.3">
      <c r="A2374" t="s">
        <v>4315</v>
      </c>
      <c r="B2374" t="s">
        <v>1022</v>
      </c>
      <c r="C2374">
        <v>95.23</v>
      </c>
      <c r="D2374" s="1">
        <v>45215.782835648148</v>
      </c>
      <c r="E2374" t="s">
        <v>25</v>
      </c>
      <c r="F2374" t="s">
        <v>126</v>
      </c>
      <c r="G2374" t="s">
        <v>1454</v>
      </c>
      <c r="H2374" t="s">
        <v>1911</v>
      </c>
      <c r="I2374" t="s">
        <v>556</v>
      </c>
      <c r="J2374" t="s">
        <v>45</v>
      </c>
      <c r="K2374">
        <v>20</v>
      </c>
      <c r="L2374" t="s">
        <v>46</v>
      </c>
      <c r="M2374">
        <v>60</v>
      </c>
      <c r="N2374">
        <v>3</v>
      </c>
      <c r="O2374">
        <v>966.88</v>
      </c>
      <c r="P2374" s="1">
        <v>45600.341412037036</v>
      </c>
      <c r="Q2374">
        <v>18</v>
      </c>
      <c r="R2374" t="s">
        <v>47</v>
      </c>
      <c r="S2374">
        <v>-0.69315424484213695</v>
      </c>
      <c r="T2374" t="b">
        <v>0</v>
      </c>
      <c r="U2374" t="b">
        <v>1</v>
      </c>
      <c r="V2374" t="b">
        <f t="shared" si="74"/>
        <v>1</v>
      </c>
      <c r="W2374">
        <v>1</v>
      </c>
      <c r="Y2374">
        <f t="shared" si="75"/>
        <v>0</v>
      </c>
    </row>
    <row r="2375" spans="1:25" x14ac:dyDescent="0.3">
      <c r="A2375" t="s">
        <v>4316</v>
      </c>
      <c r="B2375" t="s">
        <v>918</v>
      </c>
      <c r="C2375">
        <v>344.87</v>
      </c>
      <c r="D2375" s="1">
        <v>45166.749675925923</v>
      </c>
      <c r="E2375" t="s">
        <v>25</v>
      </c>
      <c r="F2375" t="s">
        <v>35</v>
      </c>
      <c r="G2375" t="s">
        <v>2372</v>
      </c>
      <c r="H2375" t="s">
        <v>300</v>
      </c>
      <c r="I2375" t="s">
        <v>290</v>
      </c>
      <c r="J2375" t="s">
        <v>81</v>
      </c>
      <c r="K2375">
        <v>58</v>
      </c>
      <c r="L2375" t="s">
        <v>82</v>
      </c>
      <c r="M2375">
        <v>25</v>
      </c>
      <c r="N2375">
        <v>1</v>
      </c>
      <c r="O2375">
        <v>7447.44</v>
      </c>
      <c r="P2375" s="1">
        <v>45600.341215277775</v>
      </c>
      <c r="Q2375">
        <v>17</v>
      </c>
      <c r="R2375" t="s">
        <v>47</v>
      </c>
      <c r="S2375">
        <v>0.16193468217308199</v>
      </c>
      <c r="T2375" t="b">
        <v>0</v>
      </c>
      <c r="U2375" t="b">
        <v>0</v>
      </c>
      <c r="V2375" t="b">
        <f t="shared" si="74"/>
        <v>1</v>
      </c>
      <c r="W2375">
        <v>0</v>
      </c>
      <c r="Y2375">
        <f t="shared" si="75"/>
        <v>0</v>
      </c>
    </row>
    <row r="2376" spans="1:25" x14ac:dyDescent="0.3">
      <c r="A2376" t="s">
        <v>4317</v>
      </c>
      <c r="B2376" t="s">
        <v>3574</v>
      </c>
      <c r="C2376">
        <v>129.62</v>
      </c>
      <c r="D2376" s="1">
        <v>45113.699305555558</v>
      </c>
      <c r="E2376" t="s">
        <v>57</v>
      </c>
      <c r="F2376" t="s">
        <v>236</v>
      </c>
      <c r="G2376" t="s">
        <v>2971</v>
      </c>
      <c r="H2376" t="s">
        <v>3240</v>
      </c>
      <c r="I2376" t="s">
        <v>285</v>
      </c>
      <c r="J2376" t="s">
        <v>30</v>
      </c>
      <c r="K2376">
        <v>23</v>
      </c>
      <c r="L2376" t="s">
        <v>46</v>
      </c>
      <c r="M2376">
        <v>124</v>
      </c>
      <c r="N2376">
        <v>1</v>
      </c>
      <c r="O2376">
        <v>620.28</v>
      </c>
      <c r="P2376" s="1">
        <v>45600.338090277779</v>
      </c>
      <c r="Q2376">
        <v>16</v>
      </c>
      <c r="R2376" t="s">
        <v>141</v>
      </c>
      <c r="S2376">
        <v>-0.57535858629361403</v>
      </c>
      <c r="T2376" t="b">
        <v>0</v>
      </c>
      <c r="U2376" t="b">
        <v>0</v>
      </c>
      <c r="V2376" t="b">
        <f t="shared" si="74"/>
        <v>1</v>
      </c>
      <c r="W2376">
        <v>0</v>
      </c>
      <c r="Y2376">
        <f t="shared" si="75"/>
        <v>0</v>
      </c>
    </row>
    <row r="2377" spans="1:25" x14ac:dyDescent="0.3">
      <c r="A2377" t="s">
        <v>4318</v>
      </c>
      <c r="B2377" t="s">
        <v>638</v>
      </c>
      <c r="C2377">
        <v>16.53</v>
      </c>
      <c r="D2377" s="1">
        <v>45131.713506944441</v>
      </c>
      <c r="E2377" t="s">
        <v>25</v>
      </c>
      <c r="F2377" t="s">
        <v>35</v>
      </c>
      <c r="G2377" t="s">
        <v>535</v>
      </c>
      <c r="H2377" t="s">
        <v>1059</v>
      </c>
      <c r="I2377" t="s">
        <v>123</v>
      </c>
      <c r="J2377" t="s">
        <v>30</v>
      </c>
      <c r="K2377">
        <v>21</v>
      </c>
      <c r="L2377" t="s">
        <v>46</v>
      </c>
      <c r="M2377">
        <v>220</v>
      </c>
      <c r="N2377">
        <v>1</v>
      </c>
      <c r="O2377">
        <v>707.95</v>
      </c>
      <c r="P2377" s="1">
        <v>45600.339224537034</v>
      </c>
      <c r="Q2377">
        <v>17</v>
      </c>
      <c r="R2377" t="s">
        <v>47</v>
      </c>
      <c r="S2377">
        <v>-0.962724420118927</v>
      </c>
      <c r="T2377" t="b">
        <v>0</v>
      </c>
      <c r="U2377" t="b">
        <v>0</v>
      </c>
      <c r="V2377" t="b">
        <f t="shared" si="74"/>
        <v>1</v>
      </c>
      <c r="W2377">
        <v>0</v>
      </c>
      <c r="Y2377">
        <f t="shared" si="75"/>
        <v>0</v>
      </c>
    </row>
    <row r="2378" spans="1:25" x14ac:dyDescent="0.3">
      <c r="A2378" t="s">
        <v>4319</v>
      </c>
      <c r="B2378" t="s">
        <v>2277</v>
      </c>
      <c r="C2378">
        <v>277.02</v>
      </c>
      <c r="D2378" s="1">
        <v>45243.678333333337</v>
      </c>
      <c r="E2378" t="s">
        <v>57</v>
      </c>
      <c r="F2378" t="s">
        <v>126</v>
      </c>
      <c r="G2378" t="s">
        <v>426</v>
      </c>
      <c r="H2378" t="s">
        <v>3261</v>
      </c>
      <c r="I2378" t="s">
        <v>577</v>
      </c>
      <c r="J2378" t="s">
        <v>30</v>
      </c>
      <c r="K2378">
        <v>46</v>
      </c>
      <c r="L2378" t="s">
        <v>31</v>
      </c>
      <c r="M2378">
        <v>227</v>
      </c>
      <c r="N2378">
        <v>1</v>
      </c>
      <c r="O2378">
        <v>8586.3799999999992</v>
      </c>
      <c r="P2378" s="1">
        <v>45600.340231481481</v>
      </c>
      <c r="Q2378">
        <v>16</v>
      </c>
      <c r="R2378" t="s">
        <v>47</v>
      </c>
      <c r="S2378">
        <v>-7.0471116969613903E-2</v>
      </c>
      <c r="T2378" t="b">
        <v>0</v>
      </c>
      <c r="U2378" t="b">
        <v>0</v>
      </c>
      <c r="V2378" t="b">
        <f t="shared" si="74"/>
        <v>1</v>
      </c>
      <c r="W2378">
        <v>0</v>
      </c>
      <c r="Y2378">
        <f t="shared" si="75"/>
        <v>0</v>
      </c>
    </row>
    <row r="2379" spans="1:25" x14ac:dyDescent="0.3">
      <c r="A2379" t="s">
        <v>4320</v>
      </c>
      <c r="B2379" t="s">
        <v>624</v>
      </c>
      <c r="C2379">
        <v>13.02</v>
      </c>
      <c r="D2379" s="1">
        <v>45091.683425925927</v>
      </c>
      <c r="E2379" t="s">
        <v>25</v>
      </c>
      <c r="F2379" t="s">
        <v>262</v>
      </c>
      <c r="G2379" t="s">
        <v>1415</v>
      </c>
      <c r="H2379" t="s">
        <v>675</v>
      </c>
      <c r="I2379" t="s">
        <v>253</v>
      </c>
      <c r="J2379" t="s">
        <v>81</v>
      </c>
      <c r="K2379">
        <v>51</v>
      </c>
      <c r="L2379" t="s">
        <v>31</v>
      </c>
      <c r="M2379">
        <v>42</v>
      </c>
      <c r="N2379">
        <v>1</v>
      </c>
      <c r="O2379">
        <v>6076.45</v>
      </c>
      <c r="P2379" s="1">
        <v>45600.341469907406</v>
      </c>
      <c r="Q2379">
        <v>16</v>
      </c>
      <c r="R2379" t="s">
        <v>74</v>
      </c>
      <c r="S2379">
        <v>-0.97474718143050898</v>
      </c>
      <c r="T2379" t="b">
        <v>0</v>
      </c>
      <c r="U2379" t="b">
        <v>0</v>
      </c>
      <c r="V2379" t="b">
        <f t="shared" si="74"/>
        <v>1</v>
      </c>
      <c r="W2379">
        <v>0</v>
      </c>
      <c r="Y2379">
        <f t="shared" si="75"/>
        <v>0</v>
      </c>
    </row>
    <row r="2380" spans="1:25" x14ac:dyDescent="0.3">
      <c r="A2380" t="s">
        <v>4321</v>
      </c>
      <c r="B2380" t="s">
        <v>97</v>
      </c>
      <c r="C2380">
        <v>199.02</v>
      </c>
      <c r="D2380" s="1">
        <v>44956.733958333331</v>
      </c>
      <c r="E2380" t="s">
        <v>25</v>
      </c>
      <c r="F2380" t="s">
        <v>104</v>
      </c>
      <c r="G2380" t="s">
        <v>1837</v>
      </c>
      <c r="H2380" t="s">
        <v>588</v>
      </c>
      <c r="I2380" t="s">
        <v>440</v>
      </c>
      <c r="J2380" t="s">
        <v>30</v>
      </c>
      <c r="K2380">
        <v>22</v>
      </c>
      <c r="L2380" t="s">
        <v>46</v>
      </c>
      <c r="M2380">
        <v>185</v>
      </c>
      <c r="N2380">
        <v>1</v>
      </c>
      <c r="O2380">
        <v>793.63</v>
      </c>
      <c r="P2380" s="1">
        <v>45600.339143518519</v>
      </c>
      <c r="Q2380">
        <v>17</v>
      </c>
      <c r="R2380" t="s">
        <v>47</v>
      </c>
      <c r="S2380">
        <v>-0.337643590560333</v>
      </c>
      <c r="T2380" t="b">
        <v>0</v>
      </c>
      <c r="U2380" t="b">
        <v>0</v>
      </c>
      <c r="V2380" t="b">
        <f t="shared" si="74"/>
        <v>1</v>
      </c>
      <c r="W2380">
        <v>0</v>
      </c>
      <c r="Y2380">
        <f t="shared" si="75"/>
        <v>0</v>
      </c>
    </row>
    <row r="2381" spans="1:25" x14ac:dyDescent="0.3">
      <c r="A2381" t="s">
        <v>4322</v>
      </c>
      <c r="B2381" t="s">
        <v>1533</v>
      </c>
      <c r="C2381">
        <v>684.5</v>
      </c>
      <c r="D2381" s="1">
        <v>45138.786273148151</v>
      </c>
      <c r="E2381" t="s">
        <v>25</v>
      </c>
      <c r="F2381" t="s">
        <v>170</v>
      </c>
      <c r="G2381" t="s">
        <v>1944</v>
      </c>
      <c r="H2381" t="s">
        <v>1602</v>
      </c>
      <c r="I2381" t="s">
        <v>88</v>
      </c>
      <c r="J2381" t="s">
        <v>81</v>
      </c>
      <c r="K2381">
        <v>29</v>
      </c>
      <c r="L2381" t="s">
        <v>31</v>
      </c>
      <c r="M2381">
        <v>76</v>
      </c>
      <c r="N2381">
        <v>1</v>
      </c>
      <c r="O2381">
        <v>6258.63</v>
      </c>
      <c r="P2381" s="1">
        <v>45600.340439814812</v>
      </c>
      <c r="Q2381">
        <v>18</v>
      </c>
      <c r="R2381" t="s">
        <v>47</v>
      </c>
      <c r="S2381">
        <v>1.32526528737328</v>
      </c>
      <c r="T2381" t="b">
        <v>0</v>
      </c>
      <c r="U2381" t="b">
        <v>0</v>
      </c>
      <c r="V2381" t="b">
        <f t="shared" si="74"/>
        <v>1</v>
      </c>
      <c r="W2381">
        <v>0</v>
      </c>
      <c r="Y2381">
        <f t="shared" si="75"/>
        <v>0</v>
      </c>
    </row>
    <row r="2382" spans="1:25" x14ac:dyDescent="0.3">
      <c r="A2382" t="s">
        <v>4323</v>
      </c>
      <c r="B2382" t="s">
        <v>455</v>
      </c>
      <c r="C2382">
        <v>1173.74</v>
      </c>
      <c r="D2382" s="1">
        <v>45194.697824074072</v>
      </c>
      <c r="E2382" t="s">
        <v>57</v>
      </c>
      <c r="F2382" t="s">
        <v>314</v>
      </c>
      <c r="G2382" t="s">
        <v>3024</v>
      </c>
      <c r="H2382" t="s">
        <v>2536</v>
      </c>
      <c r="I2382" t="s">
        <v>585</v>
      </c>
      <c r="J2382" t="s">
        <v>45</v>
      </c>
      <c r="K2382">
        <v>61</v>
      </c>
      <c r="L2382" t="s">
        <v>31</v>
      </c>
      <c r="M2382">
        <v>61</v>
      </c>
      <c r="N2382">
        <v>1</v>
      </c>
      <c r="O2382">
        <v>10456.24</v>
      </c>
      <c r="P2382" s="1">
        <v>45600.338553240741</v>
      </c>
      <c r="Q2382">
        <v>16</v>
      </c>
      <c r="R2382" t="s">
        <v>47</v>
      </c>
      <c r="S2382">
        <v>3.0010532486492201</v>
      </c>
      <c r="T2382" t="b">
        <v>1</v>
      </c>
      <c r="U2382" t="b">
        <v>0</v>
      </c>
      <c r="V2382" t="b">
        <f t="shared" si="74"/>
        <v>1</v>
      </c>
      <c r="W2382">
        <v>1</v>
      </c>
      <c r="Y2382">
        <f t="shared" si="75"/>
        <v>1</v>
      </c>
    </row>
    <row r="2383" spans="1:25" x14ac:dyDescent="0.3">
      <c r="A2383" t="s">
        <v>4324</v>
      </c>
      <c r="B2383" t="s">
        <v>885</v>
      </c>
      <c r="C2383">
        <v>45.92</v>
      </c>
      <c r="D2383" s="1">
        <v>45096.726099537038</v>
      </c>
      <c r="E2383" t="s">
        <v>25</v>
      </c>
      <c r="F2383" t="s">
        <v>92</v>
      </c>
      <c r="G2383" t="s">
        <v>498</v>
      </c>
      <c r="H2383" t="s">
        <v>149</v>
      </c>
      <c r="I2383" t="s">
        <v>356</v>
      </c>
      <c r="J2383" t="s">
        <v>30</v>
      </c>
      <c r="K2383">
        <v>26</v>
      </c>
      <c r="L2383" t="s">
        <v>46</v>
      </c>
      <c r="M2383">
        <v>23</v>
      </c>
      <c r="N2383">
        <v>1</v>
      </c>
      <c r="O2383">
        <v>544.55999999999995</v>
      </c>
      <c r="P2383" s="1">
        <v>45600.337870370371</v>
      </c>
      <c r="Q2383">
        <v>17</v>
      </c>
      <c r="R2383" t="s">
        <v>47</v>
      </c>
      <c r="S2383">
        <v>-0.86205520218519305</v>
      </c>
      <c r="T2383" t="b">
        <v>0</v>
      </c>
      <c r="U2383" t="b">
        <v>0</v>
      </c>
      <c r="V2383" t="b">
        <f t="shared" si="74"/>
        <v>1</v>
      </c>
      <c r="W2383">
        <v>0</v>
      </c>
      <c r="Y2383">
        <f t="shared" si="75"/>
        <v>0</v>
      </c>
    </row>
    <row r="2384" spans="1:25" x14ac:dyDescent="0.3">
      <c r="A2384" t="s">
        <v>4325</v>
      </c>
      <c r="B2384" t="s">
        <v>1180</v>
      </c>
      <c r="C2384">
        <v>761.73</v>
      </c>
      <c r="D2384" s="1">
        <v>45180.7187962963</v>
      </c>
      <c r="E2384" t="s">
        <v>25</v>
      </c>
      <c r="F2384" t="s">
        <v>137</v>
      </c>
      <c r="G2384" t="s">
        <v>1018</v>
      </c>
      <c r="H2384" t="s">
        <v>1176</v>
      </c>
      <c r="I2384" t="s">
        <v>339</v>
      </c>
      <c r="J2384" t="s">
        <v>30</v>
      </c>
      <c r="K2384">
        <v>19</v>
      </c>
      <c r="L2384" t="s">
        <v>46</v>
      </c>
      <c r="M2384">
        <v>27</v>
      </c>
      <c r="N2384">
        <v>1</v>
      </c>
      <c r="O2384">
        <v>151.28</v>
      </c>
      <c r="P2384" s="1">
        <v>45600.339849537035</v>
      </c>
      <c r="Q2384">
        <v>17</v>
      </c>
      <c r="R2384" t="s">
        <v>47</v>
      </c>
      <c r="S2384">
        <v>1.5898002891093199</v>
      </c>
      <c r="T2384" t="b">
        <v>0</v>
      </c>
      <c r="U2384" t="b">
        <v>0</v>
      </c>
      <c r="V2384" t="b">
        <f t="shared" si="74"/>
        <v>1</v>
      </c>
      <c r="W2384">
        <v>0</v>
      </c>
      <c r="Y2384">
        <f t="shared" si="75"/>
        <v>0</v>
      </c>
    </row>
    <row r="2385" spans="1:25" x14ac:dyDescent="0.3">
      <c r="A2385" t="s">
        <v>4326</v>
      </c>
      <c r="B2385" t="s">
        <v>2275</v>
      </c>
      <c r="C2385">
        <v>331.38</v>
      </c>
      <c r="D2385" s="1">
        <v>45076.717800925922</v>
      </c>
      <c r="E2385" t="s">
        <v>25</v>
      </c>
      <c r="F2385" t="s">
        <v>185</v>
      </c>
      <c r="G2385" t="s">
        <v>217</v>
      </c>
      <c r="H2385" t="s">
        <v>2340</v>
      </c>
      <c r="I2385" t="s">
        <v>280</v>
      </c>
      <c r="J2385" t="s">
        <v>30</v>
      </c>
      <c r="K2385">
        <v>42</v>
      </c>
      <c r="L2385" t="s">
        <v>89</v>
      </c>
      <c r="M2385">
        <v>122</v>
      </c>
      <c r="N2385">
        <v>1</v>
      </c>
      <c r="O2385">
        <v>844.55</v>
      </c>
      <c r="P2385" s="1">
        <v>45600.339328703703</v>
      </c>
      <c r="Q2385">
        <v>17</v>
      </c>
      <c r="R2385" t="s">
        <v>32</v>
      </c>
      <c r="S2385">
        <v>0.115727545394379</v>
      </c>
      <c r="T2385" t="b">
        <v>0</v>
      </c>
      <c r="U2385" t="b">
        <v>0</v>
      </c>
      <c r="V2385" t="b">
        <f t="shared" si="74"/>
        <v>1</v>
      </c>
      <c r="W2385">
        <v>0</v>
      </c>
      <c r="Y2385">
        <f t="shared" si="75"/>
        <v>0</v>
      </c>
    </row>
    <row r="2386" spans="1:25" x14ac:dyDescent="0.3">
      <c r="A2386" t="s">
        <v>4327</v>
      </c>
      <c r="B2386" t="s">
        <v>2221</v>
      </c>
      <c r="C2386">
        <v>602.79999999999995</v>
      </c>
      <c r="D2386" s="1">
        <v>45005.725868055553</v>
      </c>
      <c r="E2386" t="s">
        <v>25</v>
      </c>
      <c r="F2386" t="s">
        <v>210</v>
      </c>
      <c r="G2386" t="s">
        <v>3331</v>
      </c>
      <c r="H2386" t="s">
        <v>854</v>
      </c>
      <c r="I2386" t="s">
        <v>375</v>
      </c>
      <c r="J2386" t="s">
        <v>81</v>
      </c>
      <c r="K2386">
        <v>60</v>
      </c>
      <c r="L2386" t="s">
        <v>82</v>
      </c>
      <c r="M2386">
        <v>173</v>
      </c>
      <c r="N2386">
        <v>1</v>
      </c>
      <c r="O2386">
        <v>7417.69</v>
      </c>
      <c r="P2386" s="1">
        <v>45600.340937499997</v>
      </c>
      <c r="Q2386">
        <v>17</v>
      </c>
      <c r="R2386" t="s">
        <v>47</v>
      </c>
      <c r="S2386">
        <v>1.0454192477276201</v>
      </c>
      <c r="T2386" t="b">
        <v>0</v>
      </c>
      <c r="U2386" t="b">
        <v>0</v>
      </c>
      <c r="V2386" t="b">
        <f t="shared" si="74"/>
        <v>1</v>
      </c>
      <c r="W2386">
        <v>0</v>
      </c>
      <c r="Y2386">
        <f t="shared" si="75"/>
        <v>0</v>
      </c>
    </row>
    <row r="2387" spans="1:25" x14ac:dyDescent="0.3">
      <c r="A2387" t="s">
        <v>4328</v>
      </c>
      <c r="B2387" t="s">
        <v>522</v>
      </c>
      <c r="C2387">
        <v>64.12</v>
      </c>
      <c r="D2387" s="1">
        <v>45148.717303240737</v>
      </c>
      <c r="E2387" t="s">
        <v>57</v>
      </c>
      <c r="F2387" t="s">
        <v>77</v>
      </c>
      <c r="G2387" t="s">
        <v>328</v>
      </c>
      <c r="H2387" t="s">
        <v>996</v>
      </c>
      <c r="I2387" t="s">
        <v>361</v>
      </c>
      <c r="J2387" t="s">
        <v>81</v>
      </c>
      <c r="K2387">
        <v>57</v>
      </c>
      <c r="L2387" t="s">
        <v>31</v>
      </c>
      <c r="M2387">
        <v>222</v>
      </c>
      <c r="N2387">
        <v>1</v>
      </c>
      <c r="O2387">
        <v>1029.0899999999999</v>
      </c>
      <c r="P2387" s="1">
        <v>45600.34003472222</v>
      </c>
      <c r="Q2387">
        <v>17</v>
      </c>
      <c r="R2387" t="s">
        <v>141</v>
      </c>
      <c r="S2387">
        <v>-0.79971495834735895</v>
      </c>
      <c r="T2387" t="b">
        <v>0</v>
      </c>
      <c r="U2387" t="b">
        <v>0</v>
      </c>
      <c r="V2387" t="b">
        <f t="shared" si="74"/>
        <v>1</v>
      </c>
      <c r="W2387">
        <v>0</v>
      </c>
      <c r="Y2387">
        <f t="shared" si="75"/>
        <v>0</v>
      </c>
    </row>
    <row r="2388" spans="1:25" x14ac:dyDescent="0.3">
      <c r="A2388" t="s">
        <v>4329</v>
      </c>
      <c r="B2388" t="s">
        <v>1686</v>
      </c>
      <c r="C2388">
        <v>57.38</v>
      </c>
      <c r="D2388" s="1">
        <v>44970.769143518519</v>
      </c>
      <c r="E2388" t="s">
        <v>25</v>
      </c>
      <c r="F2388" t="s">
        <v>304</v>
      </c>
      <c r="G2388" t="s">
        <v>2982</v>
      </c>
      <c r="H2388" t="s">
        <v>1308</v>
      </c>
      <c r="I2388" t="s">
        <v>632</v>
      </c>
      <c r="J2388" t="s">
        <v>45</v>
      </c>
      <c r="K2388">
        <v>28</v>
      </c>
      <c r="L2388" t="s">
        <v>46</v>
      </c>
      <c r="M2388">
        <v>86</v>
      </c>
      <c r="N2388">
        <v>1</v>
      </c>
      <c r="O2388">
        <v>899.52</v>
      </c>
      <c r="P2388" s="1">
        <v>45600.339247685188</v>
      </c>
      <c r="Q2388">
        <v>18</v>
      </c>
      <c r="R2388" t="s">
        <v>47</v>
      </c>
      <c r="S2388">
        <v>-0.82280140029609505</v>
      </c>
      <c r="T2388" t="b">
        <v>0</v>
      </c>
      <c r="U2388" t="b">
        <v>0</v>
      </c>
      <c r="V2388" t="b">
        <f t="shared" si="74"/>
        <v>1</v>
      </c>
      <c r="W2388">
        <v>0</v>
      </c>
      <c r="Y2388">
        <f t="shared" si="75"/>
        <v>0</v>
      </c>
    </row>
    <row r="2389" spans="1:25" x14ac:dyDescent="0.3">
      <c r="A2389" t="s">
        <v>4330</v>
      </c>
      <c r="B2389" t="s">
        <v>1210</v>
      </c>
      <c r="C2389">
        <v>94.64</v>
      </c>
      <c r="D2389" s="1">
        <v>45061.771469907406</v>
      </c>
      <c r="E2389" t="s">
        <v>57</v>
      </c>
      <c r="F2389" t="s">
        <v>216</v>
      </c>
      <c r="G2389" t="s">
        <v>4331</v>
      </c>
      <c r="H2389" t="s">
        <v>709</v>
      </c>
      <c r="I2389" t="s">
        <v>321</v>
      </c>
      <c r="J2389" t="s">
        <v>30</v>
      </c>
      <c r="K2389">
        <v>28</v>
      </c>
      <c r="L2389" t="s">
        <v>46</v>
      </c>
      <c r="M2389">
        <v>144</v>
      </c>
      <c r="N2389">
        <v>1</v>
      </c>
      <c r="O2389">
        <v>586.76</v>
      </c>
      <c r="P2389" s="1">
        <v>45600.339467592596</v>
      </c>
      <c r="Q2389">
        <v>18</v>
      </c>
      <c r="R2389" t="s">
        <v>47</v>
      </c>
      <c r="S2389">
        <v>-0.695175164834682</v>
      </c>
      <c r="T2389" t="b">
        <v>0</v>
      </c>
      <c r="U2389" t="b">
        <v>0</v>
      </c>
      <c r="V2389" t="b">
        <f t="shared" si="74"/>
        <v>1</v>
      </c>
      <c r="W2389">
        <v>0</v>
      </c>
      <c r="Y2389">
        <f t="shared" si="75"/>
        <v>0</v>
      </c>
    </row>
    <row r="2390" spans="1:25" x14ac:dyDescent="0.3">
      <c r="A2390" t="s">
        <v>4332</v>
      </c>
      <c r="B2390" t="s">
        <v>1783</v>
      </c>
      <c r="C2390">
        <v>155.56</v>
      </c>
      <c r="D2390" s="1">
        <v>45040.6721412037</v>
      </c>
      <c r="E2390" t="s">
        <v>57</v>
      </c>
      <c r="F2390" t="s">
        <v>131</v>
      </c>
      <c r="G2390" t="s">
        <v>2492</v>
      </c>
      <c r="H2390" t="s">
        <v>133</v>
      </c>
      <c r="I2390" t="s">
        <v>253</v>
      </c>
      <c r="J2390" t="s">
        <v>81</v>
      </c>
      <c r="K2390">
        <v>19</v>
      </c>
      <c r="L2390" t="s">
        <v>46</v>
      </c>
      <c r="M2390">
        <v>64</v>
      </c>
      <c r="N2390">
        <v>1</v>
      </c>
      <c r="O2390">
        <v>129.79</v>
      </c>
      <c r="P2390" s="1">
        <v>45600.338726851849</v>
      </c>
      <c r="Q2390">
        <v>16</v>
      </c>
      <c r="R2390" t="s">
        <v>47</v>
      </c>
      <c r="S2390">
        <v>-0.48650661238408499</v>
      </c>
      <c r="T2390" t="b">
        <v>0</v>
      </c>
      <c r="U2390" t="b">
        <v>0</v>
      </c>
      <c r="V2390" t="b">
        <f t="shared" si="74"/>
        <v>1</v>
      </c>
      <c r="W2390">
        <v>0</v>
      </c>
      <c r="Y2390">
        <f t="shared" si="75"/>
        <v>0</v>
      </c>
    </row>
    <row r="2391" spans="1:25" x14ac:dyDescent="0.3">
      <c r="A2391" t="s">
        <v>4333</v>
      </c>
      <c r="B2391" t="s">
        <v>2991</v>
      </c>
      <c r="C2391">
        <v>301.39</v>
      </c>
      <c r="D2391" s="1">
        <v>45111.681388888886</v>
      </c>
      <c r="E2391" t="s">
        <v>57</v>
      </c>
      <c r="F2391" t="s">
        <v>126</v>
      </c>
      <c r="G2391" t="s">
        <v>429</v>
      </c>
      <c r="H2391" t="s">
        <v>1077</v>
      </c>
      <c r="I2391" t="s">
        <v>1358</v>
      </c>
      <c r="J2391" t="s">
        <v>45</v>
      </c>
      <c r="K2391">
        <v>47</v>
      </c>
      <c r="L2391" t="s">
        <v>31</v>
      </c>
      <c r="M2391">
        <v>104</v>
      </c>
      <c r="N2391">
        <v>1</v>
      </c>
      <c r="O2391">
        <v>10548.58</v>
      </c>
      <c r="P2391" s="1">
        <v>45600.338449074072</v>
      </c>
      <c r="Q2391">
        <v>16</v>
      </c>
      <c r="R2391" t="s">
        <v>32</v>
      </c>
      <c r="S2391">
        <v>1.3003154586871001E-2</v>
      </c>
      <c r="T2391" t="b">
        <v>0</v>
      </c>
      <c r="U2391" t="b">
        <v>0</v>
      </c>
      <c r="V2391" t="b">
        <f t="shared" si="74"/>
        <v>1</v>
      </c>
      <c r="W2391">
        <v>0</v>
      </c>
      <c r="Y2391">
        <f t="shared" si="75"/>
        <v>0</v>
      </c>
    </row>
    <row r="2392" spans="1:25" x14ac:dyDescent="0.3">
      <c r="A2392" t="s">
        <v>4334</v>
      </c>
      <c r="B2392" t="s">
        <v>948</v>
      </c>
      <c r="C2392">
        <v>136.31</v>
      </c>
      <c r="D2392" s="1">
        <v>45229.69321759259</v>
      </c>
      <c r="E2392" t="s">
        <v>25</v>
      </c>
      <c r="F2392" t="s">
        <v>92</v>
      </c>
      <c r="G2392" t="s">
        <v>2021</v>
      </c>
      <c r="H2392" t="s">
        <v>252</v>
      </c>
      <c r="I2392" t="s">
        <v>301</v>
      </c>
      <c r="J2392" t="s">
        <v>45</v>
      </c>
      <c r="K2392">
        <v>74</v>
      </c>
      <c r="L2392" t="s">
        <v>82</v>
      </c>
      <c r="M2392">
        <v>65</v>
      </c>
      <c r="N2392">
        <v>1</v>
      </c>
      <c r="O2392">
        <v>4384.95</v>
      </c>
      <c r="P2392" s="1">
        <v>45600.339363425926</v>
      </c>
      <c r="Q2392">
        <v>16</v>
      </c>
      <c r="R2392" t="s">
        <v>47</v>
      </c>
      <c r="S2392">
        <v>-0.55244340875102504</v>
      </c>
      <c r="T2392" t="b">
        <v>0</v>
      </c>
      <c r="U2392" t="b">
        <v>0</v>
      </c>
      <c r="V2392" t="b">
        <f t="shared" si="74"/>
        <v>1</v>
      </c>
      <c r="W2392">
        <v>0</v>
      </c>
      <c r="Y2392">
        <f t="shared" si="75"/>
        <v>0</v>
      </c>
    </row>
    <row r="2393" spans="1:25" x14ac:dyDescent="0.3">
      <c r="A2393" t="s">
        <v>4335</v>
      </c>
      <c r="B2393" t="s">
        <v>1356</v>
      </c>
      <c r="C2393">
        <v>4.3899999999999997</v>
      </c>
      <c r="D2393" s="1">
        <v>45089.669236111113</v>
      </c>
      <c r="E2393" t="s">
        <v>25</v>
      </c>
      <c r="F2393" t="s">
        <v>256</v>
      </c>
      <c r="G2393" t="s">
        <v>1828</v>
      </c>
      <c r="H2393" t="s">
        <v>1608</v>
      </c>
      <c r="I2393" t="s">
        <v>833</v>
      </c>
      <c r="J2393" t="s">
        <v>30</v>
      </c>
      <c r="K2393">
        <v>26</v>
      </c>
      <c r="L2393" t="s">
        <v>46</v>
      </c>
      <c r="M2393">
        <v>63</v>
      </c>
      <c r="N2393">
        <v>1</v>
      </c>
      <c r="O2393">
        <v>1429.61</v>
      </c>
      <c r="P2393" s="1">
        <v>45600.341527777775</v>
      </c>
      <c r="Q2393">
        <v>16</v>
      </c>
      <c r="R2393" t="s">
        <v>47</v>
      </c>
      <c r="S2393">
        <v>-1.00430741793163</v>
      </c>
      <c r="T2393" t="b">
        <v>0</v>
      </c>
      <c r="U2393" t="b">
        <v>0</v>
      </c>
      <c r="V2393" t="b">
        <f t="shared" si="74"/>
        <v>1</v>
      </c>
      <c r="W2393">
        <v>0</v>
      </c>
      <c r="Y2393">
        <f t="shared" si="75"/>
        <v>0</v>
      </c>
    </row>
    <row r="2394" spans="1:25" x14ac:dyDescent="0.3">
      <c r="A2394" t="s">
        <v>4336</v>
      </c>
      <c r="B2394" t="s">
        <v>981</v>
      </c>
      <c r="C2394">
        <v>429.25</v>
      </c>
      <c r="D2394" s="1">
        <v>45089.68513888889</v>
      </c>
      <c r="E2394" t="s">
        <v>25</v>
      </c>
      <c r="F2394" t="s">
        <v>70</v>
      </c>
      <c r="G2394" t="s">
        <v>93</v>
      </c>
      <c r="H2394" t="s">
        <v>1998</v>
      </c>
      <c r="I2394" t="s">
        <v>290</v>
      </c>
      <c r="J2394" t="s">
        <v>45</v>
      </c>
      <c r="K2394">
        <v>29</v>
      </c>
      <c r="L2394" t="s">
        <v>89</v>
      </c>
      <c r="M2394">
        <v>107</v>
      </c>
      <c r="N2394">
        <v>1</v>
      </c>
      <c r="O2394">
        <v>5019.68</v>
      </c>
      <c r="P2394" s="1">
        <v>45600.339305555557</v>
      </c>
      <c r="Q2394">
        <v>16</v>
      </c>
      <c r="R2394" t="s">
        <v>47</v>
      </c>
      <c r="S2394">
        <v>0.45096049398827298</v>
      </c>
      <c r="T2394" t="b">
        <v>0</v>
      </c>
      <c r="U2394" t="b">
        <v>0</v>
      </c>
      <c r="V2394" t="b">
        <f t="shared" si="74"/>
        <v>1</v>
      </c>
      <c r="W2394">
        <v>0</v>
      </c>
      <c r="Y2394">
        <f t="shared" si="75"/>
        <v>0</v>
      </c>
    </row>
    <row r="2395" spans="1:25" x14ac:dyDescent="0.3">
      <c r="A2395" t="s">
        <v>4337</v>
      </c>
      <c r="B2395" t="s">
        <v>654</v>
      </c>
      <c r="C2395">
        <v>138.54</v>
      </c>
      <c r="D2395" s="1">
        <v>44929.747650462959</v>
      </c>
      <c r="E2395" t="s">
        <v>57</v>
      </c>
      <c r="F2395" t="s">
        <v>131</v>
      </c>
      <c r="G2395" t="s">
        <v>869</v>
      </c>
      <c r="H2395" t="s">
        <v>1569</v>
      </c>
      <c r="I2395" t="s">
        <v>178</v>
      </c>
      <c r="J2395" t="s">
        <v>81</v>
      </c>
      <c r="K2395">
        <v>60</v>
      </c>
      <c r="L2395" t="s">
        <v>89</v>
      </c>
      <c r="M2395">
        <v>93</v>
      </c>
      <c r="N2395">
        <v>1</v>
      </c>
      <c r="O2395">
        <v>8274.77</v>
      </c>
      <c r="P2395" s="1">
        <v>45600.339641203704</v>
      </c>
      <c r="Q2395">
        <v>17</v>
      </c>
      <c r="R2395" t="s">
        <v>32</v>
      </c>
      <c r="S2395">
        <v>-0.54480501623682898</v>
      </c>
      <c r="T2395" t="b">
        <v>0</v>
      </c>
      <c r="U2395" t="b">
        <v>0</v>
      </c>
      <c r="V2395" t="b">
        <f t="shared" si="74"/>
        <v>1</v>
      </c>
      <c r="W2395">
        <v>0</v>
      </c>
      <c r="Y2395">
        <f t="shared" si="75"/>
        <v>0</v>
      </c>
    </row>
    <row r="2396" spans="1:25" x14ac:dyDescent="0.3">
      <c r="A2396" t="s">
        <v>4338</v>
      </c>
      <c r="B2396" t="s">
        <v>1346</v>
      </c>
      <c r="C2396">
        <v>33.03</v>
      </c>
      <c r="D2396" s="1">
        <v>45148.707060185188</v>
      </c>
      <c r="E2396" t="s">
        <v>25</v>
      </c>
      <c r="F2396" t="s">
        <v>466</v>
      </c>
      <c r="G2396" t="s">
        <v>2617</v>
      </c>
      <c r="H2396" t="s">
        <v>1232</v>
      </c>
      <c r="I2396" t="s">
        <v>73</v>
      </c>
      <c r="J2396" t="s">
        <v>81</v>
      </c>
      <c r="K2396">
        <v>21</v>
      </c>
      <c r="L2396" t="s">
        <v>46</v>
      </c>
      <c r="M2396">
        <v>28</v>
      </c>
      <c r="N2396">
        <v>1</v>
      </c>
      <c r="O2396">
        <v>935.88</v>
      </c>
      <c r="P2396" s="1">
        <v>45600.340243055558</v>
      </c>
      <c r="Q2396">
        <v>16</v>
      </c>
      <c r="R2396" t="s">
        <v>141</v>
      </c>
      <c r="S2396">
        <v>-0.90620716609012097</v>
      </c>
      <c r="T2396" t="b">
        <v>0</v>
      </c>
      <c r="U2396" t="b">
        <v>0</v>
      </c>
      <c r="V2396" t="b">
        <f t="shared" si="74"/>
        <v>1</v>
      </c>
      <c r="W2396">
        <v>0</v>
      </c>
      <c r="Y2396">
        <f t="shared" si="75"/>
        <v>0</v>
      </c>
    </row>
    <row r="2397" spans="1:25" x14ac:dyDescent="0.3">
      <c r="A2397" t="s">
        <v>4339</v>
      </c>
      <c r="B2397" t="s">
        <v>2927</v>
      </c>
      <c r="C2397">
        <v>76.39</v>
      </c>
      <c r="D2397" s="1">
        <v>44984.686377314814</v>
      </c>
      <c r="E2397" t="s">
        <v>25</v>
      </c>
      <c r="F2397" t="s">
        <v>298</v>
      </c>
      <c r="G2397" t="s">
        <v>3503</v>
      </c>
      <c r="H2397" t="s">
        <v>1755</v>
      </c>
      <c r="I2397" t="s">
        <v>275</v>
      </c>
      <c r="J2397" t="s">
        <v>45</v>
      </c>
      <c r="K2397">
        <v>30</v>
      </c>
      <c r="L2397" t="s">
        <v>31</v>
      </c>
      <c r="M2397">
        <v>80</v>
      </c>
      <c r="N2397">
        <v>1</v>
      </c>
      <c r="O2397">
        <v>11584.32</v>
      </c>
      <c r="P2397" s="1">
        <v>45600.340960648151</v>
      </c>
      <c r="Q2397">
        <v>16</v>
      </c>
      <c r="R2397" t="s">
        <v>47</v>
      </c>
      <c r="S2397">
        <v>-0.757686673078665</v>
      </c>
      <c r="T2397" t="b">
        <v>0</v>
      </c>
      <c r="U2397" t="b">
        <v>0</v>
      </c>
      <c r="V2397" t="b">
        <f t="shared" si="74"/>
        <v>1</v>
      </c>
      <c r="W2397">
        <v>0</v>
      </c>
      <c r="Y2397">
        <f t="shared" si="75"/>
        <v>0</v>
      </c>
    </row>
    <row r="2398" spans="1:25" x14ac:dyDescent="0.3">
      <c r="A2398" t="s">
        <v>4340</v>
      </c>
      <c r="B2398" t="s">
        <v>175</v>
      </c>
      <c r="C2398">
        <v>25.32</v>
      </c>
      <c r="D2398" s="1">
        <v>44992.742511574077</v>
      </c>
      <c r="E2398" t="s">
        <v>25</v>
      </c>
      <c r="F2398" t="s">
        <v>64</v>
      </c>
      <c r="G2398" t="s">
        <v>1635</v>
      </c>
      <c r="H2398" t="s">
        <v>360</v>
      </c>
      <c r="I2398" t="s">
        <v>290</v>
      </c>
      <c r="J2398" t="s">
        <v>30</v>
      </c>
      <c r="K2398">
        <v>19</v>
      </c>
      <c r="L2398" t="s">
        <v>46</v>
      </c>
      <c r="M2398">
        <v>25</v>
      </c>
      <c r="N2398">
        <v>1</v>
      </c>
      <c r="O2398">
        <v>1642.34</v>
      </c>
      <c r="P2398" s="1">
        <v>45600.339918981481</v>
      </c>
      <c r="Q2398">
        <v>17</v>
      </c>
      <c r="R2398" t="s">
        <v>32</v>
      </c>
      <c r="S2398">
        <v>-0.932616137518127</v>
      </c>
      <c r="T2398" t="b">
        <v>0</v>
      </c>
      <c r="U2398" t="b">
        <v>0</v>
      </c>
      <c r="V2398" t="b">
        <f t="shared" si="74"/>
        <v>1</v>
      </c>
      <c r="W2398">
        <v>0</v>
      </c>
      <c r="Y2398">
        <f t="shared" si="75"/>
        <v>0</v>
      </c>
    </row>
    <row r="2399" spans="1:25" x14ac:dyDescent="0.3">
      <c r="A2399" t="s">
        <v>4341</v>
      </c>
      <c r="B2399" t="s">
        <v>4342</v>
      </c>
      <c r="C2399">
        <v>330.91</v>
      </c>
      <c r="D2399" s="1">
        <v>44991.725925925923</v>
      </c>
      <c r="E2399" t="s">
        <v>25</v>
      </c>
      <c r="F2399" t="s">
        <v>304</v>
      </c>
      <c r="G2399" t="s">
        <v>2346</v>
      </c>
      <c r="H2399" t="s">
        <v>2366</v>
      </c>
      <c r="I2399" t="s">
        <v>589</v>
      </c>
      <c r="J2399" t="s">
        <v>30</v>
      </c>
      <c r="K2399">
        <v>36</v>
      </c>
      <c r="L2399" t="s">
        <v>89</v>
      </c>
      <c r="M2399">
        <v>28</v>
      </c>
      <c r="N2399">
        <v>1</v>
      </c>
      <c r="O2399">
        <v>6481.35</v>
      </c>
      <c r="P2399" s="1">
        <v>45600.341087962966</v>
      </c>
      <c r="Q2399">
        <v>17</v>
      </c>
      <c r="R2399" t="s">
        <v>47</v>
      </c>
      <c r="S2399">
        <v>0.114117659976589</v>
      </c>
      <c r="T2399" t="b">
        <v>0</v>
      </c>
      <c r="U2399" t="b">
        <v>0</v>
      </c>
      <c r="V2399" t="b">
        <f t="shared" si="74"/>
        <v>1</v>
      </c>
      <c r="W2399">
        <v>0</v>
      </c>
      <c r="Y2399">
        <f t="shared" si="75"/>
        <v>0</v>
      </c>
    </row>
    <row r="2400" spans="1:25" x14ac:dyDescent="0.3">
      <c r="A2400" t="s">
        <v>4343</v>
      </c>
      <c r="B2400" t="s">
        <v>4342</v>
      </c>
      <c r="C2400">
        <v>153.55000000000001</v>
      </c>
      <c r="D2400" s="1">
        <v>45238.745740740742</v>
      </c>
      <c r="E2400" t="s">
        <v>25</v>
      </c>
      <c r="F2400" t="s">
        <v>126</v>
      </c>
      <c r="G2400" t="s">
        <v>2285</v>
      </c>
      <c r="H2400" t="s">
        <v>1055</v>
      </c>
      <c r="I2400" t="s">
        <v>527</v>
      </c>
      <c r="J2400" t="s">
        <v>45</v>
      </c>
      <c r="K2400">
        <v>37</v>
      </c>
      <c r="L2400" t="s">
        <v>31</v>
      </c>
      <c r="M2400">
        <v>16</v>
      </c>
      <c r="N2400">
        <v>1</v>
      </c>
      <c r="O2400">
        <v>5619.91</v>
      </c>
      <c r="P2400" s="1">
        <v>45600.338634259257</v>
      </c>
      <c r="Q2400">
        <v>17</v>
      </c>
      <c r="R2400" t="s">
        <v>74</v>
      </c>
      <c r="S2400">
        <v>-0.49339144151122999</v>
      </c>
      <c r="T2400" t="b">
        <v>0</v>
      </c>
      <c r="U2400" t="b">
        <v>0</v>
      </c>
      <c r="V2400" t="b">
        <f t="shared" si="74"/>
        <v>1</v>
      </c>
      <c r="W2400">
        <v>0</v>
      </c>
      <c r="Y2400">
        <f t="shared" si="75"/>
        <v>0</v>
      </c>
    </row>
    <row r="2401" spans="1:25" x14ac:dyDescent="0.3">
      <c r="A2401" t="s">
        <v>4344</v>
      </c>
      <c r="B2401" t="s">
        <v>3879</v>
      </c>
      <c r="C2401">
        <v>217.61</v>
      </c>
      <c r="D2401" s="1">
        <v>44985.732037037036</v>
      </c>
      <c r="E2401" t="s">
        <v>25</v>
      </c>
      <c r="F2401" t="s">
        <v>309</v>
      </c>
      <c r="G2401" t="s">
        <v>4150</v>
      </c>
      <c r="H2401" t="s">
        <v>2124</v>
      </c>
      <c r="I2401" t="s">
        <v>150</v>
      </c>
      <c r="J2401" t="s">
        <v>45</v>
      </c>
      <c r="K2401">
        <v>27</v>
      </c>
      <c r="L2401" t="s">
        <v>46</v>
      </c>
      <c r="M2401">
        <v>120</v>
      </c>
      <c r="N2401">
        <v>1</v>
      </c>
      <c r="O2401">
        <v>1661.1</v>
      </c>
      <c r="P2401" s="1">
        <v>45600.341099537036</v>
      </c>
      <c r="Q2401">
        <v>17</v>
      </c>
      <c r="R2401" t="s">
        <v>32</v>
      </c>
      <c r="S2401">
        <v>-0.27396748435454499</v>
      </c>
      <c r="T2401" t="b">
        <v>0</v>
      </c>
      <c r="U2401" t="b">
        <v>0</v>
      </c>
      <c r="V2401" t="b">
        <f t="shared" si="74"/>
        <v>1</v>
      </c>
      <c r="W2401">
        <v>0</v>
      </c>
      <c r="Y2401">
        <f t="shared" si="75"/>
        <v>0</v>
      </c>
    </row>
    <row r="2402" spans="1:25" x14ac:dyDescent="0.3">
      <c r="A2402" t="s">
        <v>4345</v>
      </c>
      <c r="B2402" t="s">
        <v>897</v>
      </c>
      <c r="C2402">
        <v>131.69</v>
      </c>
      <c r="D2402" s="1">
        <v>45215.682314814818</v>
      </c>
      <c r="E2402" t="s">
        <v>57</v>
      </c>
      <c r="F2402" t="s">
        <v>126</v>
      </c>
      <c r="G2402" t="s">
        <v>2460</v>
      </c>
      <c r="H2402" t="s">
        <v>824</v>
      </c>
      <c r="I2402" t="s">
        <v>665</v>
      </c>
      <c r="J2402" t="s">
        <v>81</v>
      </c>
      <c r="K2402">
        <v>53</v>
      </c>
      <c r="L2402" t="s">
        <v>89</v>
      </c>
      <c r="M2402">
        <v>59</v>
      </c>
      <c r="N2402">
        <v>1</v>
      </c>
      <c r="O2402">
        <v>2958.43</v>
      </c>
      <c r="P2402" s="1">
        <v>45600.338229166664</v>
      </c>
      <c r="Q2402">
        <v>16</v>
      </c>
      <c r="R2402" t="s">
        <v>47</v>
      </c>
      <c r="S2402">
        <v>-0.56826823987909103</v>
      </c>
      <c r="T2402" t="b">
        <v>0</v>
      </c>
      <c r="U2402" t="b">
        <v>0</v>
      </c>
      <c r="V2402" t="b">
        <f t="shared" si="74"/>
        <v>1</v>
      </c>
      <c r="W2402">
        <v>0</v>
      </c>
      <c r="Y2402">
        <f t="shared" si="75"/>
        <v>0</v>
      </c>
    </row>
    <row r="2403" spans="1:25" x14ac:dyDescent="0.3">
      <c r="A2403" t="s">
        <v>4346</v>
      </c>
      <c r="B2403" t="s">
        <v>1057</v>
      </c>
      <c r="C2403">
        <v>953.17</v>
      </c>
      <c r="D2403" s="1">
        <v>45211.735509259262</v>
      </c>
      <c r="E2403" t="s">
        <v>25</v>
      </c>
      <c r="F2403" t="s">
        <v>50</v>
      </c>
      <c r="G2403" t="s">
        <v>2289</v>
      </c>
      <c r="H2403" t="s">
        <v>3012</v>
      </c>
      <c r="I2403" t="s">
        <v>1222</v>
      </c>
      <c r="J2403" t="s">
        <v>45</v>
      </c>
      <c r="K2403">
        <v>60</v>
      </c>
      <c r="L2403" t="s">
        <v>82</v>
      </c>
      <c r="M2403">
        <v>84</v>
      </c>
      <c r="N2403">
        <v>1</v>
      </c>
      <c r="O2403">
        <v>3506.11</v>
      </c>
      <c r="P2403" s="1">
        <v>45600.339444444442</v>
      </c>
      <c r="Q2403">
        <v>17</v>
      </c>
      <c r="R2403" t="s">
        <v>141</v>
      </c>
      <c r="S2403">
        <v>2.24553744736839</v>
      </c>
      <c r="T2403" t="b">
        <v>1</v>
      </c>
      <c r="U2403" t="b">
        <v>0</v>
      </c>
      <c r="V2403" t="b">
        <f t="shared" si="74"/>
        <v>1</v>
      </c>
      <c r="W2403">
        <v>1</v>
      </c>
      <c r="Y2403">
        <f t="shared" si="75"/>
        <v>1</v>
      </c>
    </row>
    <row r="2404" spans="1:25" x14ac:dyDescent="0.3">
      <c r="A2404" t="s">
        <v>4347</v>
      </c>
      <c r="B2404" t="s">
        <v>885</v>
      </c>
      <c r="C2404">
        <v>68.489999999999995</v>
      </c>
      <c r="D2404" s="1">
        <v>45224.734375</v>
      </c>
      <c r="E2404" t="s">
        <v>25</v>
      </c>
      <c r="F2404" t="s">
        <v>92</v>
      </c>
      <c r="G2404" t="s">
        <v>1767</v>
      </c>
      <c r="H2404" t="s">
        <v>1262</v>
      </c>
      <c r="I2404" t="s">
        <v>280</v>
      </c>
      <c r="J2404" t="s">
        <v>45</v>
      </c>
      <c r="K2404">
        <v>67</v>
      </c>
      <c r="L2404" t="s">
        <v>82</v>
      </c>
      <c r="M2404">
        <v>49</v>
      </c>
      <c r="N2404">
        <v>1</v>
      </c>
      <c r="O2404">
        <v>6683.31</v>
      </c>
      <c r="P2404" s="1">
        <v>45600.340868055559</v>
      </c>
      <c r="Q2404">
        <v>17</v>
      </c>
      <c r="R2404" t="s">
        <v>74</v>
      </c>
      <c r="S2404">
        <v>-0.78474644925003201</v>
      </c>
      <c r="T2404" t="b">
        <v>0</v>
      </c>
      <c r="U2404" t="b">
        <v>0</v>
      </c>
      <c r="V2404" t="b">
        <f t="shared" si="74"/>
        <v>1</v>
      </c>
      <c r="W2404">
        <v>0</v>
      </c>
      <c r="Y2404">
        <f t="shared" si="75"/>
        <v>0</v>
      </c>
    </row>
    <row r="2405" spans="1:25" x14ac:dyDescent="0.3">
      <c r="A2405" t="s">
        <v>4348</v>
      </c>
      <c r="B2405" t="s">
        <v>725</v>
      </c>
      <c r="C2405">
        <v>1493</v>
      </c>
      <c r="D2405" s="1">
        <v>45084.712280092594</v>
      </c>
      <c r="E2405" t="s">
        <v>25</v>
      </c>
      <c r="F2405" t="s">
        <v>534</v>
      </c>
      <c r="G2405" t="s">
        <v>2579</v>
      </c>
      <c r="H2405" t="s">
        <v>2654</v>
      </c>
      <c r="I2405" t="s">
        <v>1300</v>
      </c>
      <c r="J2405" t="s">
        <v>30</v>
      </c>
      <c r="K2405">
        <v>69</v>
      </c>
      <c r="L2405" t="s">
        <v>82</v>
      </c>
      <c r="M2405">
        <v>151</v>
      </c>
      <c r="N2405">
        <v>1</v>
      </c>
      <c r="O2405">
        <v>1619.16</v>
      </c>
      <c r="P2405" s="1">
        <v>45600.338275462964</v>
      </c>
      <c r="Q2405">
        <v>17</v>
      </c>
      <c r="R2405" t="s">
        <v>74</v>
      </c>
      <c r="S2405">
        <v>4.09461073478478</v>
      </c>
      <c r="T2405" t="b">
        <v>1</v>
      </c>
      <c r="U2405" t="b">
        <v>0</v>
      </c>
      <c r="V2405" t="b">
        <f t="shared" si="74"/>
        <v>1</v>
      </c>
      <c r="W2405">
        <v>1</v>
      </c>
      <c r="Y2405">
        <f t="shared" si="75"/>
        <v>1</v>
      </c>
    </row>
    <row r="2406" spans="1:25" x14ac:dyDescent="0.3">
      <c r="A2406" t="s">
        <v>4349</v>
      </c>
      <c r="B2406" t="s">
        <v>97</v>
      </c>
      <c r="C2406">
        <v>470.62</v>
      </c>
      <c r="D2406" s="1">
        <v>44984.744942129626</v>
      </c>
      <c r="E2406" t="s">
        <v>25</v>
      </c>
      <c r="F2406" t="s">
        <v>268</v>
      </c>
      <c r="G2406" t="s">
        <v>324</v>
      </c>
      <c r="H2406" t="s">
        <v>1443</v>
      </c>
      <c r="I2406" t="s">
        <v>53</v>
      </c>
      <c r="J2406" t="s">
        <v>81</v>
      </c>
      <c r="K2406">
        <v>57</v>
      </c>
      <c r="L2406" t="s">
        <v>31</v>
      </c>
      <c r="M2406">
        <v>127</v>
      </c>
      <c r="N2406">
        <v>1</v>
      </c>
      <c r="O2406">
        <v>12470.62</v>
      </c>
      <c r="P2406" s="1">
        <v>45600.33798611111</v>
      </c>
      <c r="Q2406">
        <v>17</v>
      </c>
      <c r="R2406" t="s">
        <v>47</v>
      </c>
      <c r="S2406">
        <v>0.592664663635043</v>
      </c>
      <c r="T2406" t="b">
        <v>0</v>
      </c>
      <c r="U2406" t="b">
        <v>0</v>
      </c>
      <c r="V2406" t="b">
        <f t="shared" si="74"/>
        <v>1</v>
      </c>
      <c r="W2406">
        <v>0</v>
      </c>
      <c r="Y2406">
        <f t="shared" si="75"/>
        <v>0</v>
      </c>
    </row>
    <row r="2407" spans="1:25" x14ac:dyDescent="0.3">
      <c r="A2407" t="s">
        <v>4350</v>
      </c>
      <c r="B2407" t="s">
        <v>1695</v>
      </c>
      <c r="C2407">
        <v>385.35</v>
      </c>
      <c r="D2407" s="1">
        <v>45202.718622685185</v>
      </c>
      <c r="E2407" t="s">
        <v>25</v>
      </c>
      <c r="F2407" t="s">
        <v>185</v>
      </c>
      <c r="G2407" t="s">
        <v>3107</v>
      </c>
      <c r="H2407" t="s">
        <v>315</v>
      </c>
      <c r="I2407" t="s">
        <v>427</v>
      </c>
      <c r="J2407" t="s">
        <v>81</v>
      </c>
      <c r="K2407">
        <v>38</v>
      </c>
      <c r="L2407" t="s">
        <v>31</v>
      </c>
      <c r="M2407">
        <v>269</v>
      </c>
      <c r="N2407">
        <v>1</v>
      </c>
      <c r="O2407">
        <v>5184.13</v>
      </c>
      <c r="P2407" s="1">
        <v>45600.341805555552</v>
      </c>
      <c r="Q2407">
        <v>17</v>
      </c>
      <c r="R2407" t="s">
        <v>32</v>
      </c>
      <c r="S2407">
        <v>0.30059034539041901</v>
      </c>
      <c r="T2407" t="b">
        <v>0</v>
      </c>
      <c r="U2407" t="b">
        <v>0</v>
      </c>
      <c r="V2407" t="b">
        <f t="shared" si="74"/>
        <v>1</v>
      </c>
      <c r="W2407">
        <v>0</v>
      </c>
      <c r="Y2407">
        <f t="shared" si="75"/>
        <v>0</v>
      </c>
    </row>
    <row r="2408" spans="1:25" x14ac:dyDescent="0.3">
      <c r="A2408" t="s">
        <v>4351</v>
      </c>
      <c r="B2408" t="s">
        <v>624</v>
      </c>
      <c r="C2408">
        <v>74.72</v>
      </c>
      <c r="D2408" s="1">
        <v>45132.790497685186</v>
      </c>
      <c r="E2408" t="s">
        <v>25</v>
      </c>
      <c r="F2408" t="s">
        <v>438</v>
      </c>
      <c r="G2408" t="s">
        <v>815</v>
      </c>
      <c r="H2408" t="s">
        <v>628</v>
      </c>
      <c r="I2408" t="s">
        <v>1013</v>
      </c>
      <c r="J2408" t="s">
        <v>45</v>
      </c>
      <c r="K2408">
        <v>26</v>
      </c>
      <c r="L2408" t="s">
        <v>46</v>
      </c>
      <c r="M2408">
        <v>132</v>
      </c>
      <c r="N2408">
        <v>1</v>
      </c>
      <c r="O2408">
        <v>165.75</v>
      </c>
      <c r="P2408" s="1">
        <v>45600.340497685182</v>
      </c>
      <c r="Q2408">
        <v>18</v>
      </c>
      <c r="R2408" t="s">
        <v>32</v>
      </c>
      <c r="S2408">
        <v>-0.76340690424400504</v>
      </c>
      <c r="T2408" t="b">
        <v>0</v>
      </c>
      <c r="U2408" t="b">
        <v>0</v>
      </c>
      <c r="V2408" t="b">
        <f t="shared" si="74"/>
        <v>1</v>
      </c>
      <c r="W2408">
        <v>0</v>
      </c>
      <c r="Y2408">
        <f t="shared" si="75"/>
        <v>0</v>
      </c>
    </row>
    <row r="2409" spans="1:25" x14ac:dyDescent="0.3">
      <c r="A2409" t="s">
        <v>4352</v>
      </c>
      <c r="B2409" t="s">
        <v>1073</v>
      </c>
      <c r="C2409">
        <v>352.03</v>
      </c>
      <c r="D2409" s="1">
        <v>45085.700925925928</v>
      </c>
      <c r="E2409" t="s">
        <v>57</v>
      </c>
      <c r="F2409" t="s">
        <v>438</v>
      </c>
      <c r="G2409" t="s">
        <v>1506</v>
      </c>
      <c r="H2409" t="s">
        <v>1900</v>
      </c>
      <c r="I2409" t="s">
        <v>366</v>
      </c>
      <c r="J2409" t="s">
        <v>45</v>
      </c>
      <c r="K2409">
        <v>27</v>
      </c>
      <c r="L2409" t="s">
        <v>46</v>
      </c>
      <c r="M2409">
        <v>219</v>
      </c>
      <c r="N2409">
        <v>1</v>
      </c>
      <c r="O2409">
        <v>4846.68</v>
      </c>
      <c r="P2409" s="1">
        <v>45600.341134259259</v>
      </c>
      <c r="Q2409">
        <v>16</v>
      </c>
      <c r="R2409" t="s">
        <v>141</v>
      </c>
      <c r="S2409">
        <v>0.186459745133461</v>
      </c>
      <c r="T2409" t="b">
        <v>0</v>
      </c>
      <c r="U2409" t="b">
        <v>0</v>
      </c>
      <c r="V2409" t="b">
        <f t="shared" si="74"/>
        <v>1</v>
      </c>
      <c r="W2409">
        <v>0</v>
      </c>
      <c r="Y2409">
        <f t="shared" si="75"/>
        <v>0</v>
      </c>
    </row>
    <row r="2410" spans="1:25" x14ac:dyDescent="0.3">
      <c r="A2410" t="s">
        <v>4353</v>
      </c>
      <c r="B2410" t="s">
        <v>814</v>
      </c>
      <c r="C2410">
        <v>275.87</v>
      </c>
      <c r="D2410" s="1">
        <v>45166.769432870373</v>
      </c>
      <c r="E2410" t="s">
        <v>25</v>
      </c>
      <c r="F2410" t="s">
        <v>70</v>
      </c>
      <c r="G2410" t="s">
        <v>3467</v>
      </c>
      <c r="H2410" t="s">
        <v>731</v>
      </c>
      <c r="I2410" t="s">
        <v>1300</v>
      </c>
      <c r="J2410" t="s">
        <v>30</v>
      </c>
      <c r="K2410">
        <v>25</v>
      </c>
      <c r="L2410" t="s">
        <v>46</v>
      </c>
      <c r="M2410">
        <v>112</v>
      </c>
      <c r="N2410">
        <v>1</v>
      </c>
      <c r="O2410">
        <v>1697.58</v>
      </c>
      <c r="P2410" s="1">
        <v>45600.33829861111</v>
      </c>
      <c r="Q2410">
        <v>18</v>
      </c>
      <c r="R2410" t="s">
        <v>47</v>
      </c>
      <c r="S2410">
        <v>-7.4410198311015502E-2</v>
      </c>
      <c r="T2410" t="b">
        <v>0</v>
      </c>
      <c r="U2410" t="b">
        <v>0</v>
      </c>
      <c r="V2410" t="b">
        <f t="shared" si="74"/>
        <v>1</v>
      </c>
      <c r="W2410">
        <v>0</v>
      </c>
      <c r="Y2410">
        <f t="shared" si="75"/>
        <v>0</v>
      </c>
    </row>
    <row r="2411" spans="1:25" x14ac:dyDescent="0.3">
      <c r="A2411" t="s">
        <v>4354</v>
      </c>
      <c r="B2411" t="s">
        <v>228</v>
      </c>
      <c r="C2411">
        <v>90.94</v>
      </c>
      <c r="D2411" s="1">
        <v>45254.746655092589</v>
      </c>
      <c r="E2411" t="s">
        <v>57</v>
      </c>
      <c r="F2411" t="s">
        <v>534</v>
      </c>
      <c r="G2411" t="s">
        <v>3493</v>
      </c>
      <c r="H2411" t="s">
        <v>1255</v>
      </c>
      <c r="I2411" t="s">
        <v>833</v>
      </c>
      <c r="J2411" t="s">
        <v>30</v>
      </c>
      <c r="K2411">
        <v>63</v>
      </c>
      <c r="L2411" t="s">
        <v>82</v>
      </c>
      <c r="M2411">
        <v>56</v>
      </c>
      <c r="N2411">
        <v>1</v>
      </c>
      <c r="O2411">
        <v>3896.08</v>
      </c>
      <c r="P2411" s="1">
        <v>45600.341909722221</v>
      </c>
      <c r="Q2411">
        <v>17</v>
      </c>
      <c r="R2411" t="s">
        <v>54</v>
      </c>
      <c r="S2411">
        <v>-0.70784873088962696</v>
      </c>
      <c r="T2411" t="b">
        <v>0</v>
      </c>
      <c r="U2411" t="b">
        <v>0</v>
      </c>
      <c r="V2411" t="b">
        <f t="shared" si="74"/>
        <v>1</v>
      </c>
      <c r="W2411">
        <v>0</v>
      </c>
      <c r="Y2411">
        <f t="shared" si="75"/>
        <v>0</v>
      </c>
    </row>
    <row r="2412" spans="1:25" x14ac:dyDescent="0.3">
      <c r="A2412" t="s">
        <v>4355</v>
      </c>
      <c r="B2412" t="s">
        <v>2324</v>
      </c>
      <c r="C2412">
        <v>206.25</v>
      </c>
      <c r="D2412" s="1">
        <v>45202.682511574072</v>
      </c>
      <c r="E2412" t="s">
        <v>25</v>
      </c>
      <c r="F2412" t="s">
        <v>210</v>
      </c>
      <c r="G2412" t="s">
        <v>1343</v>
      </c>
      <c r="H2412" t="s">
        <v>1881</v>
      </c>
      <c r="I2412" t="s">
        <v>239</v>
      </c>
      <c r="J2412" t="s">
        <v>30</v>
      </c>
      <c r="K2412">
        <v>74</v>
      </c>
      <c r="L2412" t="s">
        <v>82</v>
      </c>
      <c r="M2412">
        <v>56</v>
      </c>
      <c r="N2412">
        <v>1</v>
      </c>
      <c r="O2412">
        <v>3651.07</v>
      </c>
      <c r="P2412" s="1">
        <v>45600.338877314818</v>
      </c>
      <c r="Q2412">
        <v>16</v>
      </c>
      <c r="R2412" t="s">
        <v>32</v>
      </c>
      <c r="S2412">
        <v>-0.31287875743134702</v>
      </c>
      <c r="T2412" t="b">
        <v>0</v>
      </c>
      <c r="U2412" t="b">
        <v>0</v>
      </c>
      <c r="V2412" t="b">
        <f t="shared" si="74"/>
        <v>1</v>
      </c>
      <c r="W2412">
        <v>0</v>
      </c>
      <c r="Y2412">
        <f t="shared" si="75"/>
        <v>0</v>
      </c>
    </row>
    <row r="2413" spans="1:25" x14ac:dyDescent="0.3">
      <c r="A2413" t="s">
        <v>4356</v>
      </c>
      <c r="B2413" t="s">
        <v>1127</v>
      </c>
      <c r="C2413">
        <v>116.76</v>
      </c>
      <c r="D2413" s="1">
        <v>44942.705011574071</v>
      </c>
      <c r="E2413" t="s">
        <v>25</v>
      </c>
      <c r="F2413" t="s">
        <v>256</v>
      </c>
      <c r="G2413" t="s">
        <v>2446</v>
      </c>
      <c r="H2413" t="s">
        <v>418</v>
      </c>
      <c r="I2413" t="s">
        <v>665</v>
      </c>
      <c r="J2413" t="s">
        <v>30</v>
      </c>
      <c r="K2413">
        <v>51</v>
      </c>
      <c r="L2413" t="s">
        <v>89</v>
      </c>
      <c r="M2413">
        <v>212</v>
      </c>
      <c r="N2413">
        <v>1</v>
      </c>
      <c r="O2413">
        <v>4480.43</v>
      </c>
      <c r="P2413" s="1">
        <v>45600.33829861111</v>
      </c>
      <c r="Q2413">
        <v>16</v>
      </c>
      <c r="R2413" t="s">
        <v>47</v>
      </c>
      <c r="S2413">
        <v>-0.61940779155485304</v>
      </c>
      <c r="T2413" t="b">
        <v>0</v>
      </c>
      <c r="U2413" t="b">
        <v>0</v>
      </c>
      <c r="V2413" t="b">
        <f t="shared" si="74"/>
        <v>1</v>
      </c>
      <c r="W2413">
        <v>0</v>
      </c>
      <c r="Y2413">
        <f t="shared" si="75"/>
        <v>0</v>
      </c>
    </row>
    <row r="2414" spans="1:25" x14ac:dyDescent="0.3">
      <c r="A2414" t="s">
        <v>4357</v>
      </c>
      <c r="B2414" t="s">
        <v>3478</v>
      </c>
      <c r="C2414">
        <v>91.5</v>
      </c>
      <c r="D2414" s="1">
        <v>45012.685208333336</v>
      </c>
      <c r="E2414" t="s">
        <v>25</v>
      </c>
      <c r="F2414" t="s">
        <v>309</v>
      </c>
      <c r="G2414" t="s">
        <v>1392</v>
      </c>
      <c r="H2414" t="s">
        <v>4358</v>
      </c>
      <c r="I2414" t="s">
        <v>463</v>
      </c>
      <c r="J2414" t="s">
        <v>30</v>
      </c>
      <c r="K2414">
        <v>47</v>
      </c>
      <c r="L2414" t="s">
        <v>31</v>
      </c>
      <c r="M2414">
        <v>77</v>
      </c>
      <c r="N2414">
        <v>1</v>
      </c>
      <c r="O2414">
        <v>667.66</v>
      </c>
      <c r="P2414" s="1">
        <v>45600.338842592595</v>
      </c>
      <c r="Q2414">
        <v>16</v>
      </c>
      <c r="R2414" t="s">
        <v>47</v>
      </c>
      <c r="S2414">
        <v>-0.70593056954077005</v>
      </c>
      <c r="T2414" t="b">
        <v>0</v>
      </c>
      <c r="U2414" t="b">
        <v>0</v>
      </c>
      <c r="V2414" t="b">
        <f t="shared" si="74"/>
        <v>1</v>
      </c>
      <c r="W2414">
        <v>0</v>
      </c>
      <c r="Y2414">
        <f t="shared" si="75"/>
        <v>0</v>
      </c>
    </row>
    <row r="2415" spans="1:25" x14ac:dyDescent="0.3">
      <c r="A2415" t="s">
        <v>4359</v>
      </c>
      <c r="B2415" t="s">
        <v>40</v>
      </c>
      <c r="C2415">
        <v>489.31</v>
      </c>
      <c r="D2415" s="1">
        <v>45019.690393518518</v>
      </c>
      <c r="E2415" t="s">
        <v>25</v>
      </c>
      <c r="F2415" t="s">
        <v>120</v>
      </c>
      <c r="G2415" t="s">
        <v>1579</v>
      </c>
      <c r="H2415" t="s">
        <v>1364</v>
      </c>
      <c r="I2415" t="s">
        <v>561</v>
      </c>
      <c r="J2415" t="s">
        <v>81</v>
      </c>
      <c r="K2415">
        <v>43</v>
      </c>
      <c r="L2415" t="s">
        <v>89</v>
      </c>
      <c r="M2415">
        <v>36</v>
      </c>
      <c r="N2415">
        <v>1</v>
      </c>
      <c r="O2415">
        <v>5595.22</v>
      </c>
      <c r="P2415" s="1">
        <v>45600.341921296298</v>
      </c>
      <c r="Q2415">
        <v>16</v>
      </c>
      <c r="R2415" t="s">
        <v>47</v>
      </c>
      <c r="S2415">
        <v>0.65668329865312702</v>
      </c>
      <c r="T2415" t="b">
        <v>0</v>
      </c>
      <c r="U2415" t="b">
        <v>0</v>
      </c>
      <c r="V2415" t="b">
        <f t="shared" si="74"/>
        <v>1</v>
      </c>
      <c r="W2415">
        <v>0</v>
      </c>
      <c r="Y2415">
        <f t="shared" si="75"/>
        <v>0</v>
      </c>
    </row>
    <row r="2416" spans="1:25" x14ac:dyDescent="0.3">
      <c r="A2416" t="s">
        <v>4360</v>
      </c>
      <c r="B2416" t="s">
        <v>3231</v>
      </c>
      <c r="C2416">
        <v>1664.33</v>
      </c>
      <c r="D2416" s="1">
        <v>45194.716192129628</v>
      </c>
      <c r="E2416" t="s">
        <v>25</v>
      </c>
      <c r="F2416" t="s">
        <v>250</v>
      </c>
      <c r="G2416" t="s">
        <v>1318</v>
      </c>
      <c r="H2416" t="s">
        <v>2751</v>
      </c>
      <c r="I2416" t="s">
        <v>344</v>
      </c>
      <c r="J2416" t="s">
        <v>81</v>
      </c>
      <c r="K2416">
        <v>18</v>
      </c>
      <c r="L2416" t="s">
        <v>46</v>
      </c>
      <c r="M2416">
        <v>65</v>
      </c>
      <c r="N2416">
        <v>1</v>
      </c>
      <c r="O2416">
        <v>1588.31</v>
      </c>
      <c r="P2416" s="1">
        <v>45600.338275462964</v>
      </c>
      <c r="Q2416">
        <v>17</v>
      </c>
      <c r="R2416" t="s">
        <v>47</v>
      </c>
      <c r="S2416">
        <v>4.6814653488911597</v>
      </c>
      <c r="T2416" t="b">
        <v>1</v>
      </c>
      <c r="U2416" t="b">
        <v>0</v>
      </c>
      <c r="V2416" t="b">
        <f t="shared" si="74"/>
        <v>1</v>
      </c>
      <c r="W2416">
        <v>1</v>
      </c>
      <c r="Y2416">
        <f t="shared" si="75"/>
        <v>1</v>
      </c>
    </row>
    <row r="2417" spans="1:25" x14ac:dyDescent="0.3">
      <c r="A2417" t="s">
        <v>4361</v>
      </c>
      <c r="B2417" t="s">
        <v>103</v>
      </c>
      <c r="C2417">
        <v>414.49</v>
      </c>
      <c r="D2417" s="1">
        <v>44970.669131944444</v>
      </c>
      <c r="E2417" t="s">
        <v>57</v>
      </c>
      <c r="F2417" t="s">
        <v>438</v>
      </c>
      <c r="G2417" t="s">
        <v>337</v>
      </c>
      <c r="H2417" t="s">
        <v>1232</v>
      </c>
      <c r="I2417" t="s">
        <v>280</v>
      </c>
      <c r="J2417" t="s">
        <v>45</v>
      </c>
      <c r="K2417">
        <v>58</v>
      </c>
      <c r="L2417" t="s">
        <v>31</v>
      </c>
      <c r="M2417">
        <v>108</v>
      </c>
      <c r="N2417">
        <v>1</v>
      </c>
      <c r="O2417">
        <v>12709.58</v>
      </c>
      <c r="P2417" s="1">
        <v>45600.339675925927</v>
      </c>
      <c r="Q2417">
        <v>16</v>
      </c>
      <c r="R2417" t="s">
        <v>47</v>
      </c>
      <c r="S2417">
        <v>0.40040324129341398</v>
      </c>
      <c r="T2417" t="b">
        <v>0</v>
      </c>
      <c r="U2417" t="b">
        <v>0</v>
      </c>
      <c r="V2417" t="b">
        <f t="shared" si="74"/>
        <v>1</v>
      </c>
      <c r="W2417">
        <v>0</v>
      </c>
      <c r="Y2417">
        <f t="shared" si="75"/>
        <v>0</v>
      </c>
    </row>
    <row r="2418" spans="1:25" x14ac:dyDescent="0.3">
      <c r="A2418" t="s">
        <v>4362</v>
      </c>
      <c r="B2418" t="s">
        <v>76</v>
      </c>
      <c r="C2418">
        <v>315.13</v>
      </c>
      <c r="D2418" s="1">
        <v>45265.66983796296</v>
      </c>
      <c r="E2418" t="s">
        <v>25</v>
      </c>
      <c r="F2418" t="s">
        <v>309</v>
      </c>
      <c r="G2418" t="s">
        <v>4070</v>
      </c>
      <c r="H2418" t="s">
        <v>2332</v>
      </c>
      <c r="I2418" t="s">
        <v>427</v>
      </c>
      <c r="J2418" t="s">
        <v>81</v>
      </c>
      <c r="K2418">
        <v>30</v>
      </c>
      <c r="L2418" t="s">
        <v>89</v>
      </c>
      <c r="M2418">
        <v>143</v>
      </c>
      <c r="N2418">
        <v>1</v>
      </c>
      <c r="O2418">
        <v>6570.94</v>
      </c>
      <c r="P2418" s="1">
        <v>45600.338437500002</v>
      </c>
      <c r="Q2418">
        <v>16</v>
      </c>
      <c r="R2418" t="s">
        <v>32</v>
      </c>
      <c r="S2418">
        <v>6.0066613396313098E-2</v>
      </c>
      <c r="T2418" t="b">
        <v>0</v>
      </c>
      <c r="U2418" t="b">
        <v>0</v>
      </c>
      <c r="V2418" t="b">
        <f t="shared" si="74"/>
        <v>1</v>
      </c>
      <c r="W2418">
        <v>0</v>
      </c>
      <c r="Y2418">
        <f t="shared" si="75"/>
        <v>0</v>
      </c>
    </row>
    <row r="2419" spans="1:25" x14ac:dyDescent="0.3">
      <c r="A2419" t="s">
        <v>4363</v>
      </c>
      <c r="B2419" t="s">
        <v>2185</v>
      </c>
      <c r="C2419">
        <v>28.38</v>
      </c>
      <c r="D2419" s="1">
        <v>45202.693958333337</v>
      </c>
      <c r="E2419" t="s">
        <v>25</v>
      </c>
      <c r="F2419" t="s">
        <v>268</v>
      </c>
      <c r="G2419" t="s">
        <v>2700</v>
      </c>
      <c r="H2419" t="s">
        <v>1509</v>
      </c>
      <c r="I2419" t="s">
        <v>577</v>
      </c>
      <c r="J2419" t="s">
        <v>81</v>
      </c>
      <c r="K2419">
        <v>45</v>
      </c>
      <c r="L2419" t="s">
        <v>31</v>
      </c>
      <c r="M2419">
        <v>260</v>
      </c>
      <c r="N2419">
        <v>1</v>
      </c>
      <c r="O2419">
        <v>8892.6200000000008</v>
      </c>
      <c r="P2419" s="1">
        <v>45600.340185185189</v>
      </c>
      <c r="Q2419">
        <v>16</v>
      </c>
      <c r="R2419" t="s">
        <v>32</v>
      </c>
      <c r="S2419">
        <v>-0.92213475586187499</v>
      </c>
      <c r="T2419" t="b">
        <v>0</v>
      </c>
      <c r="U2419" t="b">
        <v>0</v>
      </c>
      <c r="V2419" t="b">
        <f t="shared" si="74"/>
        <v>1</v>
      </c>
      <c r="W2419">
        <v>0</v>
      </c>
      <c r="Y2419">
        <f t="shared" si="75"/>
        <v>0</v>
      </c>
    </row>
    <row r="2420" spans="1:25" x14ac:dyDescent="0.3">
      <c r="A2420" t="s">
        <v>4364</v>
      </c>
      <c r="B2420" t="s">
        <v>1206</v>
      </c>
      <c r="C2420">
        <v>456.05</v>
      </c>
      <c r="D2420" s="1">
        <v>45002.710451388892</v>
      </c>
      <c r="E2420" t="s">
        <v>25</v>
      </c>
      <c r="F2420" t="s">
        <v>85</v>
      </c>
      <c r="G2420" t="s">
        <v>1502</v>
      </c>
      <c r="H2420" t="s">
        <v>1553</v>
      </c>
      <c r="I2420" t="s">
        <v>101</v>
      </c>
      <c r="J2420" t="s">
        <v>81</v>
      </c>
      <c r="K2420">
        <v>68</v>
      </c>
      <c r="L2420" t="s">
        <v>31</v>
      </c>
      <c r="M2420">
        <v>20</v>
      </c>
      <c r="N2420">
        <v>1</v>
      </c>
      <c r="O2420">
        <v>11729.51</v>
      </c>
      <c r="P2420" s="1">
        <v>45600.34070601852</v>
      </c>
      <c r="Q2420">
        <v>17</v>
      </c>
      <c r="R2420" t="s">
        <v>54</v>
      </c>
      <c r="S2420">
        <v>0.54275821568354599</v>
      </c>
      <c r="T2420" t="b">
        <v>0</v>
      </c>
      <c r="U2420" t="b">
        <v>0</v>
      </c>
      <c r="V2420" t="b">
        <f t="shared" si="74"/>
        <v>1</v>
      </c>
      <c r="W2420">
        <v>0</v>
      </c>
      <c r="Y2420">
        <f t="shared" si="75"/>
        <v>0</v>
      </c>
    </row>
    <row r="2421" spans="1:25" x14ac:dyDescent="0.3">
      <c r="A2421" t="s">
        <v>4365</v>
      </c>
      <c r="B2421" t="s">
        <v>742</v>
      </c>
      <c r="C2421">
        <v>277.22000000000003</v>
      </c>
      <c r="D2421" s="1">
        <v>45155.715567129628</v>
      </c>
      <c r="E2421" t="s">
        <v>25</v>
      </c>
      <c r="F2421" t="s">
        <v>304</v>
      </c>
      <c r="G2421" t="s">
        <v>890</v>
      </c>
      <c r="H2421" t="s">
        <v>2572</v>
      </c>
      <c r="I2421" t="s">
        <v>88</v>
      </c>
      <c r="J2421" t="s">
        <v>81</v>
      </c>
      <c r="K2421">
        <v>35</v>
      </c>
      <c r="L2421" t="s">
        <v>31</v>
      </c>
      <c r="M2421">
        <v>41</v>
      </c>
      <c r="N2421">
        <v>1</v>
      </c>
      <c r="O2421">
        <v>12104.51</v>
      </c>
      <c r="P2421" s="1">
        <v>45600.338506944441</v>
      </c>
      <c r="Q2421">
        <v>17</v>
      </c>
      <c r="R2421" t="s">
        <v>141</v>
      </c>
      <c r="S2421">
        <v>-6.9786059345022203E-2</v>
      </c>
      <c r="T2421" t="b">
        <v>0</v>
      </c>
      <c r="U2421" t="b">
        <v>0</v>
      </c>
      <c r="V2421" t="b">
        <f t="shared" si="74"/>
        <v>1</v>
      </c>
      <c r="W2421">
        <v>0</v>
      </c>
      <c r="Y2421">
        <f t="shared" si="75"/>
        <v>0</v>
      </c>
    </row>
    <row r="2422" spans="1:25" x14ac:dyDescent="0.3">
      <c r="A2422" t="s">
        <v>4366</v>
      </c>
      <c r="B2422" t="s">
        <v>1010</v>
      </c>
      <c r="C2422">
        <v>54.84</v>
      </c>
      <c r="D2422" s="1">
        <v>45054.700358796297</v>
      </c>
      <c r="E2422" t="s">
        <v>25</v>
      </c>
      <c r="F2422" t="s">
        <v>304</v>
      </c>
      <c r="G2422" t="s">
        <v>1539</v>
      </c>
      <c r="H2422" t="s">
        <v>343</v>
      </c>
      <c r="I2422" t="s">
        <v>53</v>
      </c>
      <c r="J2422" t="s">
        <v>45</v>
      </c>
      <c r="K2422">
        <v>52</v>
      </c>
      <c r="L2422" t="s">
        <v>82</v>
      </c>
      <c r="M2422">
        <v>124</v>
      </c>
      <c r="N2422">
        <v>1</v>
      </c>
      <c r="O2422">
        <v>3495.51</v>
      </c>
      <c r="P2422" s="1">
        <v>45600.341481481482</v>
      </c>
      <c r="Q2422">
        <v>16</v>
      </c>
      <c r="R2422" t="s">
        <v>47</v>
      </c>
      <c r="S2422">
        <v>-0.831501632128408</v>
      </c>
      <c r="T2422" t="b">
        <v>0</v>
      </c>
      <c r="U2422" t="b">
        <v>0</v>
      </c>
      <c r="V2422" t="b">
        <f t="shared" si="74"/>
        <v>1</v>
      </c>
      <c r="W2422">
        <v>0</v>
      </c>
      <c r="Y2422">
        <f t="shared" si="75"/>
        <v>0</v>
      </c>
    </row>
    <row r="2423" spans="1:25" x14ac:dyDescent="0.3">
      <c r="A2423" t="s">
        <v>4367</v>
      </c>
      <c r="B2423" t="s">
        <v>1773</v>
      </c>
      <c r="C2423">
        <v>29.92</v>
      </c>
      <c r="D2423" s="1">
        <v>45292.684178240743</v>
      </c>
      <c r="E2423" t="s">
        <v>57</v>
      </c>
      <c r="F2423" t="s">
        <v>126</v>
      </c>
      <c r="G2423" t="s">
        <v>1471</v>
      </c>
      <c r="H2423" t="s">
        <v>2391</v>
      </c>
      <c r="I2423" t="s">
        <v>765</v>
      </c>
      <c r="J2423" t="s">
        <v>45</v>
      </c>
      <c r="K2423">
        <v>68</v>
      </c>
      <c r="L2423" t="s">
        <v>31</v>
      </c>
      <c r="M2423">
        <v>63</v>
      </c>
      <c r="N2423">
        <v>1</v>
      </c>
      <c r="O2423">
        <v>7855.01</v>
      </c>
      <c r="P2423" s="1">
        <v>45600.340451388889</v>
      </c>
      <c r="Q2423">
        <v>16</v>
      </c>
      <c r="R2423" t="s">
        <v>47</v>
      </c>
      <c r="S2423">
        <v>-0.91685981215251999</v>
      </c>
      <c r="T2423" t="b">
        <v>0</v>
      </c>
      <c r="U2423" t="b">
        <v>0</v>
      </c>
      <c r="V2423" t="b">
        <f t="shared" si="74"/>
        <v>1</v>
      </c>
      <c r="W2423">
        <v>0</v>
      </c>
      <c r="Y2423">
        <f t="shared" si="75"/>
        <v>0</v>
      </c>
    </row>
    <row r="2424" spans="1:25" x14ac:dyDescent="0.3">
      <c r="A2424" t="s">
        <v>4368</v>
      </c>
      <c r="B2424" t="s">
        <v>1192</v>
      </c>
      <c r="C2424">
        <v>133.06</v>
      </c>
      <c r="D2424" s="1">
        <v>44960.708784722221</v>
      </c>
      <c r="E2424" t="s">
        <v>25</v>
      </c>
      <c r="F2424" t="s">
        <v>159</v>
      </c>
      <c r="G2424" t="s">
        <v>448</v>
      </c>
      <c r="H2424" t="s">
        <v>2267</v>
      </c>
      <c r="I2424" t="s">
        <v>844</v>
      </c>
      <c r="J2424" t="s">
        <v>45</v>
      </c>
      <c r="K2424">
        <v>35</v>
      </c>
      <c r="L2424" t="s">
        <v>89</v>
      </c>
      <c r="M2424">
        <v>143</v>
      </c>
      <c r="N2424">
        <v>1</v>
      </c>
      <c r="O2424">
        <v>8843.44</v>
      </c>
      <c r="P2424" s="1">
        <v>45600.340196759258</v>
      </c>
      <c r="Q2424">
        <v>17</v>
      </c>
      <c r="R2424" t="s">
        <v>54</v>
      </c>
      <c r="S2424">
        <v>-0.56357559515063804</v>
      </c>
      <c r="T2424" t="b">
        <v>0</v>
      </c>
      <c r="U2424" t="b">
        <v>0</v>
      </c>
      <c r="V2424" t="b">
        <f t="shared" si="74"/>
        <v>1</v>
      </c>
      <c r="W2424">
        <v>0</v>
      </c>
      <c r="Y2424">
        <f t="shared" si="75"/>
        <v>0</v>
      </c>
    </row>
    <row r="2425" spans="1:25" x14ac:dyDescent="0.3">
      <c r="A2425" t="s">
        <v>4369</v>
      </c>
      <c r="B2425" t="s">
        <v>613</v>
      </c>
      <c r="C2425">
        <v>332.06</v>
      </c>
      <c r="D2425" s="1">
        <v>45098.693680555552</v>
      </c>
      <c r="E2425" t="s">
        <v>25</v>
      </c>
      <c r="F2425" t="s">
        <v>70</v>
      </c>
      <c r="G2425" t="s">
        <v>2679</v>
      </c>
      <c r="H2425" t="s">
        <v>423</v>
      </c>
      <c r="I2425" t="s">
        <v>585</v>
      </c>
      <c r="J2425" t="s">
        <v>30</v>
      </c>
      <c r="K2425">
        <v>29</v>
      </c>
      <c r="L2425" t="s">
        <v>31</v>
      </c>
      <c r="M2425">
        <v>221</v>
      </c>
      <c r="N2425">
        <v>4</v>
      </c>
      <c r="O2425">
        <v>11826.52</v>
      </c>
      <c r="P2425" s="1">
        <v>45600.337766203702</v>
      </c>
      <c r="Q2425">
        <v>16</v>
      </c>
      <c r="R2425" t="s">
        <v>74</v>
      </c>
      <c r="S2425">
        <v>0.118056741317991</v>
      </c>
      <c r="T2425" t="b">
        <v>0</v>
      </c>
      <c r="U2425" t="b">
        <v>1</v>
      </c>
      <c r="V2425" t="b">
        <f t="shared" si="74"/>
        <v>1</v>
      </c>
      <c r="W2425">
        <v>1</v>
      </c>
      <c r="Y2425">
        <f t="shared" si="75"/>
        <v>0</v>
      </c>
    </row>
    <row r="2426" spans="1:25" x14ac:dyDescent="0.3">
      <c r="A2426" t="s">
        <v>4370</v>
      </c>
      <c r="B2426" t="s">
        <v>1438</v>
      </c>
      <c r="C2426">
        <v>14.34</v>
      </c>
      <c r="D2426" s="1">
        <v>45216.743969907409</v>
      </c>
      <c r="E2426" t="s">
        <v>57</v>
      </c>
      <c r="F2426" t="s">
        <v>104</v>
      </c>
      <c r="G2426" t="s">
        <v>1631</v>
      </c>
      <c r="H2426" t="s">
        <v>966</v>
      </c>
      <c r="I2426" t="s">
        <v>445</v>
      </c>
      <c r="J2426" t="s">
        <v>45</v>
      </c>
      <c r="K2426">
        <v>67</v>
      </c>
      <c r="L2426" t="s">
        <v>82</v>
      </c>
      <c r="M2426">
        <v>24</v>
      </c>
      <c r="N2426">
        <v>1</v>
      </c>
      <c r="O2426">
        <v>7932.51</v>
      </c>
      <c r="P2426" s="1">
        <v>45600.338263888887</v>
      </c>
      <c r="Q2426">
        <v>17</v>
      </c>
      <c r="R2426" t="s">
        <v>32</v>
      </c>
      <c r="S2426">
        <v>-0.970225801108205</v>
      </c>
      <c r="T2426" t="b">
        <v>0</v>
      </c>
      <c r="U2426" t="b">
        <v>0</v>
      </c>
      <c r="V2426" t="b">
        <f t="shared" si="74"/>
        <v>1</v>
      </c>
      <c r="W2426">
        <v>0</v>
      </c>
      <c r="Y2426">
        <f t="shared" si="75"/>
        <v>0</v>
      </c>
    </row>
    <row r="2427" spans="1:25" x14ac:dyDescent="0.3">
      <c r="A2427" t="s">
        <v>4371</v>
      </c>
      <c r="B2427" t="s">
        <v>1192</v>
      </c>
      <c r="C2427">
        <v>468.32</v>
      </c>
      <c r="D2427" s="1">
        <v>45085.680891203701</v>
      </c>
      <c r="E2427" t="s">
        <v>25</v>
      </c>
      <c r="F2427" t="s">
        <v>571</v>
      </c>
      <c r="G2427" t="s">
        <v>3368</v>
      </c>
      <c r="H2427" t="s">
        <v>3154</v>
      </c>
      <c r="I2427" t="s">
        <v>325</v>
      </c>
      <c r="J2427" t="s">
        <v>45</v>
      </c>
      <c r="K2427">
        <v>69</v>
      </c>
      <c r="L2427" t="s">
        <v>82</v>
      </c>
      <c r="M2427">
        <v>152</v>
      </c>
      <c r="N2427">
        <v>1</v>
      </c>
      <c r="O2427">
        <v>4710.04</v>
      </c>
      <c r="P2427" s="1">
        <v>45600.338043981479</v>
      </c>
      <c r="Q2427">
        <v>16</v>
      </c>
      <c r="R2427" t="s">
        <v>141</v>
      </c>
      <c r="S2427">
        <v>0.58478650095223905</v>
      </c>
      <c r="T2427" t="b">
        <v>0</v>
      </c>
      <c r="U2427" t="b">
        <v>0</v>
      </c>
      <c r="V2427" t="b">
        <f t="shared" si="74"/>
        <v>1</v>
      </c>
      <c r="W2427">
        <v>0</v>
      </c>
      <c r="Y2427">
        <f t="shared" si="75"/>
        <v>0</v>
      </c>
    </row>
    <row r="2428" spans="1:25" x14ac:dyDescent="0.3">
      <c r="A2428" t="s">
        <v>4372</v>
      </c>
      <c r="B2428" t="s">
        <v>2005</v>
      </c>
      <c r="C2428">
        <v>582.16999999999996</v>
      </c>
      <c r="D2428" s="1">
        <v>45267.668599537035</v>
      </c>
      <c r="E2428" t="s">
        <v>25</v>
      </c>
      <c r="F2428" t="s">
        <v>268</v>
      </c>
      <c r="G2428" t="s">
        <v>110</v>
      </c>
      <c r="H2428" t="s">
        <v>1383</v>
      </c>
      <c r="I2428" t="s">
        <v>495</v>
      </c>
      <c r="J2428" t="s">
        <v>81</v>
      </c>
      <c r="K2428">
        <v>57</v>
      </c>
      <c r="L2428" t="s">
        <v>89</v>
      </c>
      <c r="M2428">
        <v>135</v>
      </c>
      <c r="N2428">
        <v>1</v>
      </c>
      <c r="O2428">
        <v>7310.83</v>
      </c>
      <c r="P2428" s="1">
        <v>45600.338946759257</v>
      </c>
      <c r="Q2428">
        <v>16</v>
      </c>
      <c r="R2428" t="s">
        <v>141</v>
      </c>
      <c r="S2428">
        <v>0.97475555375100098</v>
      </c>
      <c r="T2428" t="b">
        <v>0</v>
      </c>
      <c r="U2428" t="b">
        <v>0</v>
      </c>
      <c r="V2428" t="b">
        <f t="shared" si="74"/>
        <v>1</v>
      </c>
      <c r="W2428">
        <v>0</v>
      </c>
      <c r="Y2428">
        <f t="shared" si="75"/>
        <v>0</v>
      </c>
    </row>
    <row r="2429" spans="1:25" x14ac:dyDescent="0.3">
      <c r="A2429" t="s">
        <v>4373</v>
      </c>
      <c r="B2429" t="s">
        <v>327</v>
      </c>
      <c r="C2429">
        <v>245.62</v>
      </c>
      <c r="D2429" s="1">
        <v>45275.709699074076</v>
      </c>
      <c r="E2429" t="s">
        <v>25</v>
      </c>
      <c r="F2429" t="s">
        <v>250</v>
      </c>
      <c r="G2429" t="s">
        <v>1343</v>
      </c>
      <c r="H2429" t="s">
        <v>1516</v>
      </c>
      <c r="I2429" t="s">
        <v>1050</v>
      </c>
      <c r="J2429" t="s">
        <v>81</v>
      </c>
      <c r="K2429">
        <v>23</v>
      </c>
      <c r="L2429" t="s">
        <v>46</v>
      </c>
      <c r="M2429">
        <v>127</v>
      </c>
      <c r="N2429">
        <v>1</v>
      </c>
      <c r="O2429">
        <v>1879.82</v>
      </c>
      <c r="P2429" s="1">
        <v>45600.339236111111</v>
      </c>
      <c r="Q2429">
        <v>17</v>
      </c>
      <c r="R2429" t="s">
        <v>54</v>
      </c>
      <c r="S2429">
        <v>-0.17802516403049301</v>
      </c>
      <c r="T2429" t="b">
        <v>0</v>
      </c>
      <c r="U2429" t="b">
        <v>0</v>
      </c>
      <c r="V2429" t="b">
        <f t="shared" si="74"/>
        <v>1</v>
      </c>
      <c r="W2429">
        <v>0</v>
      </c>
      <c r="Y2429">
        <f t="shared" si="75"/>
        <v>0</v>
      </c>
    </row>
    <row r="2430" spans="1:25" x14ac:dyDescent="0.3">
      <c r="A2430" t="s">
        <v>4374</v>
      </c>
      <c r="B2430" t="s">
        <v>460</v>
      </c>
      <c r="C2430">
        <v>981.9</v>
      </c>
      <c r="D2430" s="1">
        <v>45258.67900462963</v>
      </c>
      <c r="E2430" t="s">
        <v>57</v>
      </c>
      <c r="F2430" t="s">
        <v>210</v>
      </c>
      <c r="G2430" t="s">
        <v>1347</v>
      </c>
      <c r="H2430" t="s">
        <v>2153</v>
      </c>
      <c r="I2430" t="s">
        <v>188</v>
      </c>
      <c r="J2430" t="s">
        <v>45</v>
      </c>
      <c r="K2430">
        <v>43</v>
      </c>
      <c r="L2430" t="s">
        <v>31</v>
      </c>
      <c r="M2430">
        <v>112</v>
      </c>
      <c r="N2430">
        <v>1</v>
      </c>
      <c r="O2430">
        <v>9018.33</v>
      </c>
      <c r="P2430" s="1">
        <v>45600.338113425925</v>
      </c>
      <c r="Q2430">
        <v>16</v>
      </c>
      <c r="R2430" t="s">
        <v>32</v>
      </c>
      <c r="S2430">
        <v>2.3439459751409699</v>
      </c>
      <c r="T2430" t="b">
        <v>1</v>
      </c>
      <c r="U2430" t="b">
        <v>0</v>
      </c>
      <c r="V2430" t="b">
        <f t="shared" si="74"/>
        <v>1</v>
      </c>
      <c r="W2430">
        <v>1</v>
      </c>
      <c r="Y2430">
        <f t="shared" si="75"/>
        <v>1</v>
      </c>
    </row>
    <row r="2431" spans="1:25" x14ac:dyDescent="0.3">
      <c r="A2431" t="s">
        <v>4375</v>
      </c>
      <c r="B2431" t="s">
        <v>425</v>
      </c>
      <c r="C2431">
        <v>83.6</v>
      </c>
      <c r="D2431" s="1">
        <v>45289.770405092589</v>
      </c>
      <c r="E2431" t="s">
        <v>25</v>
      </c>
      <c r="F2431" t="s">
        <v>236</v>
      </c>
      <c r="G2431" t="s">
        <v>646</v>
      </c>
      <c r="H2431" t="s">
        <v>604</v>
      </c>
      <c r="I2431" t="s">
        <v>290</v>
      </c>
      <c r="J2431" t="s">
        <v>30</v>
      </c>
      <c r="K2431">
        <v>47</v>
      </c>
      <c r="L2431" t="s">
        <v>31</v>
      </c>
      <c r="M2431">
        <v>192</v>
      </c>
      <c r="N2431">
        <v>1</v>
      </c>
      <c r="O2431">
        <v>13899.24</v>
      </c>
      <c r="P2431" s="1">
        <v>45600.339803240742</v>
      </c>
      <c r="Q2431">
        <v>18</v>
      </c>
      <c r="R2431" t="s">
        <v>54</v>
      </c>
      <c r="S2431">
        <v>-0.73299034571213795</v>
      </c>
      <c r="T2431" t="b">
        <v>0</v>
      </c>
      <c r="U2431" t="b">
        <v>0</v>
      </c>
      <c r="V2431" t="b">
        <f t="shared" si="74"/>
        <v>1</v>
      </c>
      <c r="W2431">
        <v>0</v>
      </c>
      <c r="Y2431">
        <f t="shared" si="75"/>
        <v>0</v>
      </c>
    </row>
    <row r="2432" spans="1:25" x14ac:dyDescent="0.3">
      <c r="A2432" t="s">
        <v>4376</v>
      </c>
      <c r="B2432" t="s">
        <v>2792</v>
      </c>
      <c r="C2432">
        <v>331.22</v>
      </c>
      <c r="D2432" s="1">
        <v>45071.685613425929</v>
      </c>
      <c r="E2432" t="s">
        <v>57</v>
      </c>
      <c r="F2432" t="s">
        <v>64</v>
      </c>
      <c r="G2432" t="s">
        <v>1563</v>
      </c>
      <c r="H2432" t="s">
        <v>584</v>
      </c>
      <c r="I2432" t="s">
        <v>88</v>
      </c>
      <c r="J2432" t="s">
        <v>81</v>
      </c>
      <c r="K2432">
        <v>61</v>
      </c>
      <c r="L2432" t="s">
        <v>31</v>
      </c>
      <c r="M2432">
        <v>161</v>
      </c>
      <c r="N2432">
        <v>1</v>
      </c>
      <c r="O2432">
        <v>12613.25</v>
      </c>
      <c r="P2432" s="1">
        <v>45600.341909722221</v>
      </c>
      <c r="Q2432">
        <v>16</v>
      </c>
      <c r="R2432" t="s">
        <v>141</v>
      </c>
      <c r="S2432">
        <v>0.115179499294706</v>
      </c>
      <c r="T2432" t="b">
        <v>0</v>
      </c>
      <c r="U2432" t="b">
        <v>0</v>
      </c>
      <c r="V2432" t="b">
        <f t="shared" si="74"/>
        <v>1</v>
      </c>
      <c r="W2432">
        <v>0</v>
      </c>
      <c r="Y2432">
        <f t="shared" si="75"/>
        <v>0</v>
      </c>
    </row>
    <row r="2433" spans="1:25" x14ac:dyDescent="0.3">
      <c r="A2433" t="s">
        <v>4377</v>
      </c>
      <c r="B2433" t="s">
        <v>465</v>
      </c>
      <c r="C2433">
        <v>57.49</v>
      </c>
      <c r="D2433" s="1">
        <v>45246.756655092591</v>
      </c>
      <c r="E2433" t="s">
        <v>57</v>
      </c>
      <c r="F2433" t="s">
        <v>85</v>
      </c>
      <c r="G2433" t="s">
        <v>1750</v>
      </c>
      <c r="H2433" t="s">
        <v>1031</v>
      </c>
      <c r="I2433" t="s">
        <v>253</v>
      </c>
      <c r="J2433" t="s">
        <v>45</v>
      </c>
      <c r="K2433">
        <v>24</v>
      </c>
      <c r="L2433" t="s">
        <v>46</v>
      </c>
      <c r="M2433">
        <v>177</v>
      </c>
      <c r="N2433">
        <v>1</v>
      </c>
      <c r="O2433">
        <v>765.15</v>
      </c>
      <c r="P2433" s="1">
        <v>45600.341365740744</v>
      </c>
      <c r="Q2433">
        <v>18</v>
      </c>
      <c r="R2433" t="s">
        <v>141</v>
      </c>
      <c r="S2433">
        <v>-0.82242461860256999</v>
      </c>
      <c r="T2433" t="b">
        <v>0</v>
      </c>
      <c r="U2433" t="b">
        <v>0</v>
      </c>
      <c r="V2433" t="b">
        <f t="shared" si="74"/>
        <v>1</v>
      </c>
      <c r="W2433">
        <v>0</v>
      </c>
      <c r="Y2433">
        <f t="shared" si="75"/>
        <v>0</v>
      </c>
    </row>
    <row r="2434" spans="1:25" x14ac:dyDescent="0.3">
      <c r="A2434" t="s">
        <v>4378</v>
      </c>
      <c r="B2434" t="s">
        <v>1213</v>
      </c>
      <c r="C2434">
        <v>85.58</v>
      </c>
      <c r="D2434" s="1">
        <v>45253.720821759256</v>
      </c>
      <c r="E2434" t="s">
        <v>25</v>
      </c>
      <c r="F2434" t="s">
        <v>170</v>
      </c>
      <c r="G2434" t="s">
        <v>2822</v>
      </c>
      <c r="H2434" t="s">
        <v>1262</v>
      </c>
      <c r="I2434" t="s">
        <v>188</v>
      </c>
      <c r="J2434" t="s">
        <v>30</v>
      </c>
      <c r="K2434">
        <v>55</v>
      </c>
      <c r="L2434" t="s">
        <v>89</v>
      </c>
      <c r="M2434">
        <v>60</v>
      </c>
      <c r="N2434">
        <v>1</v>
      </c>
      <c r="O2434">
        <v>7794.84</v>
      </c>
      <c r="P2434" s="1">
        <v>45600.338761574072</v>
      </c>
      <c r="Q2434">
        <v>17</v>
      </c>
      <c r="R2434" t="s">
        <v>141</v>
      </c>
      <c r="S2434">
        <v>-0.72620827522868103</v>
      </c>
      <c r="T2434" t="b">
        <v>0</v>
      </c>
      <c r="U2434" t="b">
        <v>0</v>
      </c>
      <c r="V2434" t="b">
        <f t="shared" si="74"/>
        <v>1</v>
      </c>
      <c r="W2434">
        <v>0</v>
      </c>
      <c r="Y2434">
        <f t="shared" si="75"/>
        <v>0</v>
      </c>
    </row>
    <row r="2435" spans="1:25" x14ac:dyDescent="0.3">
      <c r="A2435" t="s">
        <v>4379</v>
      </c>
      <c r="B2435" t="s">
        <v>1940</v>
      </c>
      <c r="C2435">
        <v>157.56</v>
      </c>
      <c r="D2435" s="1">
        <v>45027.713043981479</v>
      </c>
      <c r="E2435" t="s">
        <v>25</v>
      </c>
      <c r="F2435" t="s">
        <v>77</v>
      </c>
      <c r="G2435" t="s">
        <v>2750</v>
      </c>
      <c r="H2435" t="s">
        <v>3067</v>
      </c>
      <c r="I2435" t="s">
        <v>695</v>
      </c>
      <c r="J2435" t="s">
        <v>81</v>
      </c>
      <c r="K2435">
        <v>43</v>
      </c>
      <c r="L2435" t="s">
        <v>31</v>
      </c>
      <c r="M2435">
        <v>159</v>
      </c>
      <c r="N2435">
        <v>1</v>
      </c>
      <c r="O2435">
        <v>7541.16</v>
      </c>
      <c r="P2435" s="1">
        <v>45600.33871527778</v>
      </c>
      <c r="Q2435">
        <v>17</v>
      </c>
      <c r="R2435" t="s">
        <v>32</v>
      </c>
      <c r="S2435">
        <v>-0.47965603613816898</v>
      </c>
      <c r="T2435" t="b">
        <v>0</v>
      </c>
      <c r="U2435" t="b">
        <v>0</v>
      </c>
      <c r="V2435" t="b">
        <f t="shared" ref="V2435:V2498" si="76">ISLOGICAL(T2435)</f>
        <v>1</v>
      </c>
      <c r="W2435">
        <v>0</v>
      </c>
      <c r="Y2435">
        <f t="shared" ref="Y2435:Y2498" si="77">--T2435</f>
        <v>0</v>
      </c>
    </row>
    <row r="2436" spans="1:25" x14ac:dyDescent="0.3">
      <c r="A2436" t="s">
        <v>4380</v>
      </c>
      <c r="B2436" t="s">
        <v>1087</v>
      </c>
      <c r="C2436">
        <v>230.3</v>
      </c>
      <c r="D2436" s="1">
        <v>44981.70652777778</v>
      </c>
      <c r="E2436" t="s">
        <v>25</v>
      </c>
      <c r="F2436" t="s">
        <v>534</v>
      </c>
      <c r="G2436" t="s">
        <v>960</v>
      </c>
      <c r="H2436" t="s">
        <v>4381</v>
      </c>
      <c r="I2436" t="s">
        <v>431</v>
      </c>
      <c r="J2436" t="s">
        <v>45</v>
      </c>
      <c r="K2436">
        <v>46</v>
      </c>
      <c r="L2436" t="s">
        <v>89</v>
      </c>
      <c r="M2436">
        <v>24</v>
      </c>
      <c r="N2436">
        <v>1</v>
      </c>
      <c r="O2436">
        <v>8356.8799999999992</v>
      </c>
      <c r="P2436" s="1">
        <v>45600.339131944442</v>
      </c>
      <c r="Q2436">
        <v>16</v>
      </c>
      <c r="R2436" t="s">
        <v>54</v>
      </c>
      <c r="S2436">
        <v>-0.23050057807420801</v>
      </c>
      <c r="T2436" t="b">
        <v>0</v>
      </c>
      <c r="U2436" t="b">
        <v>0</v>
      </c>
      <c r="V2436" t="b">
        <f t="shared" si="76"/>
        <v>1</v>
      </c>
      <c r="W2436">
        <v>0</v>
      </c>
      <c r="Y2436">
        <f t="shared" si="77"/>
        <v>0</v>
      </c>
    </row>
    <row r="2437" spans="1:25" x14ac:dyDescent="0.3">
      <c r="A2437" t="s">
        <v>4382</v>
      </c>
      <c r="B2437" t="s">
        <v>1138</v>
      </c>
      <c r="C2437">
        <v>305.92</v>
      </c>
      <c r="D2437" s="1">
        <v>45266.69604166667</v>
      </c>
      <c r="E2437" t="s">
        <v>25</v>
      </c>
      <c r="F2437" t="s">
        <v>519</v>
      </c>
      <c r="G2437" t="s">
        <v>386</v>
      </c>
      <c r="H2437" t="s">
        <v>2429</v>
      </c>
      <c r="I2437" t="s">
        <v>112</v>
      </c>
      <c r="J2437" t="s">
        <v>30</v>
      </c>
      <c r="K2437">
        <v>72</v>
      </c>
      <c r="L2437" t="s">
        <v>82</v>
      </c>
      <c r="M2437">
        <v>88</v>
      </c>
      <c r="N2437">
        <v>1</v>
      </c>
      <c r="O2437">
        <v>1445.47</v>
      </c>
      <c r="P2437" s="1">
        <v>45600.339212962965</v>
      </c>
      <c r="Q2437">
        <v>16</v>
      </c>
      <c r="R2437" t="s">
        <v>74</v>
      </c>
      <c r="S2437">
        <v>2.85197097838705E-2</v>
      </c>
      <c r="T2437" t="b">
        <v>0</v>
      </c>
      <c r="U2437" t="b">
        <v>0</v>
      </c>
      <c r="V2437" t="b">
        <f t="shared" si="76"/>
        <v>1</v>
      </c>
      <c r="W2437">
        <v>0</v>
      </c>
      <c r="Y2437">
        <f t="shared" si="77"/>
        <v>0</v>
      </c>
    </row>
    <row r="2438" spans="1:25" x14ac:dyDescent="0.3">
      <c r="A2438" t="s">
        <v>4383</v>
      </c>
      <c r="B2438" t="s">
        <v>2185</v>
      </c>
      <c r="C2438">
        <v>942.7</v>
      </c>
      <c r="D2438" s="1">
        <v>45236.683854166666</v>
      </c>
      <c r="E2438" t="s">
        <v>25</v>
      </c>
      <c r="F2438" t="s">
        <v>401</v>
      </c>
      <c r="G2438" t="s">
        <v>2019</v>
      </c>
      <c r="H2438" t="s">
        <v>333</v>
      </c>
      <c r="I2438" t="s">
        <v>134</v>
      </c>
      <c r="J2438" t="s">
        <v>45</v>
      </c>
      <c r="K2438">
        <v>35</v>
      </c>
      <c r="L2438" t="s">
        <v>89</v>
      </c>
      <c r="M2438">
        <v>29</v>
      </c>
      <c r="N2438">
        <v>1</v>
      </c>
      <c r="O2438">
        <v>5141.32</v>
      </c>
      <c r="P2438" s="1">
        <v>45600.341087962966</v>
      </c>
      <c r="Q2438">
        <v>16</v>
      </c>
      <c r="R2438" t="s">
        <v>47</v>
      </c>
      <c r="S2438">
        <v>2.2096746807210201</v>
      </c>
      <c r="T2438" t="b">
        <v>1</v>
      </c>
      <c r="U2438" t="b">
        <v>0</v>
      </c>
      <c r="V2438" t="b">
        <f t="shared" si="76"/>
        <v>1</v>
      </c>
      <c r="W2438">
        <v>1</v>
      </c>
      <c r="Y2438">
        <f t="shared" si="77"/>
        <v>1</v>
      </c>
    </row>
    <row r="2439" spans="1:25" x14ac:dyDescent="0.3">
      <c r="A2439" t="s">
        <v>4384</v>
      </c>
      <c r="B2439" t="s">
        <v>784</v>
      </c>
      <c r="C2439">
        <v>116.33</v>
      </c>
      <c r="D2439" s="1">
        <v>44974.692430555559</v>
      </c>
      <c r="E2439" t="s">
        <v>25</v>
      </c>
      <c r="F2439" t="s">
        <v>571</v>
      </c>
      <c r="G2439" t="s">
        <v>1336</v>
      </c>
      <c r="H2439" t="s">
        <v>270</v>
      </c>
      <c r="I2439" t="s">
        <v>290</v>
      </c>
      <c r="J2439" t="s">
        <v>81</v>
      </c>
      <c r="K2439">
        <v>27</v>
      </c>
      <c r="L2439" t="s">
        <v>46</v>
      </c>
      <c r="M2439">
        <v>144</v>
      </c>
      <c r="N2439">
        <v>1</v>
      </c>
      <c r="O2439">
        <v>1696.15</v>
      </c>
      <c r="P2439" s="1">
        <v>45600.339375000003</v>
      </c>
      <c r="Q2439">
        <v>16</v>
      </c>
      <c r="R2439" t="s">
        <v>54</v>
      </c>
      <c r="S2439">
        <v>-0.62088066544772502</v>
      </c>
      <c r="T2439" t="b">
        <v>0</v>
      </c>
      <c r="U2439" t="b">
        <v>0</v>
      </c>
      <c r="V2439" t="b">
        <f t="shared" si="76"/>
        <v>1</v>
      </c>
      <c r="W2439">
        <v>0</v>
      </c>
      <c r="Y2439">
        <f t="shared" si="77"/>
        <v>0</v>
      </c>
    </row>
    <row r="2440" spans="1:25" x14ac:dyDescent="0.3">
      <c r="A2440" t="s">
        <v>4385</v>
      </c>
      <c r="B2440" t="s">
        <v>2110</v>
      </c>
      <c r="C2440">
        <v>537.71</v>
      </c>
      <c r="D2440" s="1">
        <v>45020.671574074076</v>
      </c>
      <c r="E2440" t="s">
        <v>57</v>
      </c>
      <c r="F2440" t="s">
        <v>41</v>
      </c>
      <c r="G2440" t="s">
        <v>413</v>
      </c>
      <c r="H2440" t="s">
        <v>1132</v>
      </c>
      <c r="I2440" t="s">
        <v>316</v>
      </c>
      <c r="J2440" t="s">
        <v>45</v>
      </c>
      <c r="K2440">
        <v>19</v>
      </c>
      <c r="L2440" t="s">
        <v>46</v>
      </c>
      <c r="M2440">
        <v>175</v>
      </c>
      <c r="N2440">
        <v>1</v>
      </c>
      <c r="O2440">
        <v>1806.08</v>
      </c>
      <c r="P2440" s="1">
        <v>45600.338449074072</v>
      </c>
      <c r="Q2440">
        <v>16</v>
      </c>
      <c r="R2440" t="s">
        <v>32</v>
      </c>
      <c r="S2440">
        <v>0.82246724380429104</v>
      </c>
      <c r="T2440" t="b">
        <v>0</v>
      </c>
      <c r="U2440" t="b">
        <v>0</v>
      </c>
      <c r="V2440" t="b">
        <f t="shared" si="76"/>
        <v>1</v>
      </c>
      <c r="W2440">
        <v>0</v>
      </c>
      <c r="Y2440">
        <f t="shared" si="77"/>
        <v>0</v>
      </c>
    </row>
    <row r="2441" spans="1:25" x14ac:dyDescent="0.3">
      <c r="A2441" t="s">
        <v>4386</v>
      </c>
      <c r="B2441" t="s">
        <v>287</v>
      </c>
      <c r="C2441">
        <v>538.16999999999996</v>
      </c>
      <c r="D2441" s="1">
        <v>45195.727280092593</v>
      </c>
      <c r="E2441" t="s">
        <v>57</v>
      </c>
      <c r="F2441" t="s">
        <v>466</v>
      </c>
      <c r="G2441" t="s">
        <v>1601</v>
      </c>
      <c r="H2441" t="s">
        <v>155</v>
      </c>
      <c r="I2441" t="s">
        <v>301</v>
      </c>
      <c r="J2441" t="s">
        <v>81</v>
      </c>
      <c r="K2441">
        <v>27</v>
      </c>
      <c r="L2441" t="s">
        <v>89</v>
      </c>
      <c r="M2441">
        <v>252</v>
      </c>
      <c r="N2441">
        <v>1</v>
      </c>
      <c r="O2441">
        <v>5908.04</v>
      </c>
      <c r="P2441" s="1">
        <v>45600.340567129628</v>
      </c>
      <c r="Q2441">
        <v>17</v>
      </c>
      <c r="R2441" t="s">
        <v>32</v>
      </c>
      <c r="S2441">
        <v>0.82404287634085105</v>
      </c>
      <c r="T2441" t="b">
        <v>0</v>
      </c>
      <c r="U2441" t="b">
        <v>0</v>
      </c>
      <c r="V2441" t="b">
        <f t="shared" si="76"/>
        <v>1</v>
      </c>
      <c r="W2441">
        <v>0</v>
      </c>
      <c r="Y2441">
        <f t="shared" si="77"/>
        <v>0</v>
      </c>
    </row>
    <row r="2442" spans="1:25" x14ac:dyDescent="0.3">
      <c r="A2442" t="s">
        <v>4387</v>
      </c>
      <c r="B2442" t="s">
        <v>1582</v>
      </c>
      <c r="C2442">
        <v>219.44</v>
      </c>
      <c r="D2442" s="1">
        <v>45127.759108796294</v>
      </c>
      <c r="E2442" t="s">
        <v>25</v>
      </c>
      <c r="F2442" t="s">
        <v>466</v>
      </c>
      <c r="G2442" t="s">
        <v>273</v>
      </c>
      <c r="H2442" t="s">
        <v>264</v>
      </c>
      <c r="I2442" t="s">
        <v>375</v>
      </c>
      <c r="J2442" t="s">
        <v>45</v>
      </c>
      <c r="K2442">
        <v>42</v>
      </c>
      <c r="L2442" t="s">
        <v>89</v>
      </c>
      <c r="M2442">
        <v>23</v>
      </c>
      <c r="N2442">
        <v>1</v>
      </c>
      <c r="O2442">
        <v>4207.2700000000004</v>
      </c>
      <c r="P2442" s="1">
        <v>45600.34002314815</v>
      </c>
      <c r="Q2442">
        <v>18</v>
      </c>
      <c r="R2442" t="s">
        <v>141</v>
      </c>
      <c r="S2442">
        <v>-0.26769920708953199</v>
      </c>
      <c r="T2442" t="b">
        <v>0</v>
      </c>
      <c r="U2442" t="b">
        <v>0</v>
      </c>
      <c r="V2442" t="b">
        <f t="shared" si="76"/>
        <v>1</v>
      </c>
      <c r="W2442">
        <v>0</v>
      </c>
      <c r="Y2442">
        <f t="shared" si="77"/>
        <v>0</v>
      </c>
    </row>
    <row r="2443" spans="1:25" x14ac:dyDescent="0.3">
      <c r="A2443" t="s">
        <v>4388</v>
      </c>
      <c r="B2443" t="s">
        <v>948</v>
      </c>
      <c r="C2443">
        <v>61.62</v>
      </c>
      <c r="D2443" s="1">
        <v>45208.667650462965</v>
      </c>
      <c r="E2443" t="s">
        <v>25</v>
      </c>
      <c r="F2443" t="s">
        <v>185</v>
      </c>
      <c r="G2443" t="s">
        <v>2033</v>
      </c>
      <c r="H2443" t="s">
        <v>145</v>
      </c>
      <c r="I2443" t="s">
        <v>399</v>
      </c>
      <c r="J2443" t="s">
        <v>45</v>
      </c>
      <c r="K2443">
        <v>57</v>
      </c>
      <c r="L2443" t="s">
        <v>31</v>
      </c>
      <c r="M2443">
        <v>19</v>
      </c>
      <c r="N2443">
        <v>1</v>
      </c>
      <c r="O2443">
        <v>8365.3700000000008</v>
      </c>
      <c r="P2443" s="1">
        <v>45600.341689814813</v>
      </c>
      <c r="Q2443">
        <v>16</v>
      </c>
      <c r="R2443" t="s">
        <v>47</v>
      </c>
      <c r="S2443">
        <v>-0.80827817865475404</v>
      </c>
      <c r="T2443" t="b">
        <v>0</v>
      </c>
      <c r="U2443" t="b">
        <v>0</v>
      </c>
      <c r="V2443" t="b">
        <f t="shared" si="76"/>
        <v>1</v>
      </c>
      <c r="W2443">
        <v>0</v>
      </c>
      <c r="Y2443">
        <f t="shared" si="77"/>
        <v>0</v>
      </c>
    </row>
    <row r="2444" spans="1:25" x14ac:dyDescent="0.3">
      <c r="A2444" t="s">
        <v>4389</v>
      </c>
      <c r="B2444" t="s">
        <v>2991</v>
      </c>
      <c r="C2444">
        <v>58.77</v>
      </c>
      <c r="D2444" s="1">
        <v>45120.691400462965</v>
      </c>
      <c r="E2444" t="s">
        <v>25</v>
      </c>
      <c r="F2444" t="s">
        <v>104</v>
      </c>
      <c r="G2444" t="s">
        <v>2982</v>
      </c>
      <c r="H2444" t="s">
        <v>1400</v>
      </c>
      <c r="I2444" t="s">
        <v>321</v>
      </c>
      <c r="J2444" t="s">
        <v>45</v>
      </c>
      <c r="K2444">
        <v>27</v>
      </c>
      <c r="L2444" t="s">
        <v>89</v>
      </c>
      <c r="M2444">
        <v>191</v>
      </c>
      <c r="N2444">
        <v>1</v>
      </c>
      <c r="O2444">
        <v>7261.7</v>
      </c>
      <c r="P2444" s="1">
        <v>45600.337951388887</v>
      </c>
      <c r="Q2444">
        <v>16</v>
      </c>
      <c r="R2444" t="s">
        <v>141</v>
      </c>
      <c r="S2444">
        <v>-0.81804024980518397</v>
      </c>
      <c r="T2444" t="b">
        <v>0</v>
      </c>
      <c r="U2444" t="b">
        <v>0</v>
      </c>
      <c r="V2444" t="b">
        <f t="shared" si="76"/>
        <v>1</v>
      </c>
      <c r="W2444">
        <v>0</v>
      </c>
      <c r="Y2444">
        <f t="shared" si="77"/>
        <v>0</v>
      </c>
    </row>
    <row r="2445" spans="1:25" x14ac:dyDescent="0.3">
      <c r="A2445" t="s">
        <v>4390</v>
      </c>
      <c r="B2445" t="s">
        <v>1807</v>
      </c>
      <c r="C2445">
        <v>538.13</v>
      </c>
      <c r="D2445" s="1">
        <v>45176.739189814813</v>
      </c>
      <c r="E2445" t="s">
        <v>25</v>
      </c>
      <c r="F2445" t="s">
        <v>262</v>
      </c>
      <c r="G2445" t="s">
        <v>1158</v>
      </c>
      <c r="H2445" t="s">
        <v>94</v>
      </c>
      <c r="I2445" t="s">
        <v>427</v>
      </c>
      <c r="J2445" t="s">
        <v>30</v>
      </c>
      <c r="K2445">
        <v>62</v>
      </c>
      <c r="L2445" t="s">
        <v>82</v>
      </c>
      <c r="M2445">
        <v>165</v>
      </c>
      <c r="N2445">
        <v>1</v>
      </c>
      <c r="O2445">
        <v>5008.59</v>
      </c>
      <c r="P2445" s="1">
        <v>45600.341817129629</v>
      </c>
      <c r="Q2445">
        <v>17</v>
      </c>
      <c r="R2445" t="s">
        <v>141</v>
      </c>
      <c r="S2445">
        <v>0.82390586481593298</v>
      </c>
      <c r="T2445" t="b">
        <v>0</v>
      </c>
      <c r="U2445" t="b">
        <v>0</v>
      </c>
      <c r="V2445" t="b">
        <f t="shared" si="76"/>
        <v>1</v>
      </c>
      <c r="W2445">
        <v>0</v>
      </c>
      <c r="Y2445">
        <f t="shared" si="77"/>
        <v>0</v>
      </c>
    </row>
    <row r="2446" spans="1:25" x14ac:dyDescent="0.3">
      <c r="A2446" t="s">
        <v>4391</v>
      </c>
      <c r="B2446" t="s">
        <v>1374</v>
      </c>
      <c r="C2446">
        <v>177.05</v>
      </c>
      <c r="D2446" s="1">
        <v>45167.68240740741</v>
      </c>
      <c r="E2446" t="s">
        <v>25</v>
      </c>
      <c r="F2446" t="s">
        <v>256</v>
      </c>
      <c r="G2446" t="s">
        <v>1479</v>
      </c>
      <c r="H2446" t="s">
        <v>2740</v>
      </c>
      <c r="I2446" t="s">
        <v>419</v>
      </c>
      <c r="J2446" t="s">
        <v>81</v>
      </c>
      <c r="K2446">
        <v>24</v>
      </c>
      <c r="L2446" t="s">
        <v>46</v>
      </c>
      <c r="M2446">
        <v>235</v>
      </c>
      <c r="N2446">
        <v>1</v>
      </c>
      <c r="O2446">
        <v>4287.82</v>
      </c>
      <c r="P2446" s="1">
        <v>45600.338136574072</v>
      </c>
      <c r="Q2446">
        <v>16</v>
      </c>
      <c r="R2446" t="s">
        <v>32</v>
      </c>
      <c r="S2446">
        <v>-0.41289717062171899</v>
      </c>
      <c r="T2446" t="b">
        <v>0</v>
      </c>
      <c r="U2446" t="b">
        <v>0</v>
      </c>
      <c r="V2446" t="b">
        <f t="shared" si="76"/>
        <v>1</v>
      </c>
      <c r="W2446">
        <v>0</v>
      </c>
      <c r="Y2446">
        <f t="shared" si="77"/>
        <v>0</v>
      </c>
    </row>
    <row r="2447" spans="1:25" x14ac:dyDescent="0.3">
      <c r="A2447" t="s">
        <v>4392</v>
      </c>
      <c r="B2447" t="s">
        <v>287</v>
      </c>
      <c r="C2447">
        <v>403.01</v>
      </c>
      <c r="D2447" s="1">
        <v>45173.73096064815</v>
      </c>
      <c r="E2447" t="s">
        <v>25</v>
      </c>
      <c r="F2447" t="s">
        <v>466</v>
      </c>
      <c r="G2447" t="s">
        <v>1801</v>
      </c>
      <c r="H2447" t="s">
        <v>812</v>
      </c>
      <c r="I2447" t="s">
        <v>188</v>
      </c>
      <c r="J2447" t="s">
        <v>45</v>
      </c>
      <c r="K2447">
        <v>63</v>
      </c>
      <c r="L2447" t="s">
        <v>31</v>
      </c>
      <c r="M2447">
        <v>286</v>
      </c>
      <c r="N2447">
        <v>3</v>
      </c>
      <c r="O2447">
        <v>10513.52</v>
      </c>
      <c r="P2447" s="1">
        <v>45600.339953703704</v>
      </c>
      <c r="Q2447">
        <v>17</v>
      </c>
      <c r="R2447" t="s">
        <v>47</v>
      </c>
      <c r="S2447">
        <v>0.36108093364185601</v>
      </c>
      <c r="T2447" t="b">
        <v>0</v>
      </c>
      <c r="U2447" t="b">
        <v>1</v>
      </c>
      <c r="V2447" t="b">
        <f t="shared" si="76"/>
        <v>1</v>
      </c>
      <c r="W2447">
        <v>1</v>
      </c>
      <c r="Y2447">
        <f t="shared" si="77"/>
        <v>0</v>
      </c>
    </row>
    <row r="2448" spans="1:25" x14ac:dyDescent="0.3">
      <c r="A2448" t="s">
        <v>4393</v>
      </c>
      <c r="B2448" t="s">
        <v>158</v>
      </c>
      <c r="C2448">
        <v>719.76</v>
      </c>
      <c r="D2448" s="1">
        <v>45015.743321759262</v>
      </c>
      <c r="E2448" t="s">
        <v>25</v>
      </c>
      <c r="F2448" t="s">
        <v>225</v>
      </c>
      <c r="G2448" t="s">
        <v>364</v>
      </c>
      <c r="H2448" t="s">
        <v>989</v>
      </c>
      <c r="I2448" t="s">
        <v>871</v>
      </c>
      <c r="J2448" t="s">
        <v>81</v>
      </c>
      <c r="K2448">
        <v>19</v>
      </c>
      <c r="L2448" t="s">
        <v>46</v>
      </c>
      <c r="M2448">
        <v>190</v>
      </c>
      <c r="N2448">
        <v>1</v>
      </c>
      <c r="O2448">
        <v>690.52</v>
      </c>
      <c r="P2448" s="1">
        <v>45600.341261574074</v>
      </c>
      <c r="Q2448">
        <v>17</v>
      </c>
      <c r="R2448" t="s">
        <v>141</v>
      </c>
      <c r="S2448">
        <v>1.44604094658878</v>
      </c>
      <c r="T2448" t="b">
        <v>0</v>
      </c>
      <c r="U2448" t="b">
        <v>0</v>
      </c>
      <c r="V2448" t="b">
        <f t="shared" si="76"/>
        <v>1</v>
      </c>
      <c r="W2448">
        <v>0</v>
      </c>
      <c r="Y2448">
        <f t="shared" si="77"/>
        <v>0</v>
      </c>
    </row>
    <row r="2449" spans="1:25" x14ac:dyDescent="0.3">
      <c r="A2449" t="s">
        <v>4394</v>
      </c>
      <c r="B2449" t="s">
        <v>451</v>
      </c>
      <c r="C2449">
        <v>163.22</v>
      </c>
      <c r="D2449" s="1">
        <v>45022.754305555558</v>
      </c>
      <c r="E2449" t="s">
        <v>25</v>
      </c>
      <c r="F2449" t="s">
        <v>185</v>
      </c>
      <c r="G2449" t="s">
        <v>2824</v>
      </c>
      <c r="H2449" t="s">
        <v>343</v>
      </c>
      <c r="I2449" t="s">
        <v>188</v>
      </c>
      <c r="J2449" t="s">
        <v>45</v>
      </c>
      <c r="K2449">
        <v>26</v>
      </c>
      <c r="L2449" t="s">
        <v>46</v>
      </c>
      <c r="M2449">
        <v>217</v>
      </c>
      <c r="N2449">
        <v>1</v>
      </c>
      <c r="O2449">
        <v>1788.27</v>
      </c>
      <c r="P2449" s="1">
        <v>45600.338842592595</v>
      </c>
      <c r="Q2449">
        <v>18</v>
      </c>
      <c r="R2449" t="s">
        <v>141</v>
      </c>
      <c r="S2449">
        <v>-0.46026890536222698</v>
      </c>
      <c r="T2449" t="b">
        <v>0</v>
      </c>
      <c r="U2449" t="b">
        <v>0</v>
      </c>
      <c r="V2449" t="b">
        <f t="shared" si="76"/>
        <v>1</v>
      </c>
      <c r="W2449">
        <v>0</v>
      </c>
      <c r="Y2449">
        <f t="shared" si="77"/>
        <v>0</v>
      </c>
    </row>
    <row r="2450" spans="1:25" x14ac:dyDescent="0.3">
      <c r="A2450" t="s">
        <v>4395</v>
      </c>
      <c r="B2450" t="s">
        <v>380</v>
      </c>
      <c r="C2450">
        <v>242.85</v>
      </c>
      <c r="D2450" s="1">
        <v>45222.680312500001</v>
      </c>
      <c r="E2450" t="s">
        <v>25</v>
      </c>
      <c r="F2450" t="s">
        <v>250</v>
      </c>
      <c r="G2450" t="s">
        <v>2097</v>
      </c>
      <c r="H2450" t="s">
        <v>300</v>
      </c>
      <c r="I2450" t="s">
        <v>321</v>
      </c>
      <c r="J2450" t="s">
        <v>45</v>
      </c>
      <c r="K2450">
        <v>42</v>
      </c>
      <c r="L2450" t="s">
        <v>89</v>
      </c>
      <c r="M2450">
        <v>93</v>
      </c>
      <c r="N2450">
        <v>1</v>
      </c>
      <c r="O2450">
        <v>4672.8</v>
      </c>
      <c r="P2450" s="1">
        <v>45600.340532407405</v>
      </c>
      <c r="Q2450">
        <v>16</v>
      </c>
      <c r="R2450" t="s">
        <v>47</v>
      </c>
      <c r="S2450">
        <v>-0.18751321213108599</v>
      </c>
      <c r="T2450" t="b">
        <v>0</v>
      </c>
      <c r="U2450" t="b">
        <v>0</v>
      </c>
      <c r="V2450" t="b">
        <f t="shared" si="76"/>
        <v>1</v>
      </c>
      <c r="W2450">
        <v>0</v>
      </c>
      <c r="Y2450">
        <f t="shared" si="77"/>
        <v>0</v>
      </c>
    </row>
    <row r="2451" spans="1:25" x14ac:dyDescent="0.3">
      <c r="A2451" t="s">
        <v>4396</v>
      </c>
      <c r="B2451" t="s">
        <v>2962</v>
      </c>
      <c r="C2451">
        <v>291.22000000000003</v>
      </c>
      <c r="D2451" s="1">
        <v>45233.698206018518</v>
      </c>
      <c r="E2451" t="s">
        <v>57</v>
      </c>
      <c r="F2451" t="s">
        <v>210</v>
      </c>
      <c r="G2451" t="s">
        <v>4134</v>
      </c>
      <c r="H2451" t="s">
        <v>544</v>
      </c>
      <c r="I2451" t="s">
        <v>325</v>
      </c>
      <c r="J2451" t="s">
        <v>45</v>
      </c>
      <c r="K2451">
        <v>41</v>
      </c>
      <c r="L2451" t="s">
        <v>89</v>
      </c>
      <c r="M2451">
        <v>100</v>
      </c>
      <c r="N2451">
        <v>1</v>
      </c>
      <c r="O2451">
        <v>3677.63</v>
      </c>
      <c r="P2451" s="1">
        <v>45600.34</v>
      </c>
      <c r="Q2451">
        <v>16</v>
      </c>
      <c r="R2451" t="s">
        <v>54</v>
      </c>
      <c r="S2451">
        <v>-2.1832025623611001E-2</v>
      </c>
      <c r="T2451" t="b">
        <v>0</v>
      </c>
      <c r="U2451" t="b">
        <v>0</v>
      </c>
      <c r="V2451" t="b">
        <f t="shared" si="76"/>
        <v>1</v>
      </c>
      <c r="W2451">
        <v>0</v>
      </c>
      <c r="Y2451">
        <f t="shared" si="77"/>
        <v>0</v>
      </c>
    </row>
    <row r="2452" spans="1:25" x14ac:dyDescent="0.3">
      <c r="A2452" t="s">
        <v>4397</v>
      </c>
      <c r="B2452" t="s">
        <v>363</v>
      </c>
      <c r="C2452">
        <v>56.52</v>
      </c>
      <c r="D2452" s="1">
        <v>45264.672905092593</v>
      </c>
      <c r="E2452" t="s">
        <v>25</v>
      </c>
      <c r="F2452" t="s">
        <v>309</v>
      </c>
      <c r="G2452" t="s">
        <v>1211</v>
      </c>
      <c r="H2452" t="s">
        <v>2601</v>
      </c>
      <c r="I2452" t="s">
        <v>556</v>
      </c>
      <c r="J2452" t="s">
        <v>30</v>
      </c>
      <c r="K2452">
        <v>42</v>
      </c>
      <c r="L2452" t="s">
        <v>89</v>
      </c>
      <c r="M2452">
        <v>152</v>
      </c>
      <c r="N2452">
        <v>1</v>
      </c>
      <c r="O2452">
        <v>6911.2</v>
      </c>
      <c r="P2452" s="1">
        <v>45600.339467592596</v>
      </c>
      <c r="Q2452">
        <v>16</v>
      </c>
      <c r="R2452" t="s">
        <v>47</v>
      </c>
      <c r="S2452">
        <v>-0.82574714808183902</v>
      </c>
      <c r="T2452" t="b">
        <v>0</v>
      </c>
      <c r="U2452" t="b">
        <v>0</v>
      </c>
      <c r="V2452" t="b">
        <f t="shared" si="76"/>
        <v>1</v>
      </c>
      <c r="W2452">
        <v>0</v>
      </c>
      <c r="Y2452">
        <f t="shared" si="77"/>
        <v>0</v>
      </c>
    </row>
    <row r="2453" spans="1:25" x14ac:dyDescent="0.3">
      <c r="A2453" t="s">
        <v>4398</v>
      </c>
      <c r="B2453" t="s">
        <v>97</v>
      </c>
      <c r="C2453">
        <v>195.8</v>
      </c>
      <c r="D2453" s="1">
        <v>44985.734583333331</v>
      </c>
      <c r="E2453" t="s">
        <v>25</v>
      </c>
      <c r="F2453" t="s">
        <v>50</v>
      </c>
      <c r="G2453" t="s">
        <v>1220</v>
      </c>
      <c r="H2453" t="s">
        <v>1077</v>
      </c>
      <c r="I2453" t="s">
        <v>38</v>
      </c>
      <c r="J2453" t="s">
        <v>45</v>
      </c>
      <c r="K2453">
        <v>39</v>
      </c>
      <c r="L2453" t="s">
        <v>31</v>
      </c>
      <c r="M2453">
        <v>186</v>
      </c>
      <c r="N2453">
        <v>1</v>
      </c>
      <c r="O2453">
        <v>12027.68</v>
      </c>
      <c r="P2453" s="1">
        <v>45600.338182870371</v>
      </c>
      <c r="Q2453">
        <v>17</v>
      </c>
      <c r="R2453" t="s">
        <v>32</v>
      </c>
      <c r="S2453">
        <v>-0.34867301831625702</v>
      </c>
      <c r="T2453" t="b">
        <v>0</v>
      </c>
      <c r="U2453" t="b">
        <v>0</v>
      </c>
      <c r="V2453" t="b">
        <f t="shared" si="76"/>
        <v>1</v>
      </c>
      <c r="W2453">
        <v>0</v>
      </c>
      <c r="Y2453">
        <f t="shared" si="77"/>
        <v>0</v>
      </c>
    </row>
    <row r="2454" spans="1:25" x14ac:dyDescent="0.3">
      <c r="A2454" t="s">
        <v>4399</v>
      </c>
      <c r="B2454" t="s">
        <v>143</v>
      </c>
      <c r="C2454">
        <v>66.760000000000005</v>
      </c>
      <c r="D2454" s="1">
        <v>45040.770439814813</v>
      </c>
      <c r="E2454" t="s">
        <v>57</v>
      </c>
      <c r="F2454" t="s">
        <v>131</v>
      </c>
      <c r="G2454" t="s">
        <v>1535</v>
      </c>
      <c r="H2454" t="s">
        <v>2633</v>
      </c>
      <c r="I2454" t="s">
        <v>445</v>
      </c>
      <c r="J2454" t="s">
        <v>81</v>
      </c>
      <c r="K2454">
        <v>36</v>
      </c>
      <c r="L2454" t="s">
        <v>31</v>
      </c>
      <c r="M2454">
        <v>44</v>
      </c>
      <c r="N2454">
        <v>1</v>
      </c>
      <c r="O2454">
        <v>184.72</v>
      </c>
      <c r="P2454" s="1">
        <v>45600.340949074074</v>
      </c>
      <c r="Q2454">
        <v>18</v>
      </c>
      <c r="R2454" t="s">
        <v>47</v>
      </c>
      <c r="S2454">
        <v>-0.79067219770274999</v>
      </c>
      <c r="T2454" t="b">
        <v>0</v>
      </c>
      <c r="U2454" t="b">
        <v>0</v>
      </c>
      <c r="V2454" t="b">
        <f t="shared" si="76"/>
        <v>1</v>
      </c>
      <c r="W2454">
        <v>0</v>
      </c>
      <c r="Y2454">
        <f t="shared" si="77"/>
        <v>0</v>
      </c>
    </row>
    <row r="2455" spans="1:25" x14ac:dyDescent="0.3">
      <c r="A2455" t="s">
        <v>4400</v>
      </c>
      <c r="B2455" t="s">
        <v>2477</v>
      </c>
      <c r="C2455">
        <v>190.9</v>
      </c>
      <c r="D2455" s="1">
        <v>45208.678553240738</v>
      </c>
      <c r="E2455" t="s">
        <v>25</v>
      </c>
      <c r="F2455" t="s">
        <v>405</v>
      </c>
      <c r="G2455" t="s">
        <v>3953</v>
      </c>
      <c r="H2455" t="s">
        <v>850</v>
      </c>
      <c r="I2455" t="s">
        <v>53</v>
      </c>
      <c r="J2455" t="s">
        <v>45</v>
      </c>
      <c r="K2455">
        <v>28</v>
      </c>
      <c r="L2455" t="s">
        <v>46</v>
      </c>
      <c r="M2455">
        <v>40</v>
      </c>
      <c r="N2455">
        <v>1</v>
      </c>
      <c r="O2455">
        <v>101.25</v>
      </c>
      <c r="P2455" s="1">
        <v>45600.340590277781</v>
      </c>
      <c r="Q2455">
        <v>16</v>
      </c>
      <c r="R2455" t="s">
        <v>47</v>
      </c>
      <c r="S2455">
        <v>-0.36545693011875102</v>
      </c>
      <c r="T2455" t="b">
        <v>0</v>
      </c>
      <c r="U2455" t="b">
        <v>0</v>
      </c>
      <c r="V2455" t="b">
        <f t="shared" si="76"/>
        <v>1</v>
      </c>
      <c r="W2455">
        <v>0</v>
      </c>
      <c r="Y2455">
        <f t="shared" si="77"/>
        <v>0</v>
      </c>
    </row>
    <row r="2456" spans="1:25" x14ac:dyDescent="0.3">
      <c r="A2456" t="s">
        <v>4401</v>
      </c>
      <c r="B2456" t="s">
        <v>529</v>
      </c>
      <c r="C2456">
        <v>106.99</v>
      </c>
      <c r="D2456" s="1">
        <v>45254.708645833336</v>
      </c>
      <c r="E2456" t="s">
        <v>25</v>
      </c>
      <c r="F2456" t="s">
        <v>309</v>
      </c>
      <c r="G2456" t="s">
        <v>1368</v>
      </c>
      <c r="H2456" t="s">
        <v>2536</v>
      </c>
      <c r="I2456" t="s">
        <v>316</v>
      </c>
      <c r="J2456" t="s">
        <v>81</v>
      </c>
      <c r="K2456">
        <v>38</v>
      </c>
      <c r="L2456" t="s">
        <v>89</v>
      </c>
      <c r="M2456">
        <v>152</v>
      </c>
      <c r="N2456">
        <v>1</v>
      </c>
      <c r="O2456">
        <v>5771.4</v>
      </c>
      <c r="P2456" s="1">
        <v>45600.340775462966</v>
      </c>
      <c r="Q2456">
        <v>17</v>
      </c>
      <c r="R2456" t="s">
        <v>54</v>
      </c>
      <c r="S2456">
        <v>-0.65287285651615201</v>
      </c>
      <c r="T2456" t="b">
        <v>0</v>
      </c>
      <c r="U2456" t="b">
        <v>0</v>
      </c>
      <c r="V2456" t="b">
        <f t="shared" si="76"/>
        <v>1</v>
      </c>
      <c r="W2456">
        <v>0</v>
      </c>
      <c r="Y2456">
        <f t="shared" si="77"/>
        <v>0</v>
      </c>
    </row>
    <row r="2457" spans="1:25" x14ac:dyDescent="0.3">
      <c r="A2457" t="s">
        <v>4402</v>
      </c>
      <c r="B2457" t="s">
        <v>1752</v>
      </c>
      <c r="C2457">
        <v>655.81</v>
      </c>
      <c r="D2457" s="1">
        <v>45051.703287037039</v>
      </c>
      <c r="E2457" t="s">
        <v>25</v>
      </c>
      <c r="F2457" t="s">
        <v>309</v>
      </c>
      <c r="G2457" t="s">
        <v>1151</v>
      </c>
      <c r="H2457" t="s">
        <v>2994</v>
      </c>
      <c r="I2457" t="s">
        <v>265</v>
      </c>
      <c r="J2457" t="s">
        <v>30</v>
      </c>
      <c r="K2457">
        <v>55</v>
      </c>
      <c r="L2457" t="s">
        <v>82</v>
      </c>
      <c r="M2457">
        <v>164</v>
      </c>
      <c r="N2457">
        <v>2</v>
      </c>
      <c r="O2457">
        <v>4539.99</v>
      </c>
      <c r="P2457" s="1">
        <v>45600.34175925926</v>
      </c>
      <c r="Q2457">
        <v>16</v>
      </c>
      <c r="R2457" t="s">
        <v>54</v>
      </c>
      <c r="S2457">
        <v>1.22699377112562</v>
      </c>
      <c r="T2457" t="b">
        <v>0</v>
      </c>
      <c r="U2457" t="b">
        <v>1</v>
      </c>
      <c r="V2457" t="b">
        <f t="shared" si="76"/>
        <v>1</v>
      </c>
      <c r="W2457">
        <v>1</v>
      </c>
      <c r="Y2457">
        <f t="shared" si="77"/>
        <v>0</v>
      </c>
    </row>
    <row r="2458" spans="1:25" x14ac:dyDescent="0.3">
      <c r="A2458" t="s">
        <v>4403</v>
      </c>
      <c r="B2458" t="s">
        <v>1987</v>
      </c>
      <c r="C2458">
        <v>107.1</v>
      </c>
      <c r="D2458" s="1">
        <v>45093.695289351854</v>
      </c>
      <c r="E2458" t="s">
        <v>57</v>
      </c>
      <c r="F2458" t="s">
        <v>256</v>
      </c>
      <c r="G2458" t="s">
        <v>470</v>
      </c>
      <c r="H2458" t="s">
        <v>686</v>
      </c>
      <c r="I2458" t="s">
        <v>38</v>
      </c>
      <c r="J2458" t="s">
        <v>45</v>
      </c>
      <c r="K2458">
        <v>25</v>
      </c>
      <c r="L2458" t="s">
        <v>46</v>
      </c>
      <c r="M2458">
        <v>175</v>
      </c>
      <c r="N2458">
        <v>1</v>
      </c>
      <c r="O2458">
        <v>193.8</v>
      </c>
      <c r="P2458" s="1">
        <v>45600.341354166667</v>
      </c>
      <c r="Q2458">
        <v>16</v>
      </c>
      <c r="R2458" t="s">
        <v>54</v>
      </c>
      <c r="S2458">
        <v>-0.65249607482262695</v>
      </c>
      <c r="T2458" t="b">
        <v>0</v>
      </c>
      <c r="U2458" t="b">
        <v>0</v>
      </c>
      <c r="V2458" t="b">
        <f t="shared" si="76"/>
        <v>1</v>
      </c>
      <c r="W2458">
        <v>0</v>
      </c>
      <c r="Y2458">
        <f t="shared" si="77"/>
        <v>0</v>
      </c>
    </row>
    <row r="2459" spans="1:25" x14ac:dyDescent="0.3">
      <c r="A2459" t="s">
        <v>4404</v>
      </c>
      <c r="B2459" t="s">
        <v>3167</v>
      </c>
      <c r="C2459">
        <v>79.92</v>
      </c>
      <c r="D2459" s="1">
        <v>44963.730682870373</v>
      </c>
      <c r="E2459" t="s">
        <v>25</v>
      </c>
      <c r="F2459" t="s">
        <v>185</v>
      </c>
      <c r="G2459" t="s">
        <v>2824</v>
      </c>
      <c r="H2459" t="s">
        <v>2566</v>
      </c>
      <c r="I2459" t="s">
        <v>375</v>
      </c>
      <c r="J2459" t="s">
        <v>30</v>
      </c>
      <c r="K2459">
        <v>44</v>
      </c>
      <c r="L2459" t="s">
        <v>89</v>
      </c>
      <c r="M2459">
        <v>274</v>
      </c>
      <c r="N2459">
        <v>2</v>
      </c>
      <c r="O2459">
        <v>9138.76</v>
      </c>
      <c r="P2459" s="1">
        <v>45600.339745370373</v>
      </c>
      <c r="Q2459">
        <v>17</v>
      </c>
      <c r="R2459" t="s">
        <v>47</v>
      </c>
      <c r="S2459">
        <v>-0.74559540600462304</v>
      </c>
      <c r="T2459" t="b">
        <v>0</v>
      </c>
      <c r="U2459" t="b">
        <v>1</v>
      </c>
      <c r="V2459" t="b">
        <f t="shared" si="76"/>
        <v>1</v>
      </c>
      <c r="W2459">
        <v>1</v>
      </c>
      <c r="Y2459">
        <f t="shared" si="77"/>
        <v>0</v>
      </c>
    </row>
    <row r="2460" spans="1:25" x14ac:dyDescent="0.3">
      <c r="A2460" t="s">
        <v>4405</v>
      </c>
      <c r="B2460" t="s">
        <v>1928</v>
      </c>
      <c r="C2460">
        <v>430.83</v>
      </c>
      <c r="D2460" s="1">
        <v>45152.673159722224</v>
      </c>
      <c r="E2460" t="s">
        <v>25</v>
      </c>
      <c r="F2460" t="s">
        <v>153</v>
      </c>
      <c r="G2460" t="s">
        <v>1658</v>
      </c>
      <c r="H2460" t="s">
        <v>1764</v>
      </c>
      <c r="I2460" t="s">
        <v>1294</v>
      </c>
      <c r="J2460" t="s">
        <v>81</v>
      </c>
      <c r="K2460">
        <v>18</v>
      </c>
      <c r="L2460" t="s">
        <v>46</v>
      </c>
      <c r="M2460">
        <v>292</v>
      </c>
      <c r="N2460">
        <v>1</v>
      </c>
      <c r="O2460">
        <v>941.49</v>
      </c>
      <c r="P2460" s="1">
        <v>45600.338761574072</v>
      </c>
      <c r="Q2460">
        <v>16</v>
      </c>
      <c r="R2460" t="s">
        <v>47</v>
      </c>
      <c r="S2460">
        <v>0.45637244922254599</v>
      </c>
      <c r="T2460" t="b">
        <v>0</v>
      </c>
      <c r="U2460" t="b">
        <v>0</v>
      </c>
      <c r="V2460" t="b">
        <f t="shared" si="76"/>
        <v>1</v>
      </c>
      <c r="W2460">
        <v>0</v>
      </c>
      <c r="Y2460">
        <f t="shared" si="77"/>
        <v>0</v>
      </c>
    </row>
    <row r="2461" spans="1:25" x14ac:dyDescent="0.3">
      <c r="A2461" t="s">
        <v>4406</v>
      </c>
      <c r="B2461" t="s">
        <v>2890</v>
      </c>
      <c r="C2461">
        <v>235.34</v>
      </c>
      <c r="D2461" s="1">
        <v>45215.676354166666</v>
      </c>
      <c r="E2461" t="s">
        <v>25</v>
      </c>
      <c r="F2461" t="s">
        <v>466</v>
      </c>
      <c r="G2461" t="s">
        <v>846</v>
      </c>
      <c r="H2461" t="s">
        <v>348</v>
      </c>
      <c r="I2461" t="s">
        <v>687</v>
      </c>
      <c r="J2461" t="s">
        <v>81</v>
      </c>
      <c r="K2461">
        <v>26</v>
      </c>
      <c r="L2461" t="s">
        <v>46</v>
      </c>
      <c r="M2461">
        <v>68</v>
      </c>
      <c r="N2461">
        <v>1</v>
      </c>
      <c r="O2461">
        <v>566.83000000000004</v>
      </c>
      <c r="P2461" s="1">
        <v>45600.341678240744</v>
      </c>
      <c r="Q2461">
        <v>16</v>
      </c>
      <c r="R2461" t="s">
        <v>47</v>
      </c>
      <c r="S2461">
        <v>-0.2132371259345</v>
      </c>
      <c r="T2461" t="b">
        <v>0</v>
      </c>
      <c r="U2461" t="b">
        <v>0</v>
      </c>
      <c r="V2461" t="b">
        <f t="shared" si="76"/>
        <v>1</v>
      </c>
      <c r="W2461">
        <v>0</v>
      </c>
      <c r="Y2461">
        <f t="shared" si="77"/>
        <v>0</v>
      </c>
    </row>
    <row r="2462" spans="1:25" x14ac:dyDescent="0.3">
      <c r="A2462" t="s">
        <v>4407</v>
      </c>
      <c r="B2462" t="s">
        <v>975</v>
      </c>
      <c r="C2462">
        <v>86.35</v>
      </c>
      <c r="D2462" s="1">
        <v>45173.720601851855</v>
      </c>
      <c r="E2462" t="s">
        <v>57</v>
      </c>
      <c r="F2462" t="s">
        <v>77</v>
      </c>
      <c r="G2462" t="s">
        <v>1282</v>
      </c>
      <c r="H2462" t="s">
        <v>531</v>
      </c>
      <c r="I2462" t="s">
        <v>620</v>
      </c>
      <c r="J2462" t="s">
        <v>81</v>
      </c>
      <c r="K2462">
        <v>52</v>
      </c>
      <c r="L2462" t="s">
        <v>82</v>
      </c>
      <c r="M2462">
        <v>24</v>
      </c>
      <c r="N2462">
        <v>1</v>
      </c>
      <c r="O2462">
        <v>1550.48</v>
      </c>
      <c r="P2462" s="1">
        <v>45600.34039351852</v>
      </c>
      <c r="Q2462">
        <v>17</v>
      </c>
      <c r="R2462" t="s">
        <v>47</v>
      </c>
      <c r="S2462">
        <v>-0.72357080337400403</v>
      </c>
      <c r="T2462" t="b">
        <v>0</v>
      </c>
      <c r="U2462" t="b">
        <v>0</v>
      </c>
      <c r="V2462" t="b">
        <f t="shared" si="76"/>
        <v>1</v>
      </c>
      <c r="W2462">
        <v>0</v>
      </c>
      <c r="Y2462">
        <f t="shared" si="77"/>
        <v>0</v>
      </c>
    </row>
    <row r="2463" spans="1:25" x14ac:dyDescent="0.3">
      <c r="A2463" t="s">
        <v>4408</v>
      </c>
      <c r="B2463" t="s">
        <v>630</v>
      </c>
      <c r="C2463">
        <v>337.99</v>
      </c>
      <c r="D2463" s="1">
        <v>44987.695798611108</v>
      </c>
      <c r="E2463" t="s">
        <v>25</v>
      </c>
      <c r="F2463" t="s">
        <v>534</v>
      </c>
      <c r="G2463" t="s">
        <v>2002</v>
      </c>
      <c r="H2463" t="s">
        <v>284</v>
      </c>
      <c r="I2463" t="s">
        <v>866</v>
      </c>
      <c r="J2463" t="s">
        <v>30</v>
      </c>
      <c r="K2463">
        <v>70</v>
      </c>
      <c r="L2463" t="s">
        <v>31</v>
      </c>
      <c r="M2463">
        <v>115</v>
      </c>
      <c r="N2463">
        <v>1</v>
      </c>
      <c r="O2463">
        <v>9038.6299999999992</v>
      </c>
      <c r="P2463" s="1">
        <v>45600.337916666664</v>
      </c>
      <c r="Q2463">
        <v>16</v>
      </c>
      <c r="R2463" t="s">
        <v>141</v>
      </c>
      <c r="S2463">
        <v>0.13836869988713099</v>
      </c>
      <c r="T2463" t="b">
        <v>0</v>
      </c>
      <c r="U2463" t="b">
        <v>0</v>
      </c>
      <c r="V2463" t="b">
        <f t="shared" si="76"/>
        <v>1</v>
      </c>
      <c r="W2463">
        <v>0</v>
      </c>
      <c r="Y2463">
        <f t="shared" si="77"/>
        <v>0</v>
      </c>
    </row>
    <row r="2464" spans="1:25" x14ac:dyDescent="0.3">
      <c r="A2464" t="s">
        <v>4409</v>
      </c>
      <c r="B2464" t="s">
        <v>425</v>
      </c>
      <c r="C2464">
        <v>577.13</v>
      </c>
      <c r="D2464" s="1">
        <v>45196.70140046296</v>
      </c>
      <c r="E2464" t="s">
        <v>57</v>
      </c>
      <c r="F2464" t="s">
        <v>236</v>
      </c>
      <c r="G2464" t="s">
        <v>2285</v>
      </c>
      <c r="H2464" t="s">
        <v>862</v>
      </c>
      <c r="I2464" t="s">
        <v>162</v>
      </c>
      <c r="J2464" t="s">
        <v>81</v>
      </c>
      <c r="K2464">
        <v>40</v>
      </c>
      <c r="L2464" t="s">
        <v>89</v>
      </c>
      <c r="M2464">
        <v>66</v>
      </c>
      <c r="N2464">
        <v>1</v>
      </c>
      <c r="O2464">
        <v>6640.51</v>
      </c>
      <c r="P2464" s="1">
        <v>45600.339375000003</v>
      </c>
      <c r="Q2464">
        <v>16</v>
      </c>
      <c r="R2464" t="s">
        <v>74</v>
      </c>
      <c r="S2464">
        <v>0.95749210161129295</v>
      </c>
      <c r="T2464" t="b">
        <v>0</v>
      </c>
      <c r="U2464" t="b">
        <v>0</v>
      </c>
      <c r="V2464" t="b">
        <f t="shared" si="76"/>
        <v>1</v>
      </c>
      <c r="W2464">
        <v>0</v>
      </c>
      <c r="Y2464">
        <f t="shared" si="77"/>
        <v>0</v>
      </c>
    </row>
    <row r="2465" spans="1:25" x14ac:dyDescent="0.3">
      <c r="A2465" t="s">
        <v>4410</v>
      </c>
      <c r="B2465" t="s">
        <v>1918</v>
      </c>
      <c r="C2465">
        <v>213.33</v>
      </c>
      <c r="D2465" s="1">
        <v>45166.695798611108</v>
      </c>
      <c r="E2465" t="s">
        <v>25</v>
      </c>
      <c r="F2465" t="s">
        <v>309</v>
      </c>
      <c r="G2465" t="s">
        <v>2458</v>
      </c>
      <c r="H2465" t="s">
        <v>3124</v>
      </c>
      <c r="I2465" t="s">
        <v>782</v>
      </c>
      <c r="J2465" t="s">
        <v>30</v>
      </c>
      <c r="K2465">
        <v>52</v>
      </c>
      <c r="L2465" t="s">
        <v>82</v>
      </c>
      <c r="M2465">
        <v>161</v>
      </c>
      <c r="N2465">
        <v>1</v>
      </c>
      <c r="O2465">
        <v>5400.44</v>
      </c>
      <c r="P2465" s="1">
        <v>45600.341840277775</v>
      </c>
      <c r="Q2465">
        <v>16</v>
      </c>
      <c r="R2465" t="s">
        <v>47</v>
      </c>
      <c r="S2465">
        <v>-0.28862771752080502</v>
      </c>
      <c r="T2465" t="b">
        <v>0</v>
      </c>
      <c r="U2465" t="b">
        <v>0</v>
      </c>
      <c r="V2465" t="b">
        <f t="shared" si="76"/>
        <v>1</v>
      </c>
      <c r="W2465">
        <v>0</v>
      </c>
      <c r="Y2465">
        <f t="shared" si="77"/>
        <v>0</v>
      </c>
    </row>
    <row r="2466" spans="1:25" x14ac:dyDescent="0.3">
      <c r="A2466" t="s">
        <v>4411</v>
      </c>
      <c r="B2466" t="s">
        <v>700</v>
      </c>
      <c r="C2466">
        <v>54.52</v>
      </c>
      <c r="D2466" s="1">
        <v>44987.730775462966</v>
      </c>
      <c r="E2466" t="s">
        <v>25</v>
      </c>
      <c r="F2466" t="s">
        <v>77</v>
      </c>
      <c r="G2466" t="s">
        <v>890</v>
      </c>
      <c r="H2466" t="s">
        <v>2643</v>
      </c>
      <c r="I2466" t="s">
        <v>491</v>
      </c>
      <c r="J2466" t="s">
        <v>81</v>
      </c>
      <c r="K2466">
        <v>32</v>
      </c>
      <c r="L2466" t="s">
        <v>31</v>
      </c>
      <c r="M2466">
        <v>164</v>
      </c>
      <c r="N2466">
        <v>1</v>
      </c>
      <c r="O2466">
        <v>6980.98</v>
      </c>
      <c r="P2466" s="1">
        <v>45600.33965277778</v>
      </c>
      <c r="Q2466">
        <v>17</v>
      </c>
      <c r="R2466" t="s">
        <v>141</v>
      </c>
      <c r="S2466">
        <v>-0.83259772432775503</v>
      </c>
      <c r="T2466" t="b">
        <v>0</v>
      </c>
      <c r="U2466" t="b">
        <v>0</v>
      </c>
      <c r="V2466" t="b">
        <f t="shared" si="76"/>
        <v>1</v>
      </c>
      <c r="W2466">
        <v>0</v>
      </c>
      <c r="Y2466">
        <f t="shared" si="77"/>
        <v>0</v>
      </c>
    </row>
    <row r="2467" spans="1:25" x14ac:dyDescent="0.3">
      <c r="A2467" t="s">
        <v>4412</v>
      </c>
      <c r="B2467" t="s">
        <v>1918</v>
      </c>
      <c r="C2467">
        <v>100.13</v>
      </c>
      <c r="D2467" s="1">
        <v>45271.6950462963</v>
      </c>
      <c r="E2467" t="s">
        <v>25</v>
      </c>
      <c r="F2467" t="s">
        <v>126</v>
      </c>
      <c r="G2467" t="s">
        <v>1693</v>
      </c>
      <c r="H2467" t="s">
        <v>3377</v>
      </c>
      <c r="I2467" t="s">
        <v>1537</v>
      </c>
      <c r="J2467" t="s">
        <v>81</v>
      </c>
      <c r="K2467">
        <v>57</v>
      </c>
      <c r="L2467" t="s">
        <v>31</v>
      </c>
      <c r="M2467">
        <v>168</v>
      </c>
      <c r="N2467">
        <v>1</v>
      </c>
      <c r="O2467">
        <v>5209.16</v>
      </c>
      <c r="P2467" s="1">
        <v>45600.341064814813</v>
      </c>
      <c r="Q2467">
        <v>16</v>
      </c>
      <c r="R2467" t="s">
        <v>47</v>
      </c>
      <c r="S2467">
        <v>-0.676370333039643</v>
      </c>
      <c r="T2467" t="b">
        <v>0</v>
      </c>
      <c r="U2467" t="b">
        <v>0</v>
      </c>
      <c r="V2467" t="b">
        <f t="shared" si="76"/>
        <v>1</v>
      </c>
      <c r="W2467">
        <v>0</v>
      </c>
      <c r="Y2467">
        <f t="shared" si="77"/>
        <v>0</v>
      </c>
    </row>
    <row r="2468" spans="1:25" x14ac:dyDescent="0.3">
      <c r="A2468" t="s">
        <v>4413</v>
      </c>
      <c r="B2468" t="s">
        <v>1435</v>
      </c>
      <c r="C2468">
        <v>883.92</v>
      </c>
      <c r="D2468" s="1">
        <v>45233.672222222223</v>
      </c>
      <c r="E2468" t="s">
        <v>57</v>
      </c>
      <c r="F2468" t="s">
        <v>268</v>
      </c>
      <c r="G2468" t="s">
        <v>1980</v>
      </c>
      <c r="H2468" t="s">
        <v>66</v>
      </c>
      <c r="I2468" t="s">
        <v>611</v>
      </c>
      <c r="J2468" t="s">
        <v>45</v>
      </c>
      <c r="K2468">
        <v>53</v>
      </c>
      <c r="L2468" t="s">
        <v>82</v>
      </c>
      <c r="M2468">
        <v>129</v>
      </c>
      <c r="N2468">
        <v>1</v>
      </c>
      <c r="O2468">
        <v>2342.64</v>
      </c>
      <c r="P2468" s="1">
        <v>45600.341064814813</v>
      </c>
      <c r="Q2468">
        <v>16</v>
      </c>
      <c r="R2468" t="s">
        <v>54</v>
      </c>
      <c r="S2468">
        <v>2.0083362448535498</v>
      </c>
      <c r="T2468" t="b">
        <v>0</v>
      </c>
      <c r="U2468" t="b">
        <v>0</v>
      </c>
      <c r="V2468" t="b">
        <f t="shared" si="76"/>
        <v>1</v>
      </c>
      <c r="W2468">
        <v>0</v>
      </c>
      <c r="Y2468">
        <f t="shared" si="77"/>
        <v>0</v>
      </c>
    </row>
    <row r="2469" spans="1:25" x14ac:dyDescent="0.3">
      <c r="A2469" t="s">
        <v>4414</v>
      </c>
      <c r="B2469" t="s">
        <v>2385</v>
      </c>
      <c r="C2469">
        <v>69.8</v>
      </c>
      <c r="D2469" s="1">
        <v>45048.667407407411</v>
      </c>
      <c r="E2469" t="s">
        <v>57</v>
      </c>
      <c r="F2469" t="s">
        <v>216</v>
      </c>
      <c r="G2469" t="s">
        <v>3141</v>
      </c>
      <c r="H2469" t="s">
        <v>365</v>
      </c>
      <c r="I2469" t="s">
        <v>445</v>
      </c>
      <c r="J2469" t="s">
        <v>81</v>
      </c>
      <c r="K2469">
        <v>27</v>
      </c>
      <c r="L2469" t="s">
        <v>46</v>
      </c>
      <c r="M2469">
        <v>138</v>
      </c>
      <c r="N2469">
        <v>1</v>
      </c>
      <c r="O2469">
        <v>136.77000000000001</v>
      </c>
      <c r="P2469" s="1">
        <v>45600.339594907404</v>
      </c>
      <c r="Q2469">
        <v>16</v>
      </c>
      <c r="R2469" t="s">
        <v>32</v>
      </c>
      <c r="S2469">
        <v>-0.78025932180895796</v>
      </c>
      <c r="T2469" t="b">
        <v>0</v>
      </c>
      <c r="U2469" t="b">
        <v>0</v>
      </c>
      <c r="V2469" t="b">
        <f t="shared" si="76"/>
        <v>1</v>
      </c>
      <c r="W2469">
        <v>0</v>
      </c>
      <c r="Y2469">
        <f t="shared" si="77"/>
        <v>0</v>
      </c>
    </row>
    <row r="2470" spans="1:25" x14ac:dyDescent="0.3">
      <c r="A2470" t="s">
        <v>4415</v>
      </c>
      <c r="B2470" t="s">
        <v>617</v>
      </c>
      <c r="C2470">
        <v>768.94</v>
      </c>
      <c r="D2470" s="1">
        <v>45210.733518518522</v>
      </c>
      <c r="E2470" t="s">
        <v>25</v>
      </c>
      <c r="F2470" t="s">
        <v>77</v>
      </c>
      <c r="G2470" t="s">
        <v>751</v>
      </c>
      <c r="H2470" t="s">
        <v>1304</v>
      </c>
      <c r="I2470" t="s">
        <v>280</v>
      </c>
      <c r="J2470" t="s">
        <v>81</v>
      </c>
      <c r="K2470">
        <v>64</v>
      </c>
      <c r="L2470" t="s">
        <v>82</v>
      </c>
      <c r="M2470">
        <v>53</v>
      </c>
      <c r="N2470">
        <v>1</v>
      </c>
      <c r="O2470">
        <v>6860.18</v>
      </c>
      <c r="P2470" s="1">
        <v>45600.338622685187</v>
      </c>
      <c r="Q2470">
        <v>17</v>
      </c>
      <c r="R2470" t="s">
        <v>74</v>
      </c>
      <c r="S2470">
        <v>1.6144966164758501</v>
      </c>
      <c r="T2470" t="b">
        <v>0</v>
      </c>
      <c r="U2470" t="b">
        <v>0</v>
      </c>
      <c r="V2470" t="b">
        <f t="shared" si="76"/>
        <v>1</v>
      </c>
      <c r="W2470">
        <v>0</v>
      </c>
      <c r="Y2470">
        <f t="shared" si="77"/>
        <v>0</v>
      </c>
    </row>
    <row r="2471" spans="1:25" x14ac:dyDescent="0.3">
      <c r="A2471" t="s">
        <v>4416</v>
      </c>
      <c r="B2471" t="s">
        <v>1644</v>
      </c>
      <c r="C2471">
        <v>179.62</v>
      </c>
      <c r="D2471" s="1">
        <v>45245.66710648148</v>
      </c>
      <c r="E2471" t="s">
        <v>25</v>
      </c>
      <c r="F2471" t="s">
        <v>268</v>
      </c>
      <c r="G2471" t="s">
        <v>1327</v>
      </c>
      <c r="H2471" t="s">
        <v>796</v>
      </c>
      <c r="I2471" t="s">
        <v>997</v>
      </c>
      <c r="J2471" t="s">
        <v>45</v>
      </c>
      <c r="K2471">
        <v>24</v>
      </c>
      <c r="L2471" t="s">
        <v>46</v>
      </c>
      <c r="M2471">
        <v>119</v>
      </c>
      <c r="N2471">
        <v>1</v>
      </c>
      <c r="O2471">
        <v>409.26</v>
      </c>
      <c r="P2471" s="1">
        <v>45600.341458333336</v>
      </c>
      <c r="Q2471">
        <v>16</v>
      </c>
      <c r="R2471" t="s">
        <v>74</v>
      </c>
      <c r="S2471">
        <v>-0.40409418014571702</v>
      </c>
      <c r="T2471" t="b">
        <v>0</v>
      </c>
      <c r="U2471" t="b">
        <v>0</v>
      </c>
      <c r="V2471" t="b">
        <f t="shared" si="76"/>
        <v>1</v>
      </c>
      <c r="W2471">
        <v>0</v>
      </c>
      <c r="Y2471">
        <f t="shared" si="77"/>
        <v>0</v>
      </c>
    </row>
    <row r="2472" spans="1:25" x14ac:dyDescent="0.3">
      <c r="A2472" t="s">
        <v>4417</v>
      </c>
      <c r="B2472" t="s">
        <v>24</v>
      </c>
      <c r="C2472">
        <v>425.91</v>
      </c>
      <c r="D2472" s="1">
        <v>45009.69059027778</v>
      </c>
      <c r="E2472" t="s">
        <v>25</v>
      </c>
      <c r="F2472" t="s">
        <v>405</v>
      </c>
      <c r="G2472" t="s">
        <v>2931</v>
      </c>
      <c r="H2472" t="s">
        <v>806</v>
      </c>
      <c r="I2472" t="s">
        <v>871</v>
      </c>
      <c r="J2472" t="s">
        <v>30</v>
      </c>
      <c r="K2472">
        <v>23</v>
      </c>
      <c r="L2472" t="s">
        <v>46</v>
      </c>
      <c r="M2472">
        <v>47</v>
      </c>
      <c r="N2472">
        <v>1</v>
      </c>
      <c r="O2472">
        <v>383.58</v>
      </c>
      <c r="P2472" s="1">
        <v>45600.338356481479</v>
      </c>
      <c r="Q2472">
        <v>16</v>
      </c>
      <c r="R2472" t="s">
        <v>54</v>
      </c>
      <c r="S2472">
        <v>0.43952003165759301</v>
      </c>
      <c r="T2472" t="b">
        <v>0</v>
      </c>
      <c r="U2472" t="b">
        <v>0</v>
      </c>
      <c r="V2472" t="b">
        <f t="shared" si="76"/>
        <v>1</v>
      </c>
      <c r="W2472">
        <v>0</v>
      </c>
      <c r="Y2472">
        <f t="shared" si="77"/>
        <v>0</v>
      </c>
    </row>
    <row r="2473" spans="1:25" x14ac:dyDescent="0.3">
      <c r="A2473" t="s">
        <v>4418</v>
      </c>
      <c r="B2473" t="s">
        <v>442</v>
      </c>
      <c r="C2473">
        <v>263.33999999999997</v>
      </c>
      <c r="D2473" s="1">
        <v>44993.738668981481</v>
      </c>
      <c r="E2473" t="s">
        <v>25</v>
      </c>
      <c r="F2473" t="s">
        <v>126</v>
      </c>
      <c r="G2473" t="s">
        <v>3398</v>
      </c>
      <c r="H2473" t="s">
        <v>3469</v>
      </c>
      <c r="I2473" t="s">
        <v>833</v>
      </c>
      <c r="J2473" t="s">
        <v>30</v>
      </c>
      <c r="K2473">
        <v>64</v>
      </c>
      <c r="L2473" t="s">
        <v>82</v>
      </c>
      <c r="M2473">
        <v>55</v>
      </c>
      <c r="N2473">
        <v>1</v>
      </c>
      <c r="O2473">
        <v>2411.02</v>
      </c>
      <c r="P2473" s="1">
        <v>45600.341157407405</v>
      </c>
      <c r="Q2473">
        <v>17</v>
      </c>
      <c r="R2473" t="s">
        <v>74</v>
      </c>
      <c r="S2473">
        <v>-0.117329058491678</v>
      </c>
      <c r="T2473" t="b">
        <v>0</v>
      </c>
      <c r="U2473" t="b">
        <v>0</v>
      </c>
      <c r="V2473" t="b">
        <f t="shared" si="76"/>
        <v>1</v>
      </c>
      <c r="W2473">
        <v>0</v>
      </c>
      <c r="Y2473">
        <f t="shared" si="77"/>
        <v>0</v>
      </c>
    </row>
    <row r="2474" spans="1:25" x14ac:dyDescent="0.3">
      <c r="A2474" t="s">
        <v>4419</v>
      </c>
      <c r="B2474" t="s">
        <v>729</v>
      </c>
      <c r="C2474">
        <v>113.03</v>
      </c>
      <c r="D2474" s="1">
        <v>45000.745243055557</v>
      </c>
      <c r="E2474" t="s">
        <v>57</v>
      </c>
      <c r="F2474" t="s">
        <v>268</v>
      </c>
      <c r="G2474" t="s">
        <v>3058</v>
      </c>
      <c r="H2474" t="s">
        <v>2588</v>
      </c>
      <c r="I2474" t="s">
        <v>366</v>
      </c>
      <c r="J2474" t="s">
        <v>45</v>
      </c>
      <c r="K2474">
        <v>36</v>
      </c>
      <c r="L2474" t="s">
        <v>31</v>
      </c>
      <c r="M2474">
        <v>12</v>
      </c>
      <c r="N2474">
        <v>1</v>
      </c>
      <c r="O2474">
        <v>6756.13</v>
      </c>
      <c r="P2474" s="1">
        <v>45600.339444444442</v>
      </c>
      <c r="Q2474">
        <v>17</v>
      </c>
      <c r="R2474" t="s">
        <v>74</v>
      </c>
      <c r="S2474">
        <v>-0.63218411625348603</v>
      </c>
      <c r="T2474" t="b">
        <v>0</v>
      </c>
      <c r="U2474" t="b">
        <v>0</v>
      </c>
      <c r="V2474" t="b">
        <f t="shared" si="76"/>
        <v>1</v>
      </c>
      <c r="W2474">
        <v>0</v>
      </c>
      <c r="Y2474">
        <f t="shared" si="77"/>
        <v>0</v>
      </c>
    </row>
    <row r="2475" spans="1:25" x14ac:dyDescent="0.3">
      <c r="A2475" t="s">
        <v>4420</v>
      </c>
      <c r="B2475" t="s">
        <v>1574</v>
      </c>
      <c r="C2475">
        <v>11.02</v>
      </c>
      <c r="D2475" s="1">
        <v>45138.742627314816</v>
      </c>
      <c r="E2475" t="s">
        <v>25</v>
      </c>
      <c r="F2475" t="s">
        <v>131</v>
      </c>
      <c r="G2475" t="s">
        <v>756</v>
      </c>
      <c r="H2475" t="s">
        <v>274</v>
      </c>
      <c r="I2475" t="s">
        <v>285</v>
      </c>
      <c r="J2475" t="s">
        <v>45</v>
      </c>
      <c r="K2475">
        <v>42</v>
      </c>
      <c r="L2475" t="s">
        <v>31</v>
      </c>
      <c r="M2475">
        <v>42</v>
      </c>
      <c r="N2475">
        <v>1</v>
      </c>
      <c r="O2475">
        <v>7879.66</v>
      </c>
      <c r="P2475" s="1">
        <v>45600.338449074072</v>
      </c>
      <c r="Q2475">
        <v>17</v>
      </c>
      <c r="R2475" t="s">
        <v>47</v>
      </c>
      <c r="S2475">
        <v>-0.98159775767642499</v>
      </c>
      <c r="T2475" t="b">
        <v>0</v>
      </c>
      <c r="U2475" t="b">
        <v>0</v>
      </c>
      <c r="V2475" t="b">
        <f t="shared" si="76"/>
        <v>1</v>
      </c>
      <c r="W2475">
        <v>0</v>
      </c>
      <c r="Y2475">
        <f t="shared" si="77"/>
        <v>0</v>
      </c>
    </row>
    <row r="2476" spans="1:25" x14ac:dyDescent="0.3">
      <c r="A2476" t="s">
        <v>4421</v>
      </c>
      <c r="B2476" t="s">
        <v>2389</v>
      </c>
      <c r="C2476">
        <v>865.17</v>
      </c>
      <c r="D2476" s="1">
        <v>45267.717546296299</v>
      </c>
      <c r="E2476" t="s">
        <v>25</v>
      </c>
      <c r="F2476" t="s">
        <v>35</v>
      </c>
      <c r="G2476" t="s">
        <v>3216</v>
      </c>
      <c r="H2476" t="s">
        <v>628</v>
      </c>
      <c r="I2476" t="s">
        <v>44</v>
      </c>
      <c r="J2476" t="s">
        <v>81</v>
      </c>
      <c r="K2476">
        <v>24</v>
      </c>
      <c r="L2476" t="s">
        <v>46</v>
      </c>
      <c r="M2476">
        <v>161</v>
      </c>
      <c r="N2476">
        <v>1</v>
      </c>
      <c r="O2476">
        <v>9297.5</v>
      </c>
      <c r="P2476" s="1">
        <v>45600.340428240743</v>
      </c>
      <c r="Q2476">
        <v>17</v>
      </c>
      <c r="R2476" t="s">
        <v>141</v>
      </c>
      <c r="S2476">
        <v>1.9441120925480899</v>
      </c>
      <c r="T2476" t="b">
        <v>0</v>
      </c>
      <c r="U2476" t="b">
        <v>0</v>
      </c>
      <c r="V2476" t="b">
        <f t="shared" si="76"/>
        <v>1</v>
      </c>
      <c r="W2476">
        <v>0</v>
      </c>
      <c r="Y2476">
        <f t="shared" si="77"/>
        <v>0</v>
      </c>
    </row>
    <row r="2477" spans="1:25" x14ac:dyDescent="0.3">
      <c r="A2477" t="s">
        <v>4422</v>
      </c>
      <c r="B2477" t="s">
        <v>1997</v>
      </c>
      <c r="C2477">
        <v>152</v>
      </c>
      <c r="D2477" s="1">
        <v>45278.757916666669</v>
      </c>
      <c r="E2477" t="s">
        <v>25</v>
      </c>
      <c r="F2477" t="s">
        <v>98</v>
      </c>
      <c r="G2477" t="s">
        <v>1235</v>
      </c>
      <c r="H2477" t="s">
        <v>2881</v>
      </c>
      <c r="I2477" t="s">
        <v>419</v>
      </c>
      <c r="J2477" t="s">
        <v>30</v>
      </c>
      <c r="K2477">
        <v>51</v>
      </c>
      <c r="L2477" t="s">
        <v>89</v>
      </c>
      <c r="M2477">
        <v>63</v>
      </c>
      <c r="N2477">
        <v>1</v>
      </c>
      <c r="O2477">
        <v>7531.43</v>
      </c>
      <c r="P2477" s="1">
        <v>45600.338483796295</v>
      </c>
      <c r="Q2477">
        <v>18</v>
      </c>
      <c r="R2477" t="s">
        <v>47</v>
      </c>
      <c r="S2477">
        <v>-0.49870063810181497</v>
      </c>
      <c r="T2477" t="b">
        <v>0</v>
      </c>
      <c r="U2477" t="b">
        <v>0</v>
      </c>
      <c r="V2477" t="b">
        <f t="shared" si="76"/>
        <v>1</v>
      </c>
      <c r="W2477">
        <v>0</v>
      </c>
      <c r="Y2477">
        <f t="shared" si="77"/>
        <v>0</v>
      </c>
    </row>
    <row r="2478" spans="1:25" x14ac:dyDescent="0.3">
      <c r="A2478" t="s">
        <v>4423</v>
      </c>
      <c r="B2478" t="s">
        <v>1997</v>
      </c>
      <c r="C2478">
        <v>270.39</v>
      </c>
      <c r="D2478" s="1">
        <v>45089.729780092595</v>
      </c>
      <c r="E2478" t="s">
        <v>25</v>
      </c>
      <c r="F2478" t="s">
        <v>405</v>
      </c>
      <c r="G2478" t="s">
        <v>952</v>
      </c>
      <c r="H2478" t="s">
        <v>531</v>
      </c>
      <c r="I2478" t="s">
        <v>611</v>
      </c>
      <c r="J2478" t="s">
        <v>30</v>
      </c>
      <c r="K2478">
        <v>25</v>
      </c>
      <c r="L2478" t="s">
        <v>46</v>
      </c>
      <c r="M2478">
        <v>104</v>
      </c>
      <c r="N2478">
        <v>1</v>
      </c>
      <c r="O2478">
        <v>899.15</v>
      </c>
      <c r="P2478" s="1">
        <v>45600.338645833333</v>
      </c>
      <c r="Q2478">
        <v>17</v>
      </c>
      <c r="R2478" t="s">
        <v>47</v>
      </c>
      <c r="S2478">
        <v>-9.3180777224825095E-2</v>
      </c>
      <c r="T2478" t="b">
        <v>0</v>
      </c>
      <c r="U2478" t="b">
        <v>0</v>
      </c>
      <c r="V2478" t="b">
        <f t="shared" si="76"/>
        <v>1</v>
      </c>
      <c r="W2478">
        <v>0</v>
      </c>
      <c r="Y2478">
        <f t="shared" si="77"/>
        <v>0</v>
      </c>
    </row>
    <row r="2479" spans="1:25" x14ac:dyDescent="0.3">
      <c r="A2479" t="s">
        <v>4424</v>
      </c>
      <c r="B2479" t="s">
        <v>3149</v>
      </c>
      <c r="C2479">
        <v>246.41</v>
      </c>
      <c r="D2479" s="1">
        <v>45072.715740740743</v>
      </c>
      <c r="E2479" t="s">
        <v>25</v>
      </c>
      <c r="F2479" t="s">
        <v>85</v>
      </c>
      <c r="G2479" t="s">
        <v>1597</v>
      </c>
      <c r="H2479" t="s">
        <v>1564</v>
      </c>
      <c r="I2479" t="s">
        <v>371</v>
      </c>
      <c r="J2479" t="s">
        <v>30</v>
      </c>
      <c r="K2479">
        <v>54</v>
      </c>
      <c r="L2479" t="s">
        <v>82</v>
      </c>
      <c r="M2479">
        <v>23</v>
      </c>
      <c r="N2479">
        <v>1</v>
      </c>
      <c r="O2479">
        <v>1431.6</v>
      </c>
      <c r="P2479" s="1">
        <v>45600.341805555552</v>
      </c>
      <c r="Q2479">
        <v>17</v>
      </c>
      <c r="R2479" t="s">
        <v>54</v>
      </c>
      <c r="S2479">
        <v>-0.175319186413356</v>
      </c>
      <c r="T2479" t="b">
        <v>0</v>
      </c>
      <c r="U2479" t="b">
        <v>0</v>
      </c>
      <c r="V2479" t="b">
        <f t="shared" si="76"/>
        <v>1</v>
      </c>
      <c r="W2479">
        <v>0</v>
      </c>
      <c r="Y2479">
        <f t="shared" si="77"/>
        <v>0</v>
      </c>
    </row>
    <row r="2480" spans="1:25" x14ac:dyDescent="0.3">
      <c r="A2480" t="s">
        <v>4425</v>
      </c>
      <c r="B2480" t="s">
        <v>2016</v>
      </c>
      <c r="C2480">
        <v>336.84</v>
      </c>
      <c r="D2480" s="1">
        <v>44992.72552083333</v>
      </c>
      <c r="E2480" t="s">
        <v>25</v>
      </c>
      <c r="F2480" t="s">
        <v>466</v>
      </c>
      <c r="G2480" t="s">
        <v>1910</v>
      </c>
      <c r="H2480" t="s">
        <v>3223</v>
      </c>
      <c r="I2480" t="s">
        <v>101</v>
      </c>
      <c r="J2480" t="s">
        <v>30</v>
      </c>
      <c r="K2480">
        <v>22</v>
      </c>
      <c r="L2480" t="s">
        <v>46</v>
      </c>
      <c r="M2480">
        <v>100</v>
      </c>
      <c r="N2480">
        <v>1</v>
      </c>
      <c r="O2480">
        <v>4500.26</v>
      </c>
      <c r="P2480" s="1">
        <v>45600.340254629627</v>
      </c>
      <c r="Q2480">
        <v>17</v>
      </c>
      <c r="R2480" t="s">
        <v>32</v>
      </c>
      <c r="S2480">
        <v>0.13442961854572899</v>
      </c>
      <c r="T2480" t="b">
        <v>0</v>
      </c>
      <c r="U2480" t="b">
        <v>0</v>
      </c>
      <c r="V2480" t="b">
        <f t="shared" si="76"/>
        <v>1</v>
      </c>
      <c r="W2480">
        <v>0</v>
      </c>
      <c r="Y2480">
        <f t="shared" si="77"/>
        <v>0</v>
      </c>
    </row>
    <row r="2481" spans="1:25" x14ac:dyDescent="0.3">
      <c r="A2481" t="s">
        <v>4426</v>
      </c>
      <c r="B2481" t="s">
        <v>729</v>
      </c>
      <c r="C2481">
        <v>261.45</v>
      </c>
      <c r="D2481" s="1">
        <v>45226.709791666668</v>
      </c>
      <c r="E2481" t="s">
        <v>57</v>
      </c>
      <c r="F2481" t="s">
        <v>64</v>
      </c>
      <c r="G2481" t="s">
        <v>2346</v>
      </c>
      <c r="H2481" t="s">
        <v>2686</v>
      </c>
      <c r="I2481" t="s">
        <v>371</v>
      </c>
      <c r="J2481" t="s">
        <v>45</v>
      </c>
      <c r="K2481">
        <v>50</v>
      </c>
      <c r="L2481" t="s">
        <v>89</v>
      </c>
      <c r="M2481">
        <v>96</v>
      </c>
      <c r="N2481">
        <v>1</v>
      </c>
      <c r="O2481">
        <v>6735.74</v>
      </c>
      <c r="P2481" s="1">
        <v>45600.33971064815</v>
      </c>
      <c r="Q2481">
        <v>17</v>
      </c>
      <c r="R2481" t="s">
        <v>54</v>
      </c>
      <c r="S2481">
        <v>-0.123802853044069</v>
      </c>
      <c r="T2481" t="b">
        <v>0</v>
      </c>
      <c r="U2481" t="b">
        <v>0</v>
      </c>
      <c r="V2481" t="b">
        <f t="shared" si="76"/>
        <v>1</v>
      </c>
      <c r="W2481">
        <v>0</v>
      </c>
      <c r="Y2481">
        <f t="shared" si="77"/>
        <v>0</v>
      </c>
    </row>
    <row r="2482" spans="1:25" x14ac:dyDescent="0.3">
      <c r="A2482" t="s">
        <v>4427</v>
      </c>
      <c r="B2482" t="s">
        <v>49</v>
      </c>
      <c r="C2482">
        <v>99.98</v>
      </c>
      <c r="D2482" s="1">
        <v>45015.702835648146</v>
      </c>
      <c r="E2482" t="s">
        <v>57</v>
      </c>
      <c r="F2482" t="s">
        <v>466</v>
      </c>
      <c r="G2482" t="s">
        <v>2081</v>
      </c>
      <c r="H2482" t="s">
        <v>4270</v>
      </c>
      <c r="I2482" t="s">
        <v>495</v>
      </c>
      <c r="J2482" t="s">
        <v>45</v>
      </c>
      <c r="K2482">
        <v>73</v>
      </c>
      <c r="L2482" t="s">
        <v>82</v>
      </c>
      <c r="M2482">
        <v>152</v>
      </c>
      <c r="N2482">
        <v>1</v>
      </c>
      <c r="O2482">
        <v>3037.97</v>
      </c>
      <c r="P2482" s="1">
        <v>45600.338877314818</v>
      </c>
      <c r="Q2482">
        <v>16</v>
      </c>
      <c r="R2482" t="s">
        <v>141</v>
      </c>
      <c r="S2482">
        <v>-0.67688412625808703</v>
      </c>
      <c r="T2482" t="b">
        <v>0</v>
      </c>
      <c r="U2482" t="b">
        <v>0</v>
      </c>
      <c r="V2482" t="b">
        <f t="shared" si="76"/>
        <v>1</v>
      </c>
      <c r="W2482">
        <v>0</v>
      </c>
      <c r="Y2482">
        <f t="shared" si="77"/>
        <v>0</v>
      </c>
    </row>
    <row r="2483" spans="1:25" x14ac:dyDescent="0.3">
      <c r="A2483" t="s">
        <v>4428</v>
      </c>
      <c r="B2483" t="s">
        <v>130</v>
      </c>
      <c r="C2483">
        <v>400.69</v>
      </c>
      <c r="D2483" s="1">
        <v>45019.680543981478</v>
      </c>
      <c r="E2483" t="s">
        <v>25</v>
      </c>
      <c r="F2483" t="s">
        <v>159</v>
      </c>
      <c r="G2483" t="s">
        <v>3915</v>
      </c>
      <c r="H2483" t="s">
        <v>1215</v>
      </c>
      <c r="I2483" t="s">
        <v>399</v>
      </c>
      <c r="J2483" t="s">
        <v>45</v>
      </c>
      <c r="K2483">
        <v>32</v>
      </c>
      <c r="L2483" t="s">
        <v>89</v>
      </c>
      <c r="M2483">
        <v>26</v>
      </c>
      <c r="N2483">
        <v>1</v>
      </c>
      <c r="O2483">
        <v>9040.33</v>
      </c>
      <c r="P2483" s="1">
        <v>45600.338854166665</v>
      </c>
      <c r="Q2483">
        <v>16</v>
      </c>
      <c r="R2483" t="s">
        <v>47</v>
      </c>
      <c r="S2483">
        <v>0.35313426519659402</v>
      </c>
      <c r="T2483" t="b">
        <v>0</v>
      </c>
      <c r="U2483" t="b">
        <v>0</v>
      </c>
      <c r="V2483" t="b">
        <f t="shared" si="76"/>
        <v>1</v>
      </c>
      <c r="W2483">
        <v>0</v>
      </c>
      <c r="Y2483">
        <f t="shared" si="77"/>
        <v>0</v>
      </c>
    </row>
    <row r="2484" spans="1:25" x14ac:dyDescent="0.3">
      <c r="A2484" t="s">
        <v>4429</v>
      </c>
      <c r="B2484" t="s">
        <v>2902</v>
      </c>
      <c r="C2484">
        <v>411.47</v>
      </c>
      <c r="D2484" s="1">
        <v>45285.684513888889</v>
      </c>
      <c r="E2484" t="s">
        <v>25</v>
      </c>
      <c r="F2484" t="s">
        <v>170</v>
      </c>
      <c r="G2484" t="s">
        <v>1474</v>
      </c>
      <c r="H2484" t="s">
        <v>203</v>
      </c>
      <c r="I2484" t="s">
        <v>1027</v>
      </c>
      <c r="J2484" t="s">
        <v>30</v>
      </c>
      <c r="K2484">
        <v>26</v>
      </c>
      <c r="L2484" t="s">
        <v>46</v>
      </c>
      <c r="M2484">
        <v>120</v>
      </c>
      <c r="N2484">
        <v>1</v>
      </c>
      <c r="O2484">
        <v>796.63</v>
      </c>
      <c r="P2484" s="1">
        <v>45600.341099537036</v>
      </c>
      <c r="Q2484">
        <v>16</v>
      </c>
      <c r="R2484" t="s">
        <v>47</v>
      </c>
      <c r="S2484">
        <v>0.39005887116208099</v>
      </c>
      <c r="T2484" t="b">
        <v>0</v>
      </c>
      <c r="U2484" t="b">
        <v>0</v>
      </c>
      <c r="V2484" t="b">
        <f t="shared" si="76"/>
        <v>1</v>
      </c>
      <c r="W2484">
        <v>0</v>
      </c>
      <c r="Y2484">
        <f t="shared" si="77"/>
        <v>0</v>
      </c>
    </row>
    <row r="2485" spans="1:25" x14ac:dyDescent="0.3">
      <c r="A2485" t="s">
        <v>4430</v>
      </c>
      <c r="B2485" t="s">
        <v>2480</v>
      </c>
      <c r="C2485">
        <v>204.63</v>
      </c>
      <c r="D2485" s="1">
        <v>45098.741851851853</v>
      </c>
      <c r="E2485" t="s">
        <v>25</v>
      </c>
      <c r="F2485" t="s">
        <v>159</v>
      </c>
      <c r="G2485" t="s">
        <v>3608</v>
      </c>
      <c r="H2485" t="s">
        <v>1518</v>
      </c>
      <c r="I2485" t="s">
        <v>290</v>
      </c>
      <c r="J2485" t="s">
        <v>45</v>
      </c>
      <c r="K2485">
        <v>52</v>
      </c>
      <c r="L2485" t="s">
        <v>89</v>
      </c>
      <c r="M2485">
        <v>92</v>
      </c>
      <c r="N2485">
        <v>1</v>
      </c>
      <c r="O2485">
        <v>9199.52</v>
      </c>
      <c r="P2485" s="1">
        <v>45600.340208333335</v>
      </c>
      <c r="Q2485">
        <v>17</v>
      </c>
      <c r="R2485" t="s">
        <v>74</v>
      </c>
      <c r="S2485">
        <v>-0.318427724190539</v>
      </c>
      <c r="T2485" t="b">
        <v>0</v>
      </c>
      <c r="U2485" t="b">
        <v>0</v>
      </c>
      <c r="V2485" t="b">
        <f t="shared" si="76"/>
        <v>1</v>
      </c>
      <c r="W2485">
        <v>0</v>
      </c>
      <c r="Y2485">
        <f t="shared" si="77"/>
        <v>0</v>
      </c>
    </row>
    <row r="2486" spans="1:25" x14ac:dyDescent="0.3">
      <c r="A2486" t="s">
        <v>4431</v>
      </c>
      <c r="B2486" t="s">
        <v>3367</v>
      </c>
      <c r="C2486">
        <v>421.56</v>
      </c>
      <c r="D2486" s="1">
        <v>45125.747858796298</v>
      </c>
      <c r="E2486" t="s">
        <v>25</v>
      </c>
      <c r="F2486" t="s">
        <v>236</v>
      </c>
      <c r="G2486" t="s">
        <v>1102</v>
      </c>
      <c r="H2486" t="s">
        <v>1221</v>
      </c>
      <c r="I2486" t="s">
        <v>491</v>
      </c>
      <c r="J2486" t="s">
        <v>45</v>
      </c>
      <c r="K2486">
        <v>53</v>
      </c>
      <c r="L2486" t="s">
        <v>89</v>
      </c>
      <c r="M2486">
        <v>144</v>
      </c>
      <c r="N2486">
        <v>1</v>
      </c>
      <c r="O2486">
        <v>8037.87</v>
      </c>
      <c r="P2486" s="1">
        <v>45600.340949074074</v>
      </c>
      <c r="Q2486">
        <v>17</v>
      </c>
      <c r="R2486" t="s">
        <v>32</v>
      </c>
      <c r="S2486">
        <v>0.424620028322726</v>
      </c>
      <c r="T2486" t="b">
        <v>0</v>
      </c>
      <c r="U2486" t="b">
        <v>0</v>
      </c>
      <c r="V2486" t="b">
        <f t="shared" si="76"/>
        <v>1</v>
      </c>
      <c r="W2486">
        <v>0</v>
      </c>
      <c r="Y2486">
        <f t="shared" si="77"/>
        <v>0</v>
      </c>
    </row>
    <row r="2487" spans="1:25" x14ac:dyDescent="0.3">
      <c r="A2487" t="s">
        <v>4432</v>
      </c>
      <c r="B2487" t="s">
        <v>1902</v>
      </c>
      <c r="C2487">
        <v>193.38</v>
      </c>
      <c r="D2487" s="1">
        <v>45127.670266203706</v>
      </c>
      <c r="E2487" t="s">
        <v>25</v>
      </c>
      <c r="F2487" t="s">
        <v>104</v>
      </c>
      <c r="G2487" t="s">
        <v>1906</v>
      </c>
      <c r="H2487" t="s">
        <v>946</v>
      </c>
      <c r="I2487" t="s">
        <v>866</v>
      </c>
      <c r="J2487" t="s">
        <v>30</v>
      </c>
      <c r="K2487">
        <v>18</v>
      </c>
      <c r="L2487" t="s">
        <v>46</v>
      </c>
      <c r="M2487">
        <v>285</v>
      </c>
      <c r="N2487">
        <v>1</v>
      </c>
      <c r="O2487">
        <v>1081.79</v>
      </c>
      <c r="P2487" s="1">
        <v>45600.340925925928</v>
      </c>
      <c r="Q2487">
        <v>16</v>
      </c>
      <c r="R2487" t="s">
        <v>141</v>
      </c>
      <c r="S2487">
        <v>-0.35696221557381502</v>
      </c>
      <c r="T2487" t="b">
        <v>0</v>
      </c>
      <c r="U2487" t="b">
        <v>0</v>
      </c>
      <c r="V2487" t="b">
        <f t="shared" si="76"/>
        <v>1</v>
      </c>
      <c r="W2487">
        <v>0</v>
      </c>
      <c r="Y2487">
        <f t="shared" si="77"/>
        <v>0</v>
      </c>
    </row>
    <row r="2488" spans="1:25" x14ac:dyDescent="0.3">
      <c r="A2488" t="s">
        <v>4433</v>
      </c>
      <c r="B2488" t="s">
        <v>235</v>
      </c>
      <c r="C2488">
        <v>377.04</v>
      </c>
      <c r="D2488" s="1">
        <v>45001.702824074076</v>
      </c>
      <c r="E2488" t="s">
        <v>25</v>
      </c>
      <c r="F2488" t="s">
        <v>278</v>
      </c>
      <c r="G2488" t="s">
        <v>206</v>
      </c>
      <c r="H2488" t="s">
        <v>4170</v>
      </c>
      <c r="I2488" t="s">
        <v>67</v>
      </c>
      <c r="J2488" t="s">
        <v>30</v>
      </c>
      <c r="K2488">
        <v>34</v>
      </c>
      <c r="L2488" t="s">
        <v>89</v>
      </c>
      <c r="M2488">
        <v>64</v>
      </c>
      <c r="N2488">
        <v>1</v>
      </c>
      <c r="O2488">
        <v>3812.87</v>
      </c>
      <c r="P2488" s="1">
        <v>45600.340208333335</v>
      </c>
      <c r="Q2488">
        <v>16</v>
      </c>
      <c r="R2488" t="s">
        <v>141</v>
      </c>
      <c r="S2488">
        <v>0.272126201088639</v>
      </c>
      <c r="T2488" t="b">
        <v>0</v>
      </c>
      <c r="U2488" t="b">
        <v>0</v>
      </c>
      <c r="V2488" t="b">
        <f t="shared" si="76"/>
        <v>1</v>
      </c>
      <c r="W2488">
        <v>0</v>
      </c>
      <c r="Y2488">
        <f t="shared" si="77"/>
        <v>0</v>
      </c>
    </row>
    <row r="2489" spans="1:25" x14ac:dyDescent="0.3">
      <c r="A2489" t="s">
        <v>4434</v>
      </c>
      <c r="B2489" t="s">
        <v>1778</v>
      </c>
      <c r="C2489">
        <v>54.1</v>
      </c>
      <c r="D2489" s="1">
        <v>45065.741446759261</v>
      </c>
      <c r="E2489" t="s">
        <v>57</v>
      </c>
      <c r="F2489" t="s">
        <v>401</v>
      </c>
      <c r="G2489" t="s">
        <v>1586</v>
      </c>
      <c r="H2489" t="s">
        <v>3551</v>
      </c>
      <c r="I2489" t="s">
        <v>687</v>
      </c>
      <c r="J2489" t="s">
        <v>81</v>
      </c>
      <c r="K2489">
        <v>28</v>
      </c>
      <c r="L2489" t="s">
        <v>89</v>
      </c>
      <c r="M2489">
        <v>17</v>
      </c>
      <c r="N2489">
        <v>1</v>
      </c>
      <c r="O2489">
        <v>940.91</v>
      </c>
      <c r="P2489" s="1">
        <v>45600.338182870371</v>
      </c>
      <c r="Q2489">
        <v>17</v>
      </c>
      <c r="R2489" t="s">
        <v>54</v>
      </c>
      <c r="S2489">
        <v>-0.83403634533939697</v>
      </c>
      <c r="T2489" t="b">
        <v>0</v>
      </c>
      <c r="U2489" t="b">
        <v>0</v>
      </c>
      <c r="V2489" t="b">
        <f t="shared" si="76"/>
        <v>1</v>
      </c>
      <c r="W2489">
        <v>0</v>
      </c>
      <c r="Y2489">
        <f t="shared" si="77"/>
        <v>0</v>
      </c>
    </row>
    <row r="2490" spans="1:25" x14ac:dyDescent="0.3">
      <c r="A2490" t="s">
        <v>4435</v>
      </c>
      <c r="B2490" t="s">
        <v>602</v>
      </c>
      <c r="C2490">
        <v>18.100000000000001</v>
      </c>
      <c r="D2490" s="1">
        <v>45030.689733796295</v>
      </c>
      <c r="E2490" t="s">
        <v>25</v>
      </c>
      <c r="F2490" t="s">
        <v>120</v>
      </c>
      <c r="G2490" t="s">
        <v>1941</v>
      </c>
      <c r="H2490" t="s">
        <v>841</v>
      </c>
      <c r="I2490" t="s">
        <v>80</v>
      </c>
      <c r="J2490" t="s">
        <v>30</v>
      </c>
      <c r="K2490">
        <v>57</v>
      </c>
      <c r="L2490" t="s">
        <v>82</v>
      </c>
      <c r="M2490">
        <v>66</v>
      </c>
      <c r="N2490">
        <v>1</v>
      </c>
      <c r="O2490">
        <v>6474.34</v>
      </c>
      <c r="P2490" s="1">
        <v>45600.33797453704</v>
      </c>
      <c r="Q2490">
        <v>16</v>
      </c>
      <c r="R2490" t="s">
        <v>54</v>
      </c>
      <c r="S2490">
        <v>-0.95734671776588298</v>
      </c>
      <c r="T2490" t="b">
        <v>0</v>
      </c>
      <c r="U2490" t="b">
        <v>0</v>
      </c>
      <c r="V2490" t="b">
        <f t="shared" si="76"/>
        <v>1</v>
      </c>
      <c r="W2490">
        <v>0</v>
      </c>
      <c r="Y2490">
        <f t="shared" si="77"/>
        <v>0</v>
      </c>
    </row>
    <row r="2491" spans="1:25" x14ac:dyDescent="0.3">
      <c r="A2491" t="s">
        <v>4436</v>
      </c>
      <c r="B2491" t="s">
        <v>1438</v>
      </c>
      <c r="C2491">
        <v>408.62</v>
      </c>
      <c r="D2491" s="1">
        <v>45068.737361111111</v>
      </c>
      <c r="E2491" t="s">
        <v>57</v>
      </c>
      <c r="F2491" t="s">
        <v>170</v>
      </c>
      <c r="G2491" t="s">
        <v>390</v>
      </c>
      <c r="H2491" t="s">
        <v>2788</v>
      </c>
      <c r="I2491" t="s">
        <v>1050</v>
      </c>
      <c r="J2491" t="s">
        <v>45</v>
      </c>
      <c r="K2491">
        <v>48</v>
      </c>
      <c r="L2491" t="s">
        <v>89</v>
      </c>
      <c r="M2491">
        <v>159</v>
      </c>
      <c r="N2491">
        <v>1</v>
      </c>
      <c r="O2491">
        <v>2498.48</v>
      </c>
      <c r="P2491" s="1">
        <v>45600.338287037041</v>
      </c>
      <c r="Q2491">
        <v>17</v>
      </c>
      <c r="R2491" t="s">
        <v>47</v>
      </c>
      <c r="S2491">
        <v>0.38029680001165</v>
      </c>
      <c r="T2491" t="b">
        <v>0</v>
      </c>
      <c r="U2491" t="b">
        <v>0</v>
      </c>
      <c r="V2491" t="b">
        <f t="shared" si="76"/>
        <v>1</v>
      </c>
      <c r="W2491">
        <v>0</v>
      </c>
      <c r="Y2491">
        <f t="shared" si="77"/>
        <v>0</v>
      </c>
    </row>
    <row r="2492" spans="1:25" x14ac:dyDescent="0.3">
      <c r="A2492" t="s">
        <v>4437</v>
      </c>
      <c r="B2492" t="s">
        <v>409</v>
      </c>
      <c r="C2492">
        <v>162.1</v>
      </c>
      <c r="D2492" s="1">
        <v>45264.676469907405</v>
      </c>
      <c r="E2492" t="s">
        <v>25</v>
      </c>
      <c r="F2492" t="s">
        <v>210</v>
      </c>
      <c r="G2492" t="s">
        <v>1264</v>
      </c>
      <c r="H2492" t="s">
        <v>2536</v>
      </c>
      <c r="I2492" t="s">
        <v>775</v>
      </c>
      <c r="J2492" t="s">
        <v>81</v>
      </c>
      <c r="K2492">
        <v>64</v>
      </c>
      <c r="L2492" t="s">
        <v>31</v>
      </c>
      <c r="M2492">
        <v>221</v>
      </c>
      <c r="N2492">
        <v>1</v>
      </c>
      <c r="O2492">
        <v>9578.74</v>
      </c>
      <c r="P2492" s="1">
        <v>45600.341377314813</v>
      </c>
      <c r="Q2492">
        <v>16</v>
      </c>
      <c r="R2492" t="s">
        <v>47</v>
      </c>
      <c r="S2492">
        <v>-0.46410522805993998</v>
      </c>
      <c r="T2492" t="b">
        <v>0</v>
      </c>
      <c r="U2492" t="b">
        <v>0</v>
      </c>
      <c r="V2492" t="b">
        <f t="shared" si="76"/>
        <v>1</v>
      </c>
      <c r="W2492">
        <v>0</v>
      </c>
      <c r="Y2492">
        <f t="shared" si="77"/>
        <v>0</v>
      </c>
    </row>
    <row r="2493" spans="1:25" x14ac:dyDescent="0.3">
      <c r="A2493" t="s">
        <v>4438</v>
      </c>
      <c r="B2493" t="s">
        <v>1302</v>
      </c>
      <c r="C2493">
        <v>165.31</v>
      </c>
      <c r="D2493" s="1">
        <v>45019.670486111114</v>
      </c>
      <c r="E2493" t="s">
        <v>25</v>
      </c>
      <c r="F2493" t="s">
        <v>401</v>
      </c>
      <c r="G2493" t="s">
        <v>1884</v>
      </c>
      <c r="H2493" t="s">
        <v>1379</v>
      </c>
      <c r="I2493" t="s">
        <v>140</v>
      </c>
      <c r="J2493" t="s">
        <v>30</v>
      </c>
      <c r="K2493">
        <v>49</v>
      </c>
      <c r="L2493" t="s">
        <v>31</v>
      </c>
      <c r="M2493">
        <v>28</v>
      </c>
      <c r="N2493">
        <v>1</v>
      </c>
      <c r="O2493">
        <v>7346.66</v>
      </c>
      <c r="P2493" s="1">
        <v>45600.340416666666</v>
      </c>
      <c r="Q2493">
        <v>16</v>
      </c>
      <c r="R2493" t="s">
        <v>47</v>
      </c>
      <c r="S2493">
        <v>-0.453110053185245</v>
      </c>
      <c r="T2493" t="b">
        <v>0</v>
      </c>
      <c r="U2493" t="b">
        <v>0</v>
      </c>
      <c r="V2493" t="b">
        <f t="shared" si="76"/>
        <v>1</v>
      </c>
      <c r="W2493">
        <v>0</v>
      </c>
      <c r="Y2493">
        <f t="shared" si="77"/>
        <v>0</v>
      </c>
    </row>
    <row r="2494" spans="1:25" x14ac:dyDescent="0.3">
      <c r="A2494" t="s">
        <v>4439</v>
      </c>
      <c r="B2494" t="s">
        <v>190</v>
      </c>
      <c r="C2494">
        <v>267.48</v>
      </c>
      <c r="D2494" s="1">
        <v>44956.712337962963</v>
      </c>
      <c r="E2494" t="s">
        <v>25</v>
      </c>
      <c r="F2494" t="s">
        <v>98</v>
      </c>
      <c r="G2494" t="s">
        <v>2228</v>
      </c>
      <c r="H2494" t="s">
        <v>854</v>
      </c>
      <c r="I2494" t="s">
        <v>53</v>
      </c>
      <c r="J2494" t="s">
        <v>30</v>
      </c>
      <c r="K2494">
        <v>21</v>
      </c>
      <c r="L2494" t="s">
        <v>46</v>
      </c>
      <c r="M2494">
        <v>159</v>
      </c>
      <c r="N2494">
        <v>2</v>
      </c>
      <c r="O2494">
        <v>811.86</v>
      </c>
      <c r="P2494" s="1">
        <v>45600.339953703704</v>
      </c>
      <c r="Q2494">
        <v>17</v>
      </c>
      <c r="R2494" t="s">
        <v>47</v>
      </c>
      <c r="S2494">
        <v>-0.103148365662632</v>
      </c>
      <c r="T2494" t="b">
        <v>0</v>
      </c>
      <c r="U2494" t="b">
        <v>1</v>
      </c>
      <c r="V2494" t="b">
        <f t="shared" si="76"/>
        <v>1</v>
      </c>
      <c r="W2494">
        <v>1</v>
      </c>
      <c r="Y2494">
        <f t="shared" si="77"/>
        <v>0</v>
      </c>
    </row>
    <row r="2495" spans="1:25" x14ac:dyDescent="0.3">
      <c r="A2495" t="s">
        <v>4440</v>
      </c>
      <c r="B2495" t="s">
        <v>700</v>
      </c>
      <c r="C2495">
        <v>856.9</v>
      </c>
      <c r="D2495" s="1">
        <v>45002.674016203702</v>
      </c>
      <c r="E2495" t="s">
        <v>25</v>
      </c>
      <c r="F2495" t="s">
        <v>216</v>
      </c>
      <c r="G2495" t="s">
        <v>575</v>
      </c>
      <c r="H2495" t="s">
        <v>2051</v>
      </c>
      <c r="I2495" t="s">
        <v>782</v>
      </c>
      <c r="J2495" t="s">
        <v>81</v>
      </c>
      <c r="K2495">
        <v>36</v>
      </c>
      <c r="L2495" t="s">
        <v>89</v>
      </c>
      <c r="M2495">
        <v>150</v>
      </c>
      <c r="N2495">
        <v>1</v>
      </c>
      <c r="O2495">
        <v>8579.69</v>
      </c>
      <c r="P2495" s="1">
        <v>45600.340185185189</v>
      </c>
      <c r="Q2495">
        <v>16</v>
      </c>
      <c r="R2495" t="s">
        <v>54</v>
      </c>
      <c r="S2495">
        <v>1.91578495977123</v>
      </c>
      <c r="T2495" t="b">
        <v>0</v>
      </c>
      <c r="U2495" t="b">
        <v>0</v>
      </c>
      <c r="V2495" t="b">
        <f t="shared" si="76"/>
        <v>1</v>
      </c>
      <c r="W2495">
        <v>0</v>
      </c>
      <c r="Y2495">
        <f t="shared" si="77"/>
        <v>0</v>
      </c>
    </row>
    <row r="2496" spans="1:25" x14ac:dyDescent="0.3">
      <c r="A2496" t="s">
        <v>4441</v>
      </c>
      <c r="B2496" t="s">
        <v>1381</v>
      </c>
      <c r="C2496">
        <v>433.9</v>
      </c>
      <c r="D2496" s="1">
        <v>44995.735393518517</v>
      </c>
      <c r="E2496" t="s">
        <v>25</v>
      </c>
      <c r="F2496" t="s">
        <v>98</v>
      </c>
      <c r="G2496" t="s">
        <v>406</v>
      </c>
      <c r="H2496" t="s">
        <v>1262</v>
      </c>
      <c r="I2496" t="s">
        <v>772</v>
      </c>
      <c r="J2496" t="s">
        <v>45</v>
      </c>
      <c r="K2496">
        <v>65</v>
      </c>
      <c r="L2496" t="s">
        <v>31</v>
      </c>
      <c r="M2496">
        <v>37</v>
      </c>
      <c r="N2496">
        <v>1</v>
      </c>
      <c r="O2496">
        <v>9013.1</v>
      </c>
      <c r="P2496" s="1">
        <v>45600.338703703703</v>
      </c>
      <c r="Q2496">
        <v>17</v>
      </c>
      <c r="R2496" t="s">
        <v>54</v>
      </c>
      <c r="S2496">
        <v>0.466888083760027</v>
      </c>
      <c r="T2496" t="b">
        <v>0</v>
      </c>
      <c r="U2496" t="b">
        <v>0</v>
      </c>
      <c r="V2496" t="b">
        <f t="shared" si="76"/>
        <v>1</v>
      </c>
      <c r="W2496">
        <v>0</v>
      </c>
      <c r="Y2496">
        <f t="shared" si="77"/>
        <v>0</v>
      </c>
    </row>
    <row r="2497" spans="1:25" x14ac:dyDescent="0.3">
      <c r="A2497" t="s">
        <v>4442</v>
      </c>
      <c r="B2497" t="s">
        <v>755</v>
      </c>
      <c r="C2497">
        <v>271.22000000000003</v>
      </c>
      <c r="D2497" s="1">
        <v>45019.6721412037</v>
      </c>
      <c r="E2497" t="s">
        <v>57</v>
      </c>
      <c r="F2497" t="s">
        <v>120</v>
      </c>
      <c r="G2497" t="s">
        <v>639</v>
      </c>
      <c r="H2497" t="s">
        <v>1354</v>
      </c>
      <c r="I2497" t="s">
        <v>695</v>
      </c>
      <c r="J2497" t="s">
        <v>30</v>
      </c>
      <c r="K2497">
        <v>45</v>
      </c>
      <c r="L2497" t="s">
        <v>31</v>
      </c>
      <c r="M2497">
        <v>87</v>
      </c>
      <c r="N2497">
        <v>1</v>
      </c>
      <c r="O2497">
        <v>6863.02</v>
      </c>
      <c r="P2497" s="1">
        <v>45600.338101851848</v>
      </c>
      <c r="Q2497">
        <v>16</v>
      </c>
      <c r="R2497" t="s">
        <v>47</v>
      </c>
      <c r="S2497">
        <v>-9.0337788082769793E-2</v>
      </c>
      <c r="T2497" t="b">
        <v>0</v>
      </c>
      <c r="U2497" t="b">
        <v>0</v>
      </c>
      <c r="V2497" t="b">
        <f t="shared" si="76"/>
        <v>1</v>
      </c>
      <c r="W2497">
        <v>0</v>
      </c>
      <c r="Y2497">
        <f t="shared" si="77"/>
        <v>0</v>
      </c>
    </row>
    <row r="2498" spans="1:25" x14ac:dyDescent="0.3">
      <c r="A2498" t="s">
        <v>4443</v>
      </c>
      <c r="B2498" t="s">
        <v>2110</v>
      </c>
      <c r="C2498">
        <v>307.68</v>
      </c>
      <c r="D2498" s="1">
        <v>44944.723229166666</v>
      </c>
      <c r="E2498" t="s">
        <v>57</v>
      </c>
      <c r="F2498" t="s">
        <v>85</v>
      </c>
      <c r="G2498" t="s">
        <v>1492</v>
      </c>
      <c r="H2498" t="s">
        <v>2987</v>
      </c>
      <c r="I2498" t="s">
        <v>1537</v>
      </c>
      <c r="J2498" t="s">
        <v>45</v>
      </c>
      <c r="K2498">
        <v>75</v>
      </c>
      <c r="L2498" t="s">
        <v>82</v>
      </c>
      <c r="M2498">
        <v>162</v>
      </c>
      <c r="N2498">
        <v>1</v>
      </c>
      <c r="O2498">
        <v>2052.84</v>
      </c>
      <c r="P2498" s="1">
        <v>45600.34170138889</v>
      </c>
      <c r="Q2498">
        <v>17</v>
      </c>
      <c r="R2498" t="s">
        <v>74</v>
      </c>
      <c r="S2498">
        <v>3.4548216880276497E-2</v>
      </c>
      <c r="T2498" t="b">
        <v>0</v>
      </c>
      <c r="U2498" t="b">
        <v>0</v>
      </c>
      <c r="V2498" t="b">
        <f t="shared" si="76"/>
        <v>1</v>
      </c>
      <c r="W2498">
        <v>0</v>
      </c>
      <c r="Y2498">
        <f t="shared" si="77"/>
        <v>0</v>
      </c>
    </row>
    <row r="2499" spans="1:25" x14ac:dyDescent="0.3">
      <c r="A2499" t="s">
        <v>4444</v>
      </c>
      <c r="B2499" t="s">
        <v>1827</v>
      </c>
      <c r="C2499">
        <v>348.17</v>
      </c>
      <c r="D2499" s="1">
        <v>45056.747581018521</v>
      </c>
      <c r="E2499" t="s">
        <v>25</v>
      </c>
      <c r="F2499" t="s">
        <v>519</v>
      </c>
      <c r="G2499" t="s">
        <v>2081</v>
      </c>
      <c r="H2499" t="s">
        <v>3365</v>
      </c>
      <c r="I2499" t="s">
        <v>844</v>
      </c>
      <c r="J2499" t="s">
        <v>30</v>
      </c>
      <c r="K2499">
        <v>21</v>
      </c>
      <c r="L2499" t="s">
        <v>46</v>
      </c>
      <c r="M2499">
        <v>181</v>
      </c>
      <c r="N2499">
        <v>1</v>
      </c>
      <c r="O2499">
        <v>1887.84</v>
      </c>
      <c r="P2499" s="1">
        <v>45600.341041666667</v>
      </c>
      <c r="Q2499">
        <v>17</v>
      </c>
      <c r="R2499" t="s">
        <v>74</v>
      </c>
      <c r="S2499">
        <v>0.173238132978843</v>
      </c>
      <c r="T2499" t="b">
        <v>0</v>
      </c>
      <c r="U2499" t="b">
        <v>0</v>
      </c>
      <c r="V2499" t="b">
        <f t="shared" ref="V2499:V2513" si="78">ISLOGICAL(T2499)</f>
        <v>1</v>
      </c>
      <c r="W2499">
        <v>0</v>
      </c>
      <c r="Y2499">
        <f t="shared" ref="Y2499:Y2513" si="79">--T2499</f>
        <v>0</v>
      </c>
    </row>
    <row r="2500" spans="1:25" x14ac:dyDescent="0.3">
      <c r="A2500" t="s">
        <v>4445</v>
      </c>
      <c r="B2500" t="s">
        <v>1582</v>
      </c>
      <c r="C2500">
        <v>43.1</v>
      </c>
      <c r="D2500" s="1">
        <v>45203.767870370371</v>
      </c>
      <c r="E2500" t="s">
        <v>25</v>
      </c>
      <c r="F2500" t="s">
        <v>126</v>
      </c>
      <c r="G2500" t="s">
        <v>3311</v>
      </c>
      <c r="H2500" t="s">
        <v>4125</v>
      </c>
      <c r="I2500" t="s">
        <v>199</v>
      </c>
      <c r="J2500" t="s">
        <v>81</v>
      </c>
      <c r="K2500">
        <v>25</v>
      </c>
      <c r="L2500" t="s">
        <v>46</v>
      </c>
      <c r="M2500">
        <v>102</v>
      </c>
      <c r="N2500">
        <v>1</v>
      </c>
      <c r="O2500">
        <v>6944.9</v>
      </c>
      <c r="P2500" s="1">
        <v>45600.338472222225</v>
      </c>
      <c r="Q2500">
        <v>18</v>
      </c>
      <c r="R2500" t="s">
        <v>74</v>
      </c>
      <c r="S2500">
        <v>-0.87171451469193495</v>
      </c>
      <c r="T2500" t="b">
        <v>0</v>
      </c>
      <c r="U2500" t="b">
        <v>0</v>
      </c>
      <c r="V2500" t="b">
        <f t="shared" si="78"/>
        <v>1</v>
      </c>
      <c r="W2500">
        <v>0</v>
      </c>
      <c r="Y2500">
        <f t="shared" si="79"/>
        <v>0</v>
      </c>
    </row>
    <row r="2501" spans="1:25" x14ac:dyDescent="0.3">
      <c r="A2501" t="s">
        <v>4446</v>
      </c>
      <c r="B2501" t="s">
        <v>2720</v>
      </c>
      <c r="C2501">
        <v>557.78</v>
      </c>
      <c r="D2501" s="1">
        <v>45076.704907407409</v>
      </c>
      <c r="E2501" t="s">
        <v>57</v>
      </c>
      <c r="F2501" t="s">
        <v>438</v>
      </c>
      <c r="G2501" t="s">
        <v>2700</v>
      </c>
      <c r="H2501" t="s">
        <v>2394</v>
      </c>
      <c r="I2501" t="s">
        <v>844</v>
      </c>
      <c r="J2501" t="s">
        <v>81</v>
      </c>
      <c r="K2501">
        <v>26</v>
      </c>
      <c r="L2501" t="s">
        <v>46</v>
      </c>
      <c r="M2501">
        <v>102</v>
      </c>
      <c r="N2501">
        <v>1</v>
      </c>
      <c r="O2501">
        <v>1289.48</v>
      </c>
      <c r="P2501" s="1">
        <v>45600.341122685182</v>
      </c>
      <c r="Q2501">
        <v>16</v>
      </c>
      <c r="R2501" t="s">
        <v>32</v>
      </c>
      <c r="S2501">
        <v>0.89121277643205699</v>
      </c>
      <c r="T2501" t="b">
        <v>0</v>
      </c>
      <c r="U2501" t="b">
        <v>0</v>
      </c>
      <c r="V2501" t="b">
        <f t="shared" si="78"/>
        <v>1</v>
      </c>
      <c r="W2501">
        <v>0</v>
      </c>
      <c r="Y2501">
        <f t="shared" si="79"/>
        <v>0</v>
      </c>
    </row>
    <row r="2502" spans="1:25" x14ac:dyDescent="0.3">
      <c r="A2502" t="s">
        <v>4447</v>
      </c>
      <c r="B2502" t="s">
        <v>1314</v>
      </c>
      <c r="C2502">
        <v>325.60000000000002</v>
      </c>
      <c r="D2502" s="1">
        <v>45195.677499999998</v>
      </c>
      <c r="E2502" t="s">
        <v>25</v>
      </c>
      <c r="F2502" t="s">
        <v>336</v>
      </c>
      <c r="G2502" t="s">
        <v>1948</v>
      </c>
      <c r="H2502" t="s">
        <v>2067</v>
      </c>
      <c r="I2502" t="s">
        <v>620</v>
      </c>
      <c r="J2502" t="s">
        <v>30</v>
      </c>
      <c r="K2502">
        <v>69</v>
      </c>
      <c r="L2502" t="s">
        <v>31</v>
      </c>
      <c r="M2502">
        <v>88</v>
      </c>
      <c r="N2502">
        <v>1</v>
      </c>
      <c r="O2502">
        <v>13777.1</v>
      </c>
      <c r="P2502" s="1">
        <v>45600.340844907405</v>
      </c>
      <c r="Q2502">
        <v>16</v>
      </c>
      <c r="R2502" t="s">
        <v>32</v>
      </c>
      <c r="S2502">
        <v>9.5929380043682802E-2</v>
      </c>
      <c r="T2502" t="b">
        <v>0</v>
      </c>
      <c r="U2502" t="b">
        <v>0</v>
      </c>
      <c r="V2502" t="b">
        <f t="shared" si="78"/>
        <v>1</v>
      </c>
      <c r="W2502">
        <v>0</v>
      </c>
      <c r="Y2502">
        <f t="shared" si="79"/>
        <v>0</v>
      </c>
    </row>
    <row r="2503" spans="1:25" x14ac:dyDescent="0.3">
      <c r="A2503" t="s">
        <v>4448</v>
      </c>
      <c r="B2503" t="s">
        <v>1834</v>
      </c>
      <c r="C2503">
        <v>235.83</v>
      </c>
      <c r="D2503" s="1">
        <v>45170.685300925928</v>
      </c>
      <c r="E2503" t="s">
        <v>57</v>
      </c>
      <c r="F2503" t="s">
        <v>104</v>
      </c>
      <c r="G2503" t="s">
        <v>2771</v>
      </c>
      <c r="H2503" t="s">
        <v>1881</v>
      </c>
      <c r="I2503" t="s">
        <v>458</v>
      </c>
      <c r="J2503" t="s">
        <v>45</v>
      </c>
      <c r="K2503">
        <v>53</v>
      </c>
      <c r="L2503" t="s">
        <v>89</v>
      </c>
      <c r="M2503">
        <v>169</v>
      </c>
      <c r="N2503">
        <v>1</v>
      </c>
      <c r="O2503">
        <v>4120.75</v>
      </c>
      <c r="P2503" s="1">
        <v>45600.339502314811</v>
      </c>
      <c r="Q2503">
        <v>16</v>
      </c>
      <c r="R2503" t="s">
        <v>54</v>
      </c>
      <c r="S2503">
        <v>-0.21155873475425099</v>
      </c>
      <c r="T2503" t="b">
        <v>0</v>
      </c>
      <c r="U2503" t="b">
        <v>0</v>
      </c>
      <c r="V2503" t="b">
        <f t="shared" si="78"/>
        <v>1</v>
      </c>
      <c r="W2503">
        <v>0</v>
      </c>
      <c r="Y2503">
        <f t="shared" si="79"/>
        <v>0</v>
      </c>
    </row>
    <row r="2504" spans="1:25" x14ac:dyDescent="0.3">
      <c r="A2504" t="s">
        <v>4449</v>
      </c>
      <c r="B2504" t="s">
        <v>76</v>
      </c>
      <c r="C2504">
        <v>603.54</v>
      </c>
      <c r="D2504" s="1">
        <v>45037.682384259257</v>
      </c>
      <c r="E2504" t="s">
        <v>25</v>
      </c>
      <c r="F2504" t="s">
        <v>98</v>
      </c>
      <c r="G2504" t="s">
        <v>515</v>
      </c>
      <c r="H2504" t="s">
        <v>1328</v>
      </c>
      <c r="I2504" t="s">
        <v>188</v>
      </c>
      <c r="J2504" t="s">
        <v>45</v>
      </c>
      <c r="K2504">
        <v>44</v>
      </c>
      <c r="L2504" t="s">
        <v>31</v>
      </c>
      <c r="M2504">
        <v>26</v>
      </c>
      <c r="N2504">
        <v>1</v>
      </c>
      <c r="O2504">
        <v>10517.47</v>
      </c>
      <c r="P2504" s="1">
        <v>45600.33898148148</v>
      </c>
      <c r="Q2504">
        <v>16</v>
      </c>
      <c r="R2504" t="s">
        <v>54</v>
      </c>
      <c r="S2504">
        <v>1.0479539609386099</v>
      </c>
      <c r="T2504" t="b">
        <v>0</v>
      </c>
      <c r="U2504" t="b">
        <v>0</v>
      </c>
      <c r="V2504" t="b">
        <f t="shared" si="78"/>
        <v>1</v>
      </c>
      <c r="W2504">
        <v>0</v>
      </c>
      <c r="Y2504">
        <f t="shared" si="79"/>
        <v>0</v>
      </c>
    </row>
    <row r="2505" spans="1:25" x14ac:dyDescent="0.3">
      <c r="A2505" t="s">
        <v>4450</v>
      </c>
      <c r="B2505" t="s">
        <v>346</v>
      </c>
      <c r="C2505">
        <v>270.25</v>
      </c>
      <c r="D2505" s="1">
        <v>45236.706030092595</v>
      </c>
      <c r="E2505" t="s">
        <v>25</v>
      </c>
      <c r="F2505" t="s">
        <v>268</v>
      </c>
      <c r="G2505" t="s">
        <v>1258</v>
      </c>
      <c r="H2505" t="s">
        <v>1383</v>
      </c>
      <c r="I2505" t="s">
        <v>162</v>
      </c>
      <c r="J2505" t="s">
        <v>30</v>
      </c>
      <c r="K2505">
        <v>31</v>
      </c>
      <c r="L2505" t="s">
        <v>89</v>
      </c>
      <c r="M2505">
        <v>42</v>
      </c>
      <c r="N2505">
        <v>1</v>
      </c>
      <c r="O2505">
        <v>5414.97</v>
      </c>
      <c r="P2505" s="1">
        <v>45600.340833333335</v>
      </c>
      <c r="Q2505">
        <v>16</v>
      </c>
      <c r="R2505" t="s">
        <v>47</v>
      </c>
      <c r="S2505">
        <v>-9.3660317562039103E-2</v>
      </c>
      <c r="T2505" t="b">
        <v>0</v>
      </c>
      <c r="U2505" t="b">
        <v>0</v>
      </c>
      <c r="V2505" t="b">
        <f t="shared" si="78"/>
        <v>1</v>
      </c>
      <c r="W2505">
        <v>0</v>
      </c>
      <c r="Y2505">
        <f t="shared" si="79"/>
        <v>0</v>
      </c>
    </row>
    <row r="2506" spans="1:25" x14ac:dyDescent="0.3">
      <c r="A2506" t="s">
        <v>4451</v>
      </c>
      <c r="B2506" t="s">
        <v>852</v>
      </c>
      <c r="C2506">
        <v>123.38</v>
      </c>
      <c r="D2506" s="1">
        <v>45292.723564814813</v>
      </c>
      <c r="E2506" t="s">
        <v>25</v>
      </c>
      <c r="F2506" t="s">
        <v>298</v>
      </c>
      <c r="G2506" t="s">
        <v>2624</v>
      </c>
      <c r="H2506" t="s">
        <v>686</v>
      </c>
      <c r="I2506" t="s">
        <v>487</v>
      </c>
      <c r="J2506" t="s">
        <v>45</v>
      </c>
      <c r="K2506">
        <v>59</v>
      </c>
      <c r="L2506" t="s">
        <v>31</v>
      </c>
      <c r="M2506">
        <v>40</v>
      </c>
      <c r="N2506">
        <v>1</v>
      </c>
      <c r="O2506">
        <v>13542.41</v>
      </c>
      <c r="P2506" s="1">
        <v>45600.340891203705</v>
      </c>
      <c r="Q2506">
        <v>17</v>
      </c>
      <c r="R2506" t="s">
        <v>47</v>
      </c>
      <c r="S2506">
        <v>-0.59673238418087104</v>
      </c>
      <c r="T2506" t="b">
        <v>0</v>
      </c>
      <c r="U2506" t="b">
        <v>0</v>
      </c>
      <c r="V2506" t="b">
        <f t="shared" si="78"/>
        <v>1</v>
      </c>
      <c r="W2506">
        <v>0</v>
      </c>
      <c r="Y2506">
        <f t="shared" si="79"/>
        <v>0</v>
      </c>
    </row>
    <row r="2507" spans="1:25" x14ac:dyDescent="0.3">
      <c r="A2507" t="s">
        <v>4452</v>
      </c>
      <c r="B2507" t="s">
        <v>2538</v>
      </c>
      <c r="C2507">
        <v>577.12</v>
      </c>
      <c r="D2507" s="1">
        <v>44953.734803240739</v>
      </c>
      <c r="E2507" t="s">
        <v>25</v>
      </c>
      <c r="F2507" t="s">
        <v>314</v>
      </c>
      <c r="G2507" t="s">
        <v>1474</v>
      </c>
      <c r="H2507" t="s">
        <v>2507</v>
      </c>
      <c r="I2507" t="s">
        <v>339</v>
      </c>
      <c r="J2507" t="s">
        <v>30</v>
      </c>
      <c r="K2507">
        <v>39</v>
      </c>
      <c r="L2507" t="s">
        <v>89</v>
      </c>
      <c r="M2507">
        <v>69</v>
      </c>
      <c r="N2507">
        <v>1</v>
      </c>
      <c r="O2507">
        <v>5265.88</v>
      </c>
      <c r="P2507" s="1">
        <v>45600.340856481482</v>
      </c>
      <c r="Q2507">
        <v>17</v>
      </c>
      <c r="R2507" t="s">
        <v>54</v>
      </c>
      <c r="S2507">
        <v>0.95745784873006301</v>
      </c>
      <c r="T2507" t="b">
        <v>0</v>
      </c>
      <c r="U2507" t="b">
        <v>0</v>
      </c>
      <c r="V2507" t="b">
        <f t="shared" si="78"/>
        <v>1</v>
      </c>
      <c r="W2507">
        <v>0</v>
      </c>
      <c r="Y2507">
        <f t="shared" si="79"/>
        <v>0</v>
      </c>
    </row>
    <row r="2508" spans="1:25" x14ac:dyDescent="0.3">
      <c r="A2508" t="s">
        <v>4453</v>
      </c>
      <c r="B2508" t="s">
        <v>830</v>
      </c>
      <c r="C2508">
        <v>92.24</v>
      </c>
      <c r="D2508" s="1">
        <v>45029.739965277775</v>
      </c>
      <c r="E2508" t="s">
        <v>25</v>
      </c>
      <c r="F2508" t="s">
        <v>256</v>
      </c>
      <c r="G2508" t="s">
        <v>915</v>
      </c>
      <c r="H2508" t="s">
        <v>2640</v>
      </c>
      <c r="I2508" t="s">
        <v>605</v>
      </c>
      <c r="J2508" t="s">
        <v>81</v>
      </c>
      <c r="K2508">
        <v>60</v>
      </c>
      <c r="L2508" t="s">
        <v>89</v>
      </c>
      <c r="M2508">
        <v>93</v>
      </c>
      <c r="N2508">
        <v>1</v>
      </c>
      <c r="O2508">
        <v>6937.48</v>
      </c>
      <c r="P2508" s="1">
        <v>45600.33965277778</v>
      </c>
      <c r="Q2508">
        <v>17</v>
      </c>
      <c r="R2508" t="s">
        <v>141</v>
      </c>
      <c r="S2508">
        <v>-0.70339585632978097</v>
      </c>
      <c r="T2508" t="b">
        <v>0</v>
      </c>
      <c r="U2508" t="b">
        <v>0</v>
      </c>
      <c r="V2508" t="b">
        <f t="shared" si="78"/>
        <v>1</v>
      </c>
      <c r="W2508">
        <v>0</v>
      </c>
      <c r="Y2508">
        <f t="shared" si="79"/>
        <v>0</v>
      </c>
    </row>
    <row r="2509" spans="1:25" x14ac:dyDescent="0.3">
      <c r="A2509" t="s">
        <v>4454</v>
      </c>
      <c r="B2509" t="s">
        <v>2146</v>
      </c>
      <c r="C2509">
        <v>856.21</v>
      </c>
      <c r="D2509" s="1">
        <v>45042.714999999997</v>
      </c>
      <c r="E2509" t="s">
        <v>57</v>
      </c>
      <c r="F2509" t="s">
        <v>534</v>
      </c>
      <c r="G2509" t="s">
        <v>3119</v>
      </c>
      <c r="H2509" t="s">
        <v>4455</v>
      </c>
      <c r="I2509" t="s">
        <v>844</v>
      </c>
      <c r="J2509" t="s">
        <v>81</v>
      </c>
      <c r="K2509">
        <v>33</v>
      </c>
      <c r="L2509" t="s">
        <v>31</v>
      </c>
      <c r="M2509">
        <v>109</v>
      </c>
      <c r="N2509">
        <v>1</v>
      </c>
      <c r="O2509">
        <v>12690.79</v>
      </c>
      <c r="P2509" s="1">
        <v>45600.341307870367</v>
      </c>
      <c r="Q2509">
        <v>17</v>
      </c>
      <c r="R2509" t="s">
        <v>74</v>
      </c>
      <c r="S2509">
        <v>1.9134215109663899</v>
      </c>
      <c r="T2509" t="b">
        <v>0</v>
      </c>
      <c r="U2509" t="b">
        <v>0</v>
      </c>
      <c r="V2509" t="b">
        <f t="shared" si="78"/>
        <v>1</v>
      </c>
      <c r="W2509">
        <v>0</v>
      </c>
      <c r="Y2509">
        <f t="shared" si="79"/>
        <v>0</v>
      </c>
    </row>
    <row r="2510" spans="1:25" x14ac:dyDescent="0.3">
      <c r="A2510" t="s">
        <v>4456</v>
      </c>
      <c r="B2510" t="s">
        <v>1381</v>
      </c>
      <c r="C2510">
        <v>251.54</v>
      </c>
      <c r="D2510" s="1">
        <v>45007.733888888892</v>
      </c>
      <c r="E2510" t="s">
        <v>25</v>
      </c>
      <c r="F2510" t="s">
        <v>268</v>
      </c>
      <c r="G2510" t="s">
        <v>398</v>
      </c>
      <c r="H2510" t="s">
        <v>2180</v>
      </c>
      <c r="I2510" t="s">
        <v>188</v>
      </c>
      <c r="J2510" t="s">
        <v>81</v>
      </c>
      <c r="K2510">
        <v>48</v>
      </c>
      <c r="L2510" t="s">
        <v>31</v>
      </c>
      <c r="M2510">
        <v>177</v>
      </c>
      <c r="N2510">
        <v>1</v>
      </c>
      <c r="O2510">
        <v>254.75</v>
      </c>
      <c r="P2510" s="1">
        <v>45600.341458333336</v>
      </c>
      <c r="Q2510">
        <v>17</v>
      </c>
      <c r="R2510" t="s">
        <v>74</v>
      </c>
      <c r="S2510">
        <v>-0.157747458342582</v>
      </c>
      <c r="T2510" t="b">
        <v>0</v>
      </c>
      <c r="U2510" t="b">
        <v>0</v>
      </c>
      <c r="V2510" t="b">
        <f t="shared" si="78"/>
        <v>1</v>
      </c>
      <c r="W2510">
        <v>0</v>
      </c>
      <c r="Y2510">
        <f t="shared" si="79"/>
        <v>0</v>
      </c>
    </row>
    <row r="2511" spans="1:25" x14ac:dyDescent="0.3">
      <c r="A2511" t="s">
        <v>4457</v>
      </c>
      <c r="B2511" t="s">
        <v>164</v>
      </c>
      <c r="C2511">
        <v>28.63</v>
      </c>
      <c r="D2511" s="1">
        <v>45159.714467592596</v>
      </c>
      <c r="E2511" t="s">
        <v>25</v>
      </c>
      <c r="F2511" t="s">
        <v>26</v>
      </c>
      <c r="G2511" t="s">
        <v>1341</v>
      </c>
      <c r="H2511" t="s">
        <v>2788</v>
      </c>
      <c r="I2511" t="s">
        <v>356</v>
      </c>
      <c r="J2511" t="s">
        <v>81</v>
      </c>
      <c r="K2511">
        <v>56</v>
      </c>
      <c r="L2511" t="s">
        <v>82</v>
      </c>
      <c r="M2511">
        <v>146</v>
      </c>
      <c r="N2511">
        <v>1</v>
      </c>
      <c r="O2511">
        <v>3382.91</v>
      </c>
      <c r="P2511" s="1">
        <v>45600.33934027778</v>
      </c>
      <c r="Q2511">
        <v>17</v>
      </c>
      <c r="R2511" t="s">
        <v>47</v>
      </c>
      <c r="S2511">
        <v>-0.92127843383113595</v>
      </c>
      <c r="T2511" t="b">
        <v>0</v>
      </c>
      <c r="U2511" t="b">
        <v>0</v>
      </c>
      <c r="V2511" t="b">
        <f t="shared" si="78"/>
        <v>1</v>
      </c>
      <c r="W2511">
        <v>0</v>
      </c>
      <c r="Y2511">
        <f t="shared" si="79"/>
        <v>0</v>
      </c>
    </row>
    <row r="2512" spans="1:25" x14ac:dyDescent="0.3">
      <c r="A2512" t="s">
        <v>4458</v>
      </c>
      <c r="B2512" t="s">
        <v>3228</v>
      </c>
      <c r="C2512">
        <v>185.97</v>
      </c>
      <c r="D2512" s="1">
        <v>44981.683865740742</v>
      </c>
      <c r="E2512" t="s">
        <v>25</v>
      </c>
      <c r="F2512" t="s">
        <v>126</v>
      </c>
      <c r="G2512" t="s">
        <v>2659</v>
      </c>
      <c r="H2512" t="s">
        <v>907</v>
      </c>
      <c r="I2512" t="s">
        <v>589</v>
      </c>
      <c r="J2512" t="s">
        <v>45</v>
      </c>
      <c r="K2512">
        <v>23</v>
      </c>
      <c r="L2512" t="s">
        <v>46</v>
      </c>
      <c r="M2512">
        <v>19</v>
      </c>
      <c r="N2512">
        <v>1</v>
      </c>
      <c r="O2512">
        <v>1776.91</v>
      </c>
      <c r="P2512" s="1">
        <v>45600.341921296298</v>
      </c>
      <c r="Q2512">
        <v>16</v>
      </c>
      <c r="R2512" t="s">
        <v>54</v>
      </c>
      <c r="S2512">
        <v>-0.38234360056493399</v>
      </c>
      <c r="T2512" t="b">
        <v>0</v>
      </c>
      <c r="U2512" t="b">
        <v>0</v>
      </c>
      <c r="V2512" t="b">
        <f t="shared" si="78"/>
        <v>1</v>
      </c>
      <c r="W2512">
        <v>0</v>
      </c>
      <c r="Y2512">
        <f t="shared" si="79"/>
        <v>0</v>
      </c>
    </row>
    <row r="2513" spans="1:25" x14ac:dyDescent="0.3">
      <c r="A2513" t="s">
        <v>4459</v>
      </c>
      <c r="B2513" t="s">
        <v>1119</v>
      </c>
      <c r="C2513">
        <v>243.08</v>
      </c>
      <c r="D2513" s="1">
        <v>44971.681516203702</v>
      </c>
      <c r="E2513" t="s">
        <v>57</v>
      </c>
      <c r="F2513" t="s">
        <v>405</v>
      </c>
      <c r="G2513" t="s">
        <v>859</v>
      </c>
      <c r="H2513" t="s">
        <v>1536</v>
      </c>
      <c r="I2513" t="s">
        <v>589</v>
      </c>
      <c r="J2513" t="s">
        <v>45</v>
      </c>
      <c r="K2513">
        <v>24</v>
      </c>
      <c r="L2513" t="s">
        <v>46</v>
      </c>
      <c r="M2513">
        <v>93</v>
      </c>
      <c r="N2513">
        <v>1</v>
      </c>
      <c r="O2513">
        <v>131.25</v>
      </c>
      <c r="P2513" s="1">
        <v>45600.338761574072</v>
      </c>
      <c r="Q2513">
        <v>16</v>
      </c>
      <c r="R2513" t="s">
        <v>32</v>
      </c>
      <c r="S2513">
        <v>-0.18672539586280601</v>
      </c>
      <c r="T2513" t="b">
        <v>0</v>
      </c>
      <c r="U2513" t="b">
        <v>0</v>
      </c>
      <c r="V2513" t="b">
        <f t="shared" si="78"/>
        <v>1</v>
      </c>
      <c r="W2513">
        <v>0</v>
      </c>
      <c r="Y2513">
        <f t="shared" si="79"/>
        <v>0</v>
      </c>
    </row>
  </sheetData>
  <phoneticPr fontId="18" type="noConversion"/>
  <conditionalFormatting sqref="W2:W2513">
    <cfRule type="cellIs" dxfId="0" priority="1" operator="equal">
      <formula>2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Sheet3</vt:lpstr>
      <vt:lpstr>fraud_data_cleaned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Bilal NAsir</cp:lastModifiedBy>
  <dcterms:created xsi:type="dcterms:W3CDTF">2026-08-13T23:54:28Z</dcterms:created>
  <dcterms:modified xsi:type="dcterms:W3CDTF">2026-08-13T23:54:52Z</dcterms:modified>
</cp:coreProperties>
</file>